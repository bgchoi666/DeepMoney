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Demian-marketbreaker\results_vdiff\"/>
    </mc:Choice>
  </mc:AlternateContent>
  <bookViews>
    <workbookView xWindow="0" yWindow="0" windowWidth="28800" windowHeight="12390"/>
  </bookViews>
  <sheets>
    <sheet name="vdiff_65_10_10_0.001_300_200_20" sheetId="1" r:id="rId1"/>
  </sheets>
  <calcPr calcId="0"/>
</workbook>
</file>

<file path=xl/calcChain.xml><?xml version="1.0" encoding="utf-8"?>
<calcChain xmlns="http://schemas.openxmlformats.org/spreadsheetml/2006/main">
  <c r="R37" i="1" l="1"/>
  <c r="N27" i="1"/>
  <c r="O27" i="1"/>
  <c r="P27" i="1"/>
  <c r="Q27" i="1"/>
  <c r="R27" i="1" s="1"/>
  <c r="N28" i="1"/>
  <c r="O28" i="1"/>
  <c r="P28" i="1"/>
  <c r="Q28" i="1"/>
  <c r="R28" i="1"/>
  <c r="N29" i="1"/>
  <c r="O29" i="1"/>
  <c r="P29" i="1"/>
  <c r="Q29" i="1"/>
  <c r="R29" i="1" s="1"/>
  <c r="N30" i="1"/>
  <c r="O30" i="1"/>
  <c r="P30" i="1"/>
  <c r="Q30" i="1"/>
  <c r="R30" i="1"/>
  <c r="N31" i="1"/>
  <c r="O31" i="1"/>
  <c r="P31" i="1"/>
  <c r="Q31" i="1"/>
  <c r="R31" i="1" s="1"/>
  <c r="N32" i="1"/>
  <c r="O32" i="1"/>
  <c r="P32" i="1"/>
  <c r="Q32" i="1"/>
  <c r="R32" i="1"/>
  <c r="N33" i="1"/>
  <c r="O33" i="1"/>
  <c r="P33" i="1"/>
  <c r="Q33" i="1"/>
  <c r="R33" i="1" s="1"/>
  <c r="N34" i="1"/>
  <c r="O34" i="1"/>
  <c r="P34" i="1"/>
  <c r="Q34" i="1"/>
  <c r="R34" i="1"/>
  <c r="N35" i="1"/>
  <c r="O35" i="1"/>
  <c r="P35" i="1"/>
  <c r="Q35" i="1"/>
  <c r="R35" i="1" s="1"/>
  <c r="N36" i="1"/>
  <c r="O36" i="1"/>
  <c r="P36" i="1"/>
  <c r="Q36" i="1"/>
  <c r="R36" i="1"/>
  <c r="N20" i="1"/>
  <c r="R20" i="1" s="1"/>
  <c r="O20" i="1"/>
  <c r="P20" i="1"/>
  <c r="Q20" i="1"/>
  <c r="N21" i="1"/>
  <c r="O21" i="1"/>
  <c r="P21" i="1"/>
  <c r="Q21" i="1"/>
  <c r="R21" i="1"/>
  <c r="N22" i="1"/>
  <c r="O22" i="1"/>
  <c r="P22" i="1"/>
  <c r="Q22" i="1"/>
  <c r="R22" i="1" s="1"/>
  <c r="N23" i="1"/>
  <c r="O23" i="1"/>
  <c r="P23" i="1"/>
  <c r="Q23" i="1"/>
  <c r="R23" i="1" s="1"/>
  <c r="N24" i="1"/>
  <c r="O24" i="1"/>
  <c r="R24" i="1" s="1"/>
  <c r="P24" i="1"/>
  <c r="Q24" i="1"/>
  <c r="N25" i="1"/>
  <c r="O25" i="1"/>
  <c r="P25" i="1"/>
  <c r="Q25" i="1"/>
  <c r="R25" i="1"/>
  <c r="N26" i="1"/>
  <c r="O26" i="1"/>
  <c r="P26" i="1"/>
  <c r="Q26" i="1"/>
  <c r="R26" i="1" s="1"/>
  <c r="N3" i="1"/>
  <c r="O3" i="1"/>
  <c r="P3" i="1"/>
  <c r="Q3" i="1"/>
  <c r="R3" i="1" s="1"/>
  <c r="N4" i="1"/>
  <c r="O4" i="1"/>
  <c r="P4" i="1"/>
  <c r="Q4" i="1"/>
  <c r="R4" i="1"/>
  <c r="N5" i="1"/>
  <c r="O5" i="1"/>
  <c r="P5" i="1"/>
  <c r="Q5" i="1"/>
  <c r="R5" i="1" s="1"/>
  <c r="N6" i="1"/>
  <c r="O6" i="1"/>
  <c r="P6" i="1"/>
  <c r="Q6" i="1"/>
  <c r="R6" i="1"/>
  <c r="N7" i="1"/>
  <c r="O7" i="1"/>
  <c r="P7" i="1"/>
  <c r="Q7" i="1"/>
  <c r="R7" i="1" s="1"/>
  <c r="N8" i="1"/>
  <c r="O8" i="1"/>
  <c r="P8" i="1"/>
  <c r="Q8" i="1"/>
  <c r="R8" i="1"/>
  <c r="N9" i="1"/>
  <c r="O9" i="1"/>
  <c r="P9" i="1"/>
  <c r="Q9" i="1"/>
  <c r="R9" i="1" s="1"/>
  <c r="N10" i="1"/>
  <c r="O10" i="1"/>
  <c r="P10" i="1"/>
  <c r="Q10" i="1"/>
  <c r="R10" i="1"/>
  <c r="N11" i="1"/>
  <c r="O11" i="1"/>
  <c r="P11" i="1"/>
  <c r="Q11" i="1"/>
  <c r="R11" i="1" s="1"/>
  <c r="N12" i="1"/>
  <c r="O12" i="1"/>
  <c r="P12" i="1"/>
  <c r="Q12" i="1"/>
  <c r="R12" i="1"/>
  <c r="N13" i="1"/>
  <c r="O13" i="1"/>
  <c r="P13" i="1"/>
  <c r="Q13" i="1"/>
  <c r="R13" i="1" s="1"/>
  <c r="N14" i="1"/>
  <c r="O14" i="1"/>
  <c r="P14" i="1"/>
  <c r="Q14" i="1"/>
  <c r="R14" i="1"/>
  <c r="N15" i="1"/>
  <c r="O15" i="1"/>
  <c r="P15" i="1"/>
  <c r="Q15" i="1"/>
  <c r="R15" i="1" s="1"/>
  <c r="N16" i="1"/>
  <c r="O16" i="1"/>
  <c r="P16" i="1"/>
  <c r="Q16" i="1"/>
  <c r="R16" i="1"/>
  <c r="N17" i="1"/>
  <c r="O17" i="1"/>
  <c r="P17" i="1"/>
  <c r="Q17" i="1"/>
  <c r="R17" i="1" s="1"/>
  <c r="N18" i="1"/>
  <c r="O18" i="1"/>
  <c r="P18" i="1"/>
  <c r="Q18" i="1"/>
  <c r="R18" i="1"/>
  <c r="N19" i="1"/>
  <c r="O19" i="1"/>
  <c r="P19" i="1"/>
  <c r="Q19" i="1"/>
  <c r="R19" i="1" s="1"/>
  <c r="R2" i="1"/>
  <c r="Q2" i="1"/>
  <c r="P2" i="1"/>
  <c r="O2" i="1"/>
  <c r="N2" i="1"/>
  <c r="H1" i="1"/>
  <c r="L1" i="1"/>
  <c r="K1" i="1"/>
  <c r="J1" i="1"/>
  <c r="I1" i="1"/>
</calcChain>
</file>

<file path=xl/sharedStrings.xml><?xml version="1.0" encoding="utf-8"?>
<sst xmlns="http://schemas.openxmlformats.org/spreadsheetml/2006/main" count="11" uniqueCount="11">
  <si>
    <t>date</t>
  </si>
  <si>
    <t>index1</t>
  </si>
  <si>
    <t>index2</t>
  </si>
  <si>
    <t>loss_profits</t>
  </si>
  <si>
    <t>pred_date</t>
  </si>
  <si>
    <t>prediction</t>
  </si>
  <si>
    <t>real</t>
  </si>
  <si>
    <t>BT</t>
    <phoneticPr fontId="18" type="noConversion"/>
  </si>
  <si>
    <t>BB</t>
    <phoneticPr fontId="18" type="noConversion"/>
  </si>
  <si>
    <t>실재지수</t>
    <phoneticPr fontId="18" type="noConversion"/>
  </si>
  <si>
    <t>예측지수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</si>
</sst>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7"/>
  <sheetViews>
    <sheetView tabSelected="1" workbookViewId="0">
      <selection activeCell="N2" sqref="N2"/>
    </sheetView>
  </sheetViews>
  <sheetFormatPr defaultRowHeight="16.5" x14ac:dyDescent="0.3"/>
  <cols>
    <col min="1" max="1" width="10.875" customWidth="1"/>
    <col min="5" max="5" width="10.125" customWidth="1"/>
    <col min="13" max="13" width="10.25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>
        <f>COUNTIF(D2:D36, "&gt;0")/35</f>
        <v>0.7142857142857143</v>
      </c>
      <c r="I1">
        <f>AVERAGEIF(D2:D37, "&gt;0")</f>
        <v>14.724000024795501</v>
      </c>
      <c r="J1">
        <f>AVERAGEIF(D2:D37, "&lt;0")</f>
        <v>-9.4000001192092846</v>
      </c>
      <c r="K1">
        <f>MAX(D2:D37)</f>
        <v>22.9500007629394</v>
      </c>
      <c r="L1">
        <f>MIN(D2:D37)</f>
        <v>-19.9500007629394</v>
      </c>
      <c r="N1" t="s">
        <v>7</v>
      </c>
      <c r="O1" t="s">
        <v>8</v>
      </c>
      <c r="P1" t="s">
        <v>9</v>
      </c>
      <c r="Q1" t="s">
        <v>10</v>
      </c>
    </row>
    <row r="2" spans="1:18" x14ac:dyDescent="0.3">
      <c r="A2" s="1">
        <v>43161</v>
      </c>
      <c r="B2">
        <v>308.14999999999998</v>
      </c>
      <c r="C2">
        <v>311.39999999999998</v>
      </c>
      <c r="D2">
        <v>-3.25</v>
      </c>
      <c r="E2" s="1">
        <v>43252</v>
      </c>
      <c r="F2">
        <v>-2.2770938873290998</v>
      </c>
      <c r="G2">
        <v>3.25</v>
      </c>
      <c r="K2">
        <v>3.9663470163169254</v>
      </c>
      <c r="M2" s="1">
        <v>43252</v>
      </c>
      <c r="N2">
        <f>C2+1.644*K2</f>
        <v>317.92067449482499</v>
      </c>
      <c r="O2">
        <f>C2-1.644*K2</f>
        <v>304.87932550517496</v>
      </c>
      <c r="P2">
        <f>C2</f>
        <v>311.39999999999998</v>
      </c>
      <c r="Q2">
        <f>B2+F2</f>
        <v>305.87290611267088</v>
      </c>
      <c r="R2">
        <f>IF(AND(D2&gt;0, AND(Q2&lt;N2, Q2&gt;O2)),1,0)</f>
        <v>0</v>
      </c>
    </row>
    <row r="3" spans="1:18" x14ac:dyDescent="0.3">
      <c r="A3" s="1">
        <v>43164</v>
      </c>
      <c r="B3">
        <v>303.85000000000002</v>
      </c>
      <c r="C3">
        <v>313.15000019073398</v>
      </c>
      <c r="D3">
        <v>-9.3000001907348597</v>
      </c>
      <c r="E3" s="1">
        <v>43255</v>
      </c>
      <c r="F3">
        <v>-0.51173740625381403</v>
      </c>
      <c r="G3">
        <v>9.3000001907348597</v>
      </c>
      <c r="K3">
        <v>3.6975128074880943</v>
      </c>
      <c r="M3" s="1">
        <v>43255</v>
      </c>
      <c r="N3">
        <f t="shared" ref="N3:N19" si="0">C3+1.644*K3</f>
        <v>319.22871124624442</v>
      </c>
      <c r="O3">
        <f t="shared" ref="O3:O19" si="1">C3-1.644*K3</f>
        <v>307.07128913522354</v>
      </c>
      <c r="P3">
        <f t="shared" ref="P3:P19" si="2">C3</f>
        <v>313.15000019073398</v>
      </c>
      <c r="Q3">
        <f t="shared" ref="Q3:Q19" si="3">B3+F3</f>
        <v>303.33826259374621</v>
      </c>
      <c r="R3">
        <f t="shared" ref="R3:R19" si="4">IF(AND(D3&gt;0, AND(Q3&lt;N3, Q3&gt;O3)),1,0)</f>
        <v>0</v>
      </c>
    </row>
    <row r="4" spans="1:18" x14ac:dyDescent="0.3">
      <c r="A4" s="1">
        <v>43165</v>
      </c>
      <c r="B4">
        <v>310.3</v>
      </c>
      <c r="C4">
        <v>313.75000004768299</v>
      </c>
      <c r="D4">
        <v>3.45000004768371</v>
      </c>
      <c r="E4" s="1">
        <v>43256</v>
      </c>
      <c r="F4">
        <v>2.6529235839843701</v>
      </c>
      <c r="G4">
        <v>3.45000004768371</v>
      </c>
      <c r="K4">
        <v>3.6437286415787837</v>
      </c>
      <c r="M4" s="1">
        <v>43256</v>
      </c>
      <c r="N4">
        <f t="shared" si="0"/>
        <v>319.74028993443852</v>
      </c>
      <c r="O4">
        <f t="shared" si="1"/>
        <v>307.75971016092745</v>
      </c>
      <c r="P4">
        <f t="shared" si="2"/>
        <v>313.75000004768299</v>
      </c>
      <c r="Q4">
        <f t="shared" si="3"/>
        <v>312.95292358398439</v>
      </c>
      <c r="R4">
        <f t="shared" si="4"/>
        <v>1</v>
      </c>
    </row>
    <row r="5" spans="1:18" x14ac:dyDescent="0.3">
      <c r="A5" s="1">
        <v>43166</v>
      </c>
      <c r="B5">
        <v>310.45</v>
      </c>
      <c r="C5">
        <v>313.74999995231599</v>
      </c>
      <c r="D5">
        <v>-3.2999999523162802</v>
      </c>
      <c r="E5" s="1">
        <v>43257</v>
      </c>
      <c r="F5">
        <v>-3.5783514976501398</v>
      </c>
      <c r="G5">
        <v>3.2999999523162802</v>
      </c>
      <c r="K5">
        <v>3.5918606237414945</v>
      </c>
      <c r="M5" s="1">
        <v>43257</v>
      </c>
      <c r="N5">
        <f t="shared" si="0"/>
        <v>319.65501881774702</v>
      </c>
      <c r="O5">
        <f t="shared" si="1"/>
        <v>307.84498108688496</v>
      </c>
      <c r="P5">
        <f t="shared" si="2"/>
        <v>313.74999995231599</v>
      </c>
      <c r="Q5">
        <f t="shared" si="3"/>
        <v>306.87164850234984</v>
      </c>
      <c r="R5">
        <f t="shared" si="4"/>
        <v>0</v>
      </c>
    </row>
    <row r="6" spans="1:18" x14ac:dyDescent="0.3">
      <c r="A6" s="1">
        <v>43167</v>
      </c>
      <c r="B6">
        <v>313.60000000000002</v>
      </c>
      <c r="C6">
        <v>316.85000000000002</v>
      </c>
      <c r="D6">
        <v>-3.25</v>
      </c>
      <c r="E6" s="1">
        <v>43258</v>
      </c>
      <c r="F6">
        <v>-0.71754401922225897</v>
      </c>
      <c r="G6">
        <v>3.25</v>
      </c>
      <c r="K6">
        <v>3.5838692764084801</v>
      </c>
      <c r="M6" s="1">
        <v>43258</v>
      </c>
      <c r="N6">
        <f t="shared" si="0"/>
        <v>322.74188109041557</v>
      </c>
      <c r="O6">
        <f t="shared" si="1"/>
        <v>310.95811890958447</v>
      </c>
      <c r="P6">
        <f t="shared" si="2"/>
        <v>316.85000000000002</v>
      </c>
      <c r="Q6">
        <f t="shared" si="3"/>
        <v>312.88245598077776</v>
      </c>
      <c r="R6">
        <f t="shared" si="4"/>
        <v>0</v>
      </c>
    </row>
    <row r="7" spans="1:18" x14ac:dyDescent="0.3">
      <c r="A7" s="1">
        <v>43168</v>
      </c>
      <c r="B7">
        <v>317.10000000000002</v>
      </c>
      <c r="C7">
        <v>313.300000047683</v>
      </c>
      <c r="D7">
        <v>3.7999999523162802</v>
      </c>
      <c r="E7" s="1">
        <v>43259</v>
      </c>
      <c r="F7">
        <v>-2.1525967121124201</v>
      </c>
      <c r="G7">
        <v>-3.7999999523162802</v>
      </c>
      <c r="K7">
        <v>3.5935544261165111</v>
      </c>
      <c r="M7" s="1">
        <v>43259</v>
      </c>
      <c r="N7">
        <f t="shared" si="0"/>
        <v>319.20780352421855</v>
      </c>
      <c r="O7">
        <f t="shared" si="1"/>
        <v>307.39219657114745</v>
      </c>
      <c r="P7">
        <f t="shared" si="2"/>
        <v>313.300000047683</v>
      </c>
      <c r="Q7">
        <f t="shared" si="3"/>
        <v>314.9474032878876</v>
      </c>
      <c r="R7">
        <f t="shared" si="4"/>
        <v>1</v>
      </c>
    </row>
    <row r="8" spans="1:18" x14ac:dyDescent="0.3">
      <c r="A8" s="1">
        <v>43171</v>
      </c>
      <c r="B8">
        <v>320.10000000000002</v>
      </c>
      <c r="C8">
        <v>316.14999995231602</v>
      </c>
      <c r="D8">
        <v>3.95000004768371</v>
      </c>
      <c r="E8" s="1">
        <v>43262</v>
      </c>
      <c r="F8">
        <v>-1.7576878070831199</v>
      </c>
      <c r="G8">
        <v>-3.95000004768371</v>
      </c>
      <c r="K8">
        <v>3.5521090024638373</v>
      </c>
      <c r="M8" s="1">
        <v>43262</v>
      </c>
      <c r="N8">
        <f t="shared" si="0"/>
        <v>321.98966715236656</v>
      </c>
      <c r="O8">
        <f t="shared" si="1"/>
        <v>310.31033275226548</v>
      </c>
      <c r="P8">
        <f t="shared" si="2"/>
        <v>316.14999995231602</v>
      </c>
      <c r="Q8">
        <f t="shared" si="3"/>
        <v>318.34231219291689</v>
      </c>
      <c r="R8">
        <f t="shared" si="4"/>
        <v>1</v>
      </c>
    </row>
    <row r="9" spans="1:18" x14ac:dyDescent="0.3">
      <c r="A9" s="1">
        <v>43172</v>
      </c>
      <c r="B9">
        <v>321.5</v>
      </c>
      <c r="C9">
        <v>315.65000009536698</v>
      </c>
      <c r="D9">
        <v>5.8499999046325604</v>
      </c>
      <c r="E9" s="1">
        <v>43263</v>
      </c>
      <c r="F9">
        <v>-8.2597475051879794</v>
      </c>
      <c r="G9">
        <v>-5.8499999046325604</v>
      </c>
      <c r="K9">
        <v>3.4760354019176276</v>
      </c>
      <c r="M9" s="1">
        <v>43263</v>
      </c>
      <c r="N9">
        <f t="shared" si="0"/>
        <v>321.36460229611953</v>
      </c>
      <c r="O9">
        <f t="shared" si="1"/>
        <v>309.93539789461443</v>
      </c>
      <c r="P9">
        <f t="shared" si="2"/>
        <v>315.65000009536698</v>
      </c>
      <c r="Q9">
        <f t="shared" si="3"/>
        <v>313.24025249481201</v>
      </c>
      <c r="R9">
        <f t="shared" si="4"/>
        <v>1</v>
      </c>
    </row>
    <row r="10" spans="1:18" x14ac:dyDescent="0.3">
      <c r="A10" s="1">
        <v>43173</v>
      </c>
      <c r="B10">
        <v>321.55</v>
      </c>
      <c r="C10">
        <v>315.64999990463201</v>
      </c>
      <c r="D10">
        <v>5.9000000953674299</v>
      </c>
      <c r="E10" s="1">
        <v>43264</v>
      </c>
      <c r="F10">
        <v>-8.8765621185302699</v>
      </c>
      <c r="G10">
        <v>-5.9000000953674299</v>
      </c>
      <c r="K10">
        <v>3.3944546123618511</v>
      </c>
      <c r="M10" s="1">
        <v>43264</v>
      </c>
      <c r="N10">
        <f t="shared" si="0"/>
        <v>321.2304832873549</v>
      </c>
      <c r="O10">
        <f t="shared" si="1"/>
        <v>310.06951652190912</v>
      </c>
      <c r="P10">
        <f t="shared" si="2"/>
        <v>315.64999990463201</v>
      </c>
      <c r="Q10">
        <f t="shared" si="3"/>
        <v>312.67343788146974</v>
      </c>
      <c r="R10">
        <f t="shared" si="4"/>
        <v>1</v>
      </c>
    </row>
    <row r="11" spans="1:18" x14ac:dyDescent="0.3">
      <c r="A11" s="1">
        <v>43174</v>
      </c>
      <c r="B11">
        <v>322.85000000000002</v>
      </c>
      <c r="C11">
        <v>310.40000019073398</v>
      </c>
      <c r="D11">
        <v>12.449999809265099</v>
      </c>
      <c r="E11" s="1">
        <v>43265</v>
      </c>
      <c r="F11">
        <v>-10.7718410491943</v>
      </c>
      <c r="G11">
        <v>-12.449999809265099</v>
      </c>
      <c r="K11">
        <v>3.3246131932324716</v>
      </c>
      <c r="M11" s="1">
        <v>43265</v>
      </c>
      <c r="N11">
        <f t="shared" si="0"/>
        <v>315.86566428040817</v>
      </c>
      <c r="O11">
        <f t="shared" si="1"/>
        <v>304.93433610105978</v>
      </c>
      <c r="P11">
        <f t="shared" si="2"/>
        <v>310.40000019073398</v>
      </c>
      <c r="Q11">
        <f t="shared" si="3"/>
        <v>312.07815895080574</v>
      </c>
      <c r="R11">
        <f t="shared" si="4"/>
        <v>1</v>
      </c>
    </row>
    <row r="12" spans="1:18" x14ac:dyDescent="0.3">
      <c r="A12" s="1">
        <v>43175</v>
      </c>
      <c r="B12">
        <v>322</v>
      </c>
      <c r="C12">
        <v>309.19999980926502</v>
      </c>
      <c r="D12">
        <v>12.800000190734799</v>
      </c>
      <c r="E12" s="1">
        <v>43266</v>
      </c>
      <c r="F12">
        <v>-7.74945068359375</v>
      </c>
      <c r="G12">
        <v>-12.800000190734799</v>
      </c>
      <c r="K12">
        <v>3.3019538213702435</v>
      </c>
      <c r="M12" s="1">
        <v>43266</v>
      </c>
      <c r="N12">
        <f t="shared" si="0"/>
        <v>314.62841189159769</v>
      </c>
      <c r="O12">
        <f t="shared" si="1"/>
        <v>303.77158772693235</v>
      </c>
      <c r="P12">
        <f t="shared" si="2"/>
        <v>309.19999980926502</v>
      </c>
      <c r="Q12">
        <f t="shared" si="3"/>
        <v>314.25054931640625</v>
      </c>
      <c r="R12">
        <f t="shared" si="4"/>
        <v>1</v>
      </c>
    </row>
    <row r="13" spans="1:18" x14ac:dyDescent="0.3">
      <c r="A13" s="1">
        <v>43178</v>
      </c>
      <c r="B13">
        <v>319.85000000000002</v>
      </c>
      <c r="C13">
        <v>305.85000000000002</v>
      </c>
      <c r="D13">
        <v>-14</v>
      </c>
      <c r="E13" s="1">
        <v>43269</v>
      </c>
      <c r="F13">
        <v>0.17428776621818501</v>
      </c>
      <c r="G13">
        <v>-14</v>
      </c>
      <c r="K13">
        <v>3.4426154245774345</v>
      </c>
      <c r="M13" s="1">
        <v>43269</v>
      </c>
      <c r="N13">
        <f t="shared" si="0"/>
        <v>311.50965975800534</v>
      </c>
      <c r="O13">
        <f t="shared" si="1"/>
        <v>300.1903402419947</v>
      </c>
      <c r="P13">
        <f t="shared" si="2"/>
        <v>305.85000000000002</v>
      </c>
      <c r="Q13">
        <f t="shared" si="3"/>
        <v>320.02428776621821</v>
      </c>
      <c r="R13">
        <f t="shared" si="4"/>
        <v>0</v>
      </c>
    </row>
    <row r="14" spans="1:18" x14ac:dyDescent="0.3">
      <c r="A14" s="1">
        <v>43179</v>
      </c>
      <c r="B14">
        <v>321.3</v>
      </c>
      <c r="C14">
        <v>301.34999923705999</v>
      </c>
      <c r="D14">
        <v>-19.9500007629394</v>
      </c>
      <c r="E14" s="1">
        <v>43270</v>
      </c>
      <c r="F14">
        <v>4.6329078674316397</v>
      </c>
      <c r="G14">
        <v>-19.9500007629394</v>
      </c>
      <c r="K14">
        <v>3.7405120355990746</v>
      </c>
      <c r="M14" s="1">
        <v>43270</v>
      </c>
      <c r="N14">
        <f t="shared" si="0"/>
        <v>307.49940102358488</v>
      </c>
      <c r="O14">
        <f t="shared" si="1"/>
        <v>295.2005974505351</v>
      </c>
      <c r="P14">
        <f t="shared" si="2"/>
        <v>301.34999923705999</v>
      </c>
      <c r="Q14">
        <f t="shared" si="3"/>
        <v>325.93290786743165</v>
      </c>
      <c r="R14">
        <f t="shared" si="4"/>
        <v>0</v>
      </c>
    </row>
    <row r="15" spans="1:18" x14ac:dyDescent="0.3">
      <c r="A15" s="1">
        <v>43180</v>
      </c>
      <c r="B15">
        <v>321.60000000000002</v>
      </c>
      <c r="C15">
        <v>304.20000038146901</v>
      </c>
      <c r="D15">
        <v>17.399999618530199</v>
      </c>
      <c r="E15" s="1">
        <v>43271</v>
      </c>
      <c r="F15">
        <v>-9.9641208648681605</v>
      </c>
      <c r="G15">
        <v>-17.399999618530199</v>
      </c>
      <c r="K15">
        <v>3.8529362554370836</v>
      </c>
      <c r="M15" s="1">
        <v>43271</v>
      </c>
      <c r="N15">
        <f t="shared" si="0"/>
        <v>310.53422758540756</v>
      </c>
      <c r="O15">
        <f t="shared" si="1"/>
        <v>297.86577317753046</v>
      </c>
      <c r="P15">
        <f t="shared" si="2"/>
        <v>304.20000038146901</v>
      </c>
      <c r="Q15">
        <f t="shared" si="3"/>
        <v>311.63587913513186</v>
      </c>
      <c r="R15">
        <f t="shared" si="4"/>
        <v>0</v>
      </c>
    </row>
    <row r="16" spans="1:18" x14ac:dyDescent="0.3">
      <c r="A16" s="1">
        <v>43181</v>
      </c>
      <c r="B16">
        <v>322.10000000000002</v>
      </c>
      <c r="C16">
        <v>300.74999961853001</v>
      </c>
      <c r="D16">
        <v>21.350000381469702</v>
      </c>
      <c r="E16" s="1">
        <v>43272</v>
      </c>
      <c r="F16">
        <v>-6.7667528986930806E-2</v>
      </c>
      <c r="G16">
        <v>-21.350000381469702</v>
      </c>
      <c r="K16">
        <v>4.0838499640469337</v>
      </c>
      <c r="M16" s="1">
        <v>43272</v>
      </c>
      <c r="N16">
        <f t="shared" si="0"/>
        <v>307.46384895942316</v>
      </c>
      <c r="O16">
        <f t="shared" si="1"/>
        <v>294.03615027763686</v>
      </c>
      <c r="P16">
        <f t="shared" si="2"/>
        <v>300.74999961853001</v>
      </c>
      <c r="Q16">
        <f t="shared" si="3"/>
        <v>322.03233247101309</v>
      </c>
      <c r="R16">
        <f t="shared" si="4"/>
        <v>0</v>
      </c>
    </row>
    <row r="17" spans="1:18" x14ac:dyDescent="0.3">
      <c r="A17" s="1">
        <v>43182</v>
      </c>
      <c r="B17">
        <v>311.5</v>
      </c>
      <c r="C17">
        <v>303.65000009536698</v>
      </c>
      <c r="D17">
        <v>-7.8499999046325604</v>
      </c>
      <c r="E17" s="1">
        <v>43273</v>
      </c>
      <c r="F17">
        <v>11.2450742721557</v>
      </c>
      <c r="G17">
        <v>-7.8499999046325604</v>
      </c>
      <c r="K17">
        <v>4.2709527344159843</v>
      </c>
      <c r="M17" s="1">
        <v>43273</v>
      </c>
      <c r="N17">
        <f t="shared" si="0"/>
        <v>310.67144639074684</v>
      </c>
      <c r="O17">
        <f t="shared" si="1"/>
        <v>296.62855379998712</v>
      </c>
      <c r="P17">
        <f t="shared" si="2"/>
        <v>303.65000009536698</v>
      </c>
      <c r="Q17">
        <f t="shared" si="3"/>
        <v>322.7450742721557</v>
      </c>
      <c r="R17">
        <f t="shared" si="4"/>
        <v>0</v>
      </c>
    </row>
    <row r="18" spans="1:18" x14ac:dyDescent="0.3">
      <c r="A18" s="1">
        <v>43185</v>
      </c>
      <c r="B18">
        <v>314.5</v>
      </c>
      <c r="C18">
        <v>303.25</v>
      </c>
      <c r="D18">
        <v>-11.25</v>
      </c>
      <c r="E18" s="1">
        <v>43276</v>
      </c>
      <c r="F18">
        <v>16.549207687377901</v>
      </c>
      <c r="G18">
        <v>-11.25</v>
      </c>
      <c r="K18">
        <v>4.4690734821058298</v>
      </c>
      <c r="M18" s="1">
        <v>43276</v>
      </c>
      <c r="N18">
        <f t="shared" si="0"/>
        <v>310.59715680458197</v>
      </c>
      <c r="O18">
        <f t="shared" si="1"/>
        <v>295.90284319541803</v>
      </c>
      <c r="P18">
        <f t="shared" si="2"/>
        <v>303.25</v>
      </c>
      <c r="Q18">
        <f t="shared" si="3"/>
        <v>331.04920768737793</v>
      </c>
      <c r="R18">
        <f t="shared" si="4"/>
        <v>0</v>
      </c>
    </row>
    <row r="19" spans="1:18" x14ac:dyDescent="0.3">
      <c r="A19" s="1">
        <v>43186</v>
      </c>
      <c r="B19">
        <v>315.14999999999998</v>
      </c>
      <c r="C19">
        <v>302.39999999999998</v>
      </c>
      <c r="D19">
        <v>-12.75</v>
      </c>
      <c r="E19" s="1">
        <v>43277</v>
      </c>
      <c r="F19">
        <v>0.62635302543640103</v>
      </c>
      <c r="G19">
        <v>-12.75</v>
      </c>
      <c r="K19">
        <v>4.6798890776220485</v>
      </c>
      <c r="M19" s="1">
        <v>43277</v>
      </c>
      <c r="N19">
        <f t="shared" si="0"/>
        <v>310.09373764361061</v>
      </c>
      <c r="O19">
        <f t="shared" si="1"/>
        <v>294.70626235638935</v>
      </c>
      <c r="P19">
        <f t="shared" si="2"/>
        <v>302.39999999999998</v>
      </c>
      <c r="Q19">
        <f t="shared" si="3"/>
        <v>315.77635302543638</v>
      </c>
      <c r="R19">
        <f t="shared" si="4"/>
        <v>0</v>
      </c>
    </row>
    <row r="20" spans="1:18" x14ac:dyDescent="0.3">
      <c r="A20" s="1">
        <v>43187</v>
      </c>
      <c r="B20">
        <v>310.64999999999998</v>
      </c>
      <c r="C20">
        <v>301.54999961853002</v>
      </c>
      <c r="D20">
        <v>-9.1000003814697195</v>
      </c>
      <c r="E20" s="1">
        <v>43278</v>
      </c>
      <c r="F20">
        <v>2.2559211254119802</v>
      </c>
      <c r="G20">
        <v>-9.1000003814697195</v>
      </c>
      <c r="K20">
        <v>4.8980467309781917</v>
      </c>
      <c r="M20" s="1">
        <v>43278</v>
      </c>
      <c r="N20">
        <f>C20+1.644*K20</f>
        <v>309.60238844425817</v>
      </c>
      <c r="O20">
        <f>C20-1.644*K20</f>
        <v>293.49761079280188</v>
      </c>
      <c r="P20">
        <f>C20</f>
        <v>301.54999961853002</v>
      </c>
      <c r="Q20">
        <f>B20+F20</f>
        <v>312.90592112541196</v>
      </c>
      <c r="R20">
        <f>IF(AND(D20&gt;0, AND(Q20&lt;N20, Q20&gt;O20)),1,0)</f>
        <v>0</v>
      </c>
    </row>
    <row r="21" spans="1:18" x14ac:dyDescent="0.3">
      <c r="A21" s="1">
        <v>43188</v>
      </c>
      <c r="B21">
        <v>314.45</v>
      </c>
      <c r="C21">
        <v>299.09999961852998</v>
      </c>
      <c r="D21">
        <v>15.3500003814697</v>
      </c>
      <c r="E21" s="1">
        <v>43279</v>
      </c>
      <c r="F21">
        <v>-6.5012555122375399</v>
      </c>
      <c r="G21">
        <v>-15.3500003814697</v>
      </c>
      <c r="K21">
        <v>5.2059053699768523</v>
      </c>
      <c r="M21" s="1">
        <v>43279</v>
      </c>
      <c r="N21">
        <f t="shared" ref="N21:N26" si="5">C21+1.644*K21</f>
        <v>307.65850804677194</v>
      </c>
      <c r="O21">
        <f t="shared" ref="O21:O26" si="6">C21-1.644*K21</f>
        <v>290.54149119028801</v>
      </c>
      <c r="P21">
        <f t="shared" ref="P21:P26" si="7">C21</f>
        <v>299.09999961852998</v>
      </c>
      <c r="Q21">
        <f t="shared" ref="Q21:Q26" si="8">B21+F21</f>
        <v>307.94874448776244</v>
      </c>
      <c r="R21">
        <f t="shared" ref="R21:R26" si="9">IF(AND(D21&gt;0, AND(Q21&lt;N21, Q21&gt;O21)),1,0)</f>
        <v>0</v>
      </c>
    </row>
    <row r="22" spans="1:18" x14ac:dyDescent="0.3">
      <c r="A22" s="1">
        <v>43189</v>
      </c>
      <c r="B22">
        <v>314.55</v>
      </c>
      <c r="C22">
        <v>299.99999980926498</v>
      </c>
      <c r="D22">
        <v>14.550000190734799</v>
      </c>
      <c r="E22" s="1">
        <v>43280</v>
      </c>
      <c r="F22">
        <v>-9.8278903961181605</v>
      </c>
      <c r="G22">
        <v>-14.550000190734799</v>
      </c>
      <c r="K22">
        <v>5.4514220533587503</v>
      </c>
      <c r="M22" s="1">
        <v>43280</v>
      </c>
      <c r="N22">
        <f t="shared" si="5"/>
        <v>308.96213766498676</v>
      </c>
      <c r="O22">
        <f t="shared" si="6"/>
        <v>291.0378619535432</v>
      </c>
      <c r="P22">
        <f t="shared" si="7"/>
        <v>299.99999980926498</v>
      </c>
      <c r="Q22">
        <f t="shared" si="8"/>
        <v>304.72210960388185</v>
      </c>
      <c r="R22">
        <f t="shared" si="9"/>
        <v>1</v>
      </c>
    </row>
    <row r="23" spans="1:18" x14ac:dyDescent="0.3">
      <c r="A23" s="1">
        <v>43192</v>
      </c>
      <c r="B23">
        <v>313.45</v>
      </c>
      <c r="C23">
        <v>292.90000076293899</v>
      </c>
      <c r="D23">
        <v>20.549999237060501</v>
      </c>
      <c r="E23" s="1">
        <v>43283</v>
      </c>
      <c r="F23">
        <v>-5.0614709854125897</v>
      </c>
      <c r="G23">
        <v>-20.549999237060501</v>
      </c>
      <c r="K23">
        <v>5.9894175506599829</v>
      </c>
      <c r="M23" s="1">
        <v>43283</v>
      </c>
      <c r="N23">
        <f t="shared" si="5"/>
        <v>302.746603216224</v>
      </c>
      <c r="O23">
        <f t="shared" si="6"/>
        <v>283.05339830965397</v>
      </c>
      <c r="P23">
        <f t="shared" si="7"/>
        <v>292.90000076293899</v>
      </c>
      <c r="Q23">
        <f t="shared" si="8"/>
        <v>308.38852901458739</v>
      </c>
      <c r="R23">
        <f t="shared" si="9"/>
        <v>0</v>
      </c>
    </row>
    <row r="24" spans="1:18" x14ac:dyDescent="0.3">
      <c r="A24" s="1">
        <v>43193</v>
      </c>
      <c r="B24">
        <v>312.8</v>
      </c>
      <c r="C24">
        <v>293.75000076293901</v>
      </c>
      <c r="D24">
        <v>19.049999237060501</v>
      </c>
      <c r="E24" s="1">
        <v>43284</v>
      </c>
      <c r="F24">
        <v>-4.2298059463500897</v>
      </c>
      <c r="G24">
        <v>-19.049999237060501</v>
      </c>
      <c r="K24">
        <v>6.429470533889539</v>
      </c>
      <c r="M24" s="1">
        <v>43284</v>
      </c>
      <c r="N24">
        <f t="shared" si="5"/>
        <v>304.32005032065342</v>
      </c>
      <c r="O24">
        <f t="shared" si="6"/>
        <v>283.1799512052246</v>
      </c>
      <c r="P24">
        <f t="shared" si="7"/>
        <v>293.75000076293901</v>
      </c>
      <c r="Q24">
        <f t="shared" si="8"/>
        <v>308.57019405364991</v>
      </c>
      <c r="R24">
        <f t="shared" si="9"/>
        <v>0</v>
      </c>
    </row>
    <row r="25" spans="1:18" x14ac:dyDescent="0.3">
      <c r="A25" s="1">
        <v>43194</v>
      </c>
      <c r="B25">
        <v>307.55</v>
      </c>
      <c r="C25">
        <v>292.55</v>
      </c>
      <c r="D25">
        <v>15</v>
      </c>
      <c r="E25" s="1">
        <v>43285</v>
      </c>
      <c r="F25">
        <v>-5.0212049484252903</v>
      </c>
      <c r="G25">
        <v>-15</v>
      </c>
      <c r="K25">
        <v>6.8578537935600625</v>
      </c>
      <c r="M25" s="1">
        <v>43285</v>
      </c>
      <c r="N25">
        <f t="shared" si="5"/>
        <v>303.82431163661278</v>
      </c>
      <c r="O25">
        <f t="shared" si="6"/>
        <v>281.27568836338725</v>
      </c>
      <c r="P25">
        <f t="shared" si="7"/>
        <v>292.55</v>
      </c>
      <c r="Q25">
        <f t="shared" si="8"/>
        <v>302.52879505157472</v>
      </c>
      <c r="R25">
        <f t="shared" si="9"/>
        <v>1</v>
      </c>
    </row>
    <row r="26" spans="1:18" x14ac:dyDescent="0.3">
      <c r="A26" s="1">
        <v>43195</v>
      </c>
      <c r="B26">
        <v>312.95</v>
      </c>
      <c r="C26">
        <v>291.99999923706002</v>
      </c>
      <c r="D26">
        <v>20.9500007629394</v>
      </c>
      <c r="E26" s="1">
        <v>43286</v>
      </c>
      <c r="F26">
        <v>-4.6397976875305096</v>
      </c>
      <c r="G26">
        <v>-20.9500007629394</v>
      </c>
      <c r="K26">
        <v>7.2946155392443126</v>
      </c>
      <c r="M26" s="1">
        <v>43286</v>
      </c>
      <c r="N26">
        <f t="shared" si="5"/>
        <v>303.99234718357769</v>
      </c>
      <c r="O26">
        <f t="shared" si="6"/>
        <v>280.00765129054236</v>
      </c>
      <c r="P26">
        <f t="shared" si="7"/>
        <v>291.99999923706002</v>
      </c>
      <c r="Q26">
        <f t="shared" si="8"/>
        <v>308.31020231246947</v>
      </c>
      <c r="R26">
        <f t="shared" si="9"/>
        <v>0</v>
      </c>
    </row>
    <row r="27" spans="1:18" x14ac:dyDescent="0.3">
      <c r="A27" s="1">
        <v>43196</v>
      </c>
      <c r="B27">
        <v>311.2</v>
      </c>
      <c r="C27">
        <v>293.59999961852998</v>
      </c>
      <c r="D27">
        <v>17.600000381469702</v>
      </c>
      <c r="E27" s="1">
        <v>43287</v>
      </c>
      <c r="F27">
        <v>-3.5469613075256299</v>
      </c>
      <c r="G27">
        <v>-17.600000381469702</v>
      </c>
      <c r="K27">
        <v>7.634292099820688</v>
      </c>
      <c r="M27" s="1">
        <v>43287</v>
      </c>
      <c r="N27">
        <f>C27+1.644*K27</f>
        <v>306.15077583063521</v>
      </c>
      <c r="O27">
        <f>C27-1.644*K27</f>
        <v>281.04922340642474</v>
      </c>
      <c r="P27">
        <f>C27</f>
        <v>293.59999961852998</v>
      </c>
      <c r="Q27">
        <f>B27+F27</f>
        <v>307.65303869247435</v>
      </c>
      <c r="R27">
        <f>IF(AND(D27&gt;0, AND(Q27&lt;N27, Q27&gt;O27)),1,0)</f>
        <v>0</v>
      </c>
    </row>
    <row r="28" spans="1:18" x14ac:dyDescent="0.3">
      <c r="A28" s="1">
        <v>43199</v>
      </c>
      <c r="B28">
        <v>312.95</v>
      </c>
      <c r="C28">
        <v>296.24999923706002</v>
      </c>
      <c r="D28">
        <v>16.7000007629394</v>
      </c>
      <c r="E28" s="1">
        <v>43290</v>
      </c>
      <c r="F28">
        <v>-1.4996751546859699</v>
      </c>
      <c r="G28">
        <v>-16.7000007629394</v>
      </c>
      <c r="K28">
        <v>7.8618244481701653</v>
      </c>
      <c r="M28" s="1">
        <v>43290</v>
      </c>
      <c r="N28">
        <f t="shared" ref="N28:N36" si="10">C28+1.644*K28</f>
        <v>309.17483862985176</v>
      </c>
      <c r="O28">
        <f t="shared" ref="O28:O36" si="11">C28-1.644*K28</f>
        <v>283.32515984426828</v>
      </c>
      <c r="P28">
        <f t="shared" ref="P28:P36" si="12">C28</f>
        <v>296.24999923706002</v>
      </c>
      <c r="Q28">
        <f t="shared" ref="Q28:Q36" si="13">B28+F28</f>
        <v>311.45032484531401</v>
      </c>
      <c r="R28">
        <f t="shared" ref="R28:R36" si="14">IF(AND(D28&gt;0, AND(Q28&lt;N28, Q28&gt;O28)),1,0)</f>
        <v>0</v>
      </c>
    </row>
    <row r="29" spans="1:18" x14ac:dyDescent="0.3">
      <c r="A29" s="1">
        <v>43200</v>
      </c>
      <c r="B29">
        <v>313.45</v>
      </c>
      <c r="C29">
        <v>296.95</v>
      </c>
      <c r="D29">
        <v>16.5</v>
      </c>
      <c r="E29" s="1">
        <v>43291</v>
      </c>
      <c r="F29">
        <v>-2.8105494976043701</v>
      </c>
      <c r="G29">
        <v>-16.5</v>
      </c>
      <c r="K29">
        <v>8.0530036500961248</v>
      </c>
      <c r="M29" s="1">
        <v>43291</v>
      </c>
      <c r="N29">
        <f t="shared" si="10"/>
        <v>310.18913800075802</v>
      </c>
      <c r="O29">
        <f t="shared" si="11"/>
        <v>283.71086199924196</v>
      </c>
      <c r="P29">
        <f t="shared" si="12"/>
        <v>296.95</v>
      </c>
      <c r="Q29">
        <f t="shared" si="13"/>
        <v>310.63945050239562</v>
      </c>
      <c r="R29">
        <f t="shared" si="14"/>
        <v>0</v>
      </c>
    </row>
    <row r="30" spans="1:18" x14ac:dyDescent="0.3">
      <c r="A30" s="1">
        <v>43201</v>
      </c>
      <c r="B30">
        <v>312.45</v>
      </c>
      <c r="C30">
        <v>295.30000038146898</v>
      </c>
      <c r="D30">
        <v>17.149999618530199</v>
      </c>
      <c r="E30" s="1">
        <v>43292</v>
      </c>
      <c r="F30">
        <v>-1.9304510354995701</v>
      </c>
      <c r="G30">
        <v>-17.149999618530199</v>
      </c>
      <c r="K30">
        <v>8.2815882006412274</v>
      </c>
      <c r="M30" s="1">
        <v>43292</v>
      </c>
      <c r="N30">
        <f t="shared" si="10"/>
        <v>308.91493138332316</v>
      </c>
      <c r="O30">
        <f t="shared" si="11"/>
        <v>281.68506937961479</v>
      </c>
      <c r="P30">
        <f t="shared" si="12"/>
        <v>295.30000038146898</v>
      </c>
      <c r="Q30">
        <f t="shared" si="13"/>
        <v>310.51954896450042</v>
      </c>
      <c r="R30">
        <f t="shared" si="14"/>
        <v>0</v>
      </c>
    </row>
    <row r="31" spans="1:18" x14ac:dyDescent="0.3">
      <c r="A31" s="1">
        <v>43202</v>
      </c>
      <c r="B31">
        <v>311.75</v>
      </c>
      <c r="C31">
        <v>296</v>
      </c>
      <c r="D31">
        <v>15.75</v>
      </c>
      <c r="E31" s="1">
        <v>43293</v>
      </c>
      <c r="F31">
        <v>-12.2193069458007</v>
      </c>
      <c r="G31">
        <v>-15.75</v>
      </c>
      <c r="K31">
        <v>8.4787483910566728</v>
      </c>
      <c r="M31" s="1">
        <v>43293</v>
      </c>
      <c r="N31">
        <f t="shared" si="10"/>
        <v>309.93906235489715</v>
      </c>
      <c r="O31">
        <f t="shared" si="11"/>
        <v>282.06093764510285</v>
      </c>
      <c r="P31">
        <f t="shared" si="12"/>
        <v>296</v>
      </c>
      <c r="Q31">
        <f t="shared" si="13"/>
        <v>299.53069305419928</v>
      </c>
      <c r="R31">
        <f t="shared" si="14"/>
        <v>1</v>
      </c>
    </row>
    <row r="32" spans="1:18" x14ac:dyDescent="0.3">
      <c r="A32" s="1">
        <v>43203</v>
      </c>
      <c r="B32">
        <v>314.45</v>
      </c>
      <c r="C32">
        <v>299.09999961852998</v>
      </c>
      <c r="D32">
        <v>15.3500003814697</v>
      </c>
      <c r="E32" s="1">
        <v>43294</v>
      </c>
      <c r="F32">
        <v>-10.6697177886962</v>
      </c>
      <c r="G32">
        <v>-15.3500003814697</v>
      </c>
      <c r="K32">
        <v>8.5792699337504121</v>
      </c>
      <c r="M32" s="1">
        <v>43294</v>
      </c>
      <c r="N32">
        <f t="shared" si="10"/>
        <v>313.20431938961565</v>
      </c>
      <c r="O32">
        <f t="shared" si="11"/>
        <v>284.99567984744431</v>
      </c>
      <c r="P32">
        <f t="shared" si="12"/>
        <v>299.09999961852998</v>
      </c>
      <c r="Q32">
        <f t="shared" si="13"/>
        <v>303.78028221130381</v>
      </c>
      <c r="R32">
        <f t="shared" si="14"/>
        <v>1</v>
      </c>
    </row>
    <row r="33" spans="1:18" x14ac:dyDescent="0.3">
      <c r="A33" s="1">
        <v>43206</v>
      </c>
      <c r="B33">
        <v>314.3</v>
      </c>
      <c r="C33">
        <v>298.19999961853</v>
      </c>
      <c r="D33">
        <v>16.100000381469702</v>
      </c>
      <c r="E33" s="1">
        <v>43297</v>
      </c>
      <c r="F33">
        <v>-7.4705400466918901</v>
      </c>
      <c r="G33">
        <v>-16.100000381469702</v>
      </c>
      <c r="K33">
        <v>8.6916496730172845</v>
      </c>
      <c r="M33" s="1">
        <v>43297</v>
      </c>
      <c r="N33">
        <f t="shared" si="10"/>
        <v>312.48907168097043</v>
      </c>
      <c r="O33">
        <f t="shared" si="11"/>
        <v>283.91092755608958</v>
      </c>
      <c r="P33">
        <f t="shared" si="12"/>
        <v>298.19999961853</v>
      </c>
      <c r="Q33">
        <f t="shared" si="13"/>
        <v>306.82945995330812</v>
      </c>
      <c r="R33">
        <f t="shared" si="14"/>
        <v>1</v>
      </c>
    </row>
    <row r="34" spans="1:18" x14ac:dyDescent="0.3">
      <c r="A34" s="1">
        <v>43207</v>
      </c>
      <c r="B34">
        <v>314.39999999999998</v>
      </c>
      <c r="C34">
        <v>297.35000076293898</v>
      </c>
      <c r="D34">
        <v>17.049999237060501</v>
      </c>
      <c r="E34" s="1">
        <v>43298</v>
      </c>
      <c r="F34">
        <v>-6.8241806030273402</v>
      </c>
      <c r="G34">
        <v>-17.049999237060501</v>
      </c>
      <c r="K34">
        <v>8.8127259245453562</v>
      </c>
      <c r="M34" s="1">
        <v>43298</v>
      </c>
      <c r="N34">
        <f t="shared" si="10"/>
        <v>311.83812218289154</v>
      </c>
      <c r="O34">
        <f t="shared" si="11"/>
        <v>282.86187934298641</v>
      </c>
      <c r="P34">
        <f t="shared" si="12"/>
        <v>297.35000076293898</v>
      </c>
      <c r="Q34">
        <f t="shared" si="13"/>
        <v>307.57581939697263</v>
      </c>
      <c r="R34">
        <f t="shared" si="14"/>
        <v>1</v>
      </c>
    </row>
    <row r="35" spans="1:18" x14ac:dyDescent="0.3">
      <c r="A35" s="1">
        <v>43208</v>
      </c>
      <c r="B35">
        <v>317.60000000000002</v>
      </c>
      <c r="C35">
        <v>297.05000076293902</v>
      </c>
      <c r="D35">
        <v>20.549999237060501</v>
      </c>
      <c r="E35" s="1">
        <v>43299</v>
      </c>
      <c r="F35">
        <v>-9.6904296875</v>
      </c>
      <c r="G35">
        <v>-20.549999237060501</v>
      </c>
      <c r="K35">
        <v>8.8939108518347858</v>
      </c>
      <c r="M35" s="1">
        <v>43299</v>
      </c>
      <c r="N35">
        <f t="shared" si="10"/>
        <v>311.67159020335544</v>
      </c>
      <c r="O35">
        <f t="shared" si="11"/>
        <v>282.42841132252261</v>
      </c>
      <c r="P35">
        <f t="shared" si="12"/>
        <v>297.05000076293902</v>
      </c>
      <c r="Q35">
        <f t="shared" si="13"/>
        <v>307.90957031250002</v>
      </c>
      <c r="R35">
        <f t="shared" si="14"/>
        <v>1</v>
      </c>
    </row>
    <row r="36" spans="1:18" x14ac:dyDescent="0.3">
      <c r="A36" s="1">
        <v>43209</v>
      </c>
      <c r="B36">
        <v>319</v>
      </c>
      <c r="C36">
        <v>296.04999923705998</v>
      </c>
      <c r="D36">
        <v>22.9500007629394</v>
      </c>
      <c r="E36" s="1">
        <v>43300</v>
      </c>
      <c r="F36">
        <v>-11.6973342895507</v>
      </c>
      <c r="G36">
        <v>-22.9500007629394</v>
      </c>
      <c r="K36">
        <v>8.9623449723744795</v>
      </c>
      <c r="M36" s="1">
        <v>43300</v>
      </c>
      <c r="N36">
        <f t="shared" si="10"/>
        <v>310.78409437164362</v>
      </c>
      <c r="O36">
        <f t="shared" si="11"/>
        <v>281.31590410247634</v>
      </c>
      <c r="P36">
        <f t="shared" si="12"/>
        <v>296.04999923705998</v>
      </c>
      <c r="Q36">
        <f t="shared" si="13"/>
        <v>307.30266571044928</v>
      </c>
      <c r="R36">
        <f t="shared" si="14"/>
        <v>1</v>
      </c>
    </row>
    <row r="37" spans="1:18" x14ac:dyDescent="0.3">
      <c r="R37">
        <f>SUM(R2:R36)/35</f>
        <v>0.42857142857142855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vdiff_65_10_10_0.001_300_200_20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2018-07-22T14:47:34Z</dcterms:created>
  <dcterms:modified xsi:type="dcterms:W3CDTF">2018-07-22T14:47:34Z</dcterms:modified>
</cp:coreProperties>
</file>