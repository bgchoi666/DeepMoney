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Demian-marketbreaker\results_vdiff\"/>
    </mc:Choice>
  </mc:AlternateContent>
  <bookViews>
    <workbookView xWindow="0" yWindow="0" windowWidth="28800" windowHeight="12390"/>
  </bookViews>
  <sheets>
    <sheet name="vdiff_65_10_10_0.001_300_200_20" sheetId="1" r:id="rId1"/>
  </sheets>
  <calcPr calcId="0"/>
</workbook>
</file>

<file path=xl/calcChain.xml><?xml version="1.0" encoding="utf-8"?>
<calcChain xmlns="http://schemas.openxmlformats.org/spreadsheetml/2006/main">
  <c r="R146" i="1" l="1"/>
  <c r="R138" i="1"/>
  <c r="R139" i="1"/>
  <c r="R140" i="1"/>
  <c r="R141" i="1"/>
  <c r="R142" i="1"/>
  <c r="R143" i="1"/>
  <c r="R144" i="1"/>
  <c r="R145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2" i="1"/>
  <c r="N3" i="1"/>
  <c r="O3" i="1"/>
  <c r="N4" i="1"/>
  <c r="O4" i="1"/>
  <c r="N5" i="1"/>
  <c r="O5" i="1"/>
  <c r="N6" i="1"/>
  <c r="O6" i="1"/>
  <c r="N7" i="1"/>
  <c r="O7" i="1"/>
  <c r="N8" i="1"/>
  <c r="O8" i="1"/>
  <c r="N9" i="1"/>
  <c r="O9" i="1"/>
  <c r="N10" i="1"/>
  <c r="O10" i="1"/>
  <c r="N11" i="1"/>
  <c r="O11" i="1"/>
  <c r="N12" i="1"/>
  <c r="O12" i="1"/>
  <c r="N13" i="1"/>
  <c r="O13" i="1"/>
  <c r="N14" i="1"/>
  <c r="O14" i="1"/>
  <c r="N15" i="1"/>
  <c r="O15" i="1"/>
  <c r="N16" i="1"/>
  <c r="O16" i="1"/>
  <c r="N17" i="1"/>
  <c r="O17" i="1"/>
  <c r="N18" i="1"/>
  <c r="O18" i="1"/>
  <c r="N19" i="1"/>
  <c r="O19" i="1"/>
  <c r="N20" i="1"/>
  <c r="O20" i="1"/>
  <c r="N21" i="1"/>
  <c r="O21" i="1"/>
  <c r="N22" i="1"/>
  <c r="O22" i="1"/>
  <c r="N23" i="1"/>
  <c r="O23" i="1"/>
  <c r="N24" i="1"/>
  <c r="O24" i="1"/>
  <c r="N25" i="1"/>
  <c r="O25" i="1"/>
  <c r="N26" i="1"/>
  <c r="O26" i="1"/>
  <c r="N27" i="1"/>
  <c r="O27" i="1"/>
  <c r="N28" i="1"/>
  <c r="O28" i="1"/>
  <c r="N29" i="1"/>
  <c r="O29" i="1"/>
  <c r="N30" i="1"/>
  <c r="O30" i="1"/>
  <c r="N31" i="1"/>
  <c r="O31" i="1"/>
  <c r="N32" i="1"/>
  <c r="O32" i="1"/>
  <c r="N33" i="1"/>
  <c r="O33" i="1"/>
  <c r="N34" i="1"/>
  <c r="O34" i="1"/>
  <c r="N35" i="1"/>
  <c r="O35" i="1"/>
  <c r="N36" i="1"/>
  <c r="O36" i="1"/>
  <c r="N37" i="1"/>
  <c r="O37" i="1"/>
  <c r="N38" i="1"/>
  <c r="O38" i="1"/>
  <c r="N39" i="1"/>
  <c r="O39" i="1"/>
  <c r="N40" i="1"/>
  <c r="O40" i="1"/>
  <c r="N41" i="1"/>
  <c r="O41" i="1"/>
  <c r="N42" i="1"/>
  <c r="O42" i="1"/>
  <c r="N43" i="1"/>
  <c r="O43" i="1"/>
  <c r="N44" i="1"/>
  <c r="O44" i="1"/>
  <c r="N45" i="1"/>
  <c r="O45" i="1"/>
  <c r="N46" i="1"/>
  <c r="O46" i="1"/>
  <c r="N47" i="1"/>
  <c r="O47" i="1"/>
  <c r="N48" i="1"/>
  <c r="O48" i="1"/>
  <c r="N49" i="1"/>
  <c r="O49" i="1"/>
  <c r="N50" i="1"/>
  <c r="O50" i="1"/>
  <c r="N51" i="1"/>
  <c r="O51" i="1"/>
  <c r="N52" i="1"/>
  <c r="O52" i="1"/>
  <c r="N53" i="1"/>
  <c r="O53" i="1"/>
  <c r="N54" i="1"/>
  <c r="O54" i="1"/>
  <c r="N55" i="1"/>
  <c r="O55" i="1"/>
  <c r="N56" i="1"/>
  <c r="O56" i="1"/>
  <c r="N57" i="1"/>
  <c r="O57" i="1"/>
  <c r="N58" i="1"/>
  <c r="O58" i="1"/>
  <c r="N59" i="1"/>
  <c r="O59" i="1"/>
  <c r="N60" i="1"/>
  <c r="O60" i="1"/>
  <c r="N61" i="1"/>
  <c r="O61" i="1"/>
  <c r="N62" i="1"/>
  <c r="O62" i="1"/>
  <c r="N63" i="1"/>
  <c r="O63" i="1"/>
  <c r="N64" i="1"/>
  <c r="O64" i="1"/>
  <c r="N65" i="1"/>
  <c r="O65" i="1"/>
  <c r="N66" i="1"/>
  <c r="O66" i="1"/>
  <c r="N67" i="1"/>
  <c r="O67" i="1"/>
  <c r="N68" i="1"/>
  <c r="O68" i="1"/>
  <c r="N69" i="1"/>
  <c r="O69" i="1"/>
  <c r="N70" i="1"/>
  <c r="O70" i="1"/>
  <c r="N71" i="1"/>
  <c r="O71" i="1"/>
  <c r="N72" i="1"/>
  <c r="O72" i="1"/>
  <c r="N73" i="1"/>
  <c r="O73" i="1"/>
  <c r="N74" i="1"/>
  <c r="O74" i="1"/>
  <c r="N75" i="1"/>
  <c r="O75" i="1"/>
  <c r="N76" i="1"/>
  <c r="O76" i="1"/>
  <c r="N77" i="1"/>
  <c r="O77" i="1"/>
  <c r="N78" i="1"/>
  <c r="O78" i="1"/>
  <c r="N79" i="1"/>
  <c r="O79" i="1"/>
  <c r="N80" i="1"/>
  <c r="O80" i="1"/>
  <c r="N81" i="1"/>
  <c r="O81" i="1"/>
  <c r="N82" i="1"/>
  <c r="O82" i="1"/>
  <c r="N83" i="1"/>
  <c r="O83" i="1"/>
  <c r="N84" i="1"/>
  <c r="O84" i="1"/>
  <c r="N85" i="1"/>
  <c r="O85" i="1"/>
  <c r="N86" i="1"/>
  <c r="O86" i="1"/>
  <c r="N87" i="1"/>
  <c r="O87" i="1"/>
  <c r="N88" i="1"/>
  <c r="O88" i="1"/>
  <c r="N89" i="1"/>
  <c r="O89" i="1"/>
  <c r="N90" i="1"/>
  <c r="O90" i="1"/>
  <c r="N91" i="1"/>
  <c r="O91" i="1"/>
  <c r="N92" i="1"/>
  <c r="O92" i="1"/>
  <c r="N93" i="1"/>
  <c r="O93" i="1"/>
  <c r="N94" i="1"/>
  <c r="O94" i="1"/>
  <c r="N95" i="1"/>
  <c r="O95" i="1"/>
  <c r="N96" i="1"/>
  <c r="O96" i="1"/>
  <c r="N97" i="1"/>
  <c r="O97" i="1"/>
  <c r="N98" i="1"/>
  <c r="O98" i="1"/>
  <c r="N99" i="1"/>
  <c r="O99" i="1"/>
  <c r="N100" i="1"/>
  <c r="O100" i="1"/>
  <c r="N101" i="1"/>
  <c r="O101" i="1"/>
  <c r="N102" i="1"/>
  <c r="O102" i="1"/>
  <c r="N103" i="1"/>
  <c r="O103" i="1"/>
  <c r="N104" i="1"/>
  <c r="O104" i="1"/>
  <c r="N105" i="1"/>
  <c r="O105" i="1"/>
  <c r="N106" i="1"/>
  <c r="O106" i="1"/>
  <c r="N107" i="1"/>
  <c r="O107" i="1"/>
  <c r="N108" i="1"/>
  <c r="O108" i="1"/>
  <c r="N109" i="1"/>
  <c r="O109" i="1"/>
  <c r="N110" i="1"/>
  <c r="O110" i="1"/>
  <c r="N111" i="1"/>
  <c r="O111" i="1"/>
  <c r="N112" i="1"/>
  <c r="O112" i="1"/>
  <c r="N113" i="1"/>
  <c r="O113" i="1"/>
  <c r="N114" i="1"/>
  <c r="O114" i="1"/>
  <c r="N115" i="1"/>
  <c r="O115" i="1"/>
  <c r="N116" i="1"/>
  <c r="O116" i="1"/>
  <c r="N117" i="1"/>
  <c r="O117" i="1"/>
  <c r="N118" i="1"/>
  <c r="O118" i="1"/>
  <c r="N119" i="1"/>
  <c r="O119" i="1"/>
  <c r="N120" i="1"/>
  <c r="O120" i="1"/>
  <c r="N121" i="1"/>
  <c r="O121" i="1"/>
  <c r="N122" i="1"/>
  <c r="O122" i="1"/>
  <c r="N123" i="1"/>
  <c r="O123" i="1"/>
  <c r="N124" i="1"/>
  <c r="O124" i="1"/>
  <c r="N125" i="1"/>
  <c r="O125" i="1"/>
  <c r="N126" i="1"/>
  <c r="O126" i="1"/>
  <c r="N127" i="1"/>
  <c r="O127" i="1"/>
  <c r="N128" i="1"/>
  <c r="O128" i="1"/>
  <c r="N129" i="1"/>
  <c r="O129" i="1"/>
  <c r="N130" i="1"/>
  <c r="O130" i="1"/>
  <c r="N131" i="1"/>
  <c r="O131" i="1"/>
  <c r="N132" i="1"/>
  <c r="O132" i="1"/>
  <c r="N133" i="1"/>
  <c r="O133" i="1"/>
  <c r="N134" i="1"/>
  <c r="O134" i="1"/>
  <c r="N135" i="1"/>
  <c r="O135" i="1"/>
  <c r="N136" i="1"/>
  <c r="O136" i="1"/>
  <c r="N137" i="1"/>
  <c r="O137" i="1"/>
  <c r="N138" i="1"/>
  <c r="O138" i="1"/>
  <c r="N139" i="1"/>
  <c r="O139" i="1"/>
  <c r="N140" i="1"/>
  <c r="O140" i="1"/>
  <c r="N141" i="1"/>
  <c r="O141" i="1"/>
  <c r="N142" i="1"/>
  <c r="O142" i="1"/>
  <c r="N143" i="1"/>
  <c r="O143" i="1"/>
  <c r="N144" i="1"/>
  <c r="O144" i="1"/>
  <c r="N145" i="1"/>
  <c r="O145" i="1"/>
  <c r="O2" i="1"/>
  <c r="N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2" i="1"/>
  <c r="L1" i="1"/>
  <c r="K1" i="1"/>
  <c r="J1" i="1"/>
  <c r="I1" i="1"/>
  <c r="H1" i="1"/>
</calcChain>
</file>

<file path=xl/sharedStrings.xml><?xml version="1.0" encoding="utf-8"?>
<sst xmlns="http://schemas.openxmlformats.org/spreadsheetml/2006/main" count="11" uniqueCount="11">
  <si>
    <t>date</t>
  </si>
  <si>
    <t>index1</t>
  </si>
  <si>
    <t>index2</t>
  </si>
  <si>
    <t>loss_profits</t>
  </si>
  <si>
    <t>pred_date</t>
  </si>
  <si>
    <t>prediction</t>
  </si>
  <si>
    <t>real</t>
  </si>
  <si>
    <t>BT</t>
    <phoneticPr fontId="18" type="noConversion"/>
  </si>
  <si>
    <t>BB</t>
    <phoneticPr fontId="18" type="noConversion"/>
  </si>
  <si>
    <t>실재지수</t>
    <phoneticPr fontId="18" type="noConversion"/>
  </si>
  <si>
    <t>예측지수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</si>
</sst>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6"/>
  <sheetViews>
    <sheetView tabSelected="1" topLeftCell="A127" workbookViewId="0">
      <selection activeCell="R140" sqref="R140:R143"/>
    </sheetView>
  </sheetViews>
  <sheetFormatPr defaultRowHeight="16.5" x14ac:dyDescent="0.3"/>
  <cols>
    <col min="1" max="1" width="10.25" customWidth="1"/>
    <col min="5" max="5" width="11.75" customWidth="1"/>
    <col min="7" max="7" width="10.5" customWidth="1"/>
    <col min="13" max="13" width="10.3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>
        <f>COUNTIF(D2:D145, "&gt;0")/144</f>
        <v>0.85416666666666663</v>
      </c>
      <c r="I1">
        <f>AVERAGEIF(D2:D145, "&gt;0")</f>
        <v>10.773577215467991</v>
      </c>
      <c r="J1">
        <f>AVERAGEIF(D2:D145, "&lt;0")</f>
        <v>-9.8166666910761684</v>
      </c>
      <c r="K1">
        <f>MAX(D2:D144)</f>
        <v>29.049999237060501</v>
      </c>
      <c r="L1">
        <f>MIN(D2:D144)</f>
        <v>-21.350000381469702</v>
      </c>
      <c r="N1" t="s">
        <v>7</v>
      </c>
      <c r="O1" t="s">
        <v>8</v>
      </c>
      <c r="P1" t="s">
        <v>9</v>
      </c>
      <c r="Q1" t="s">
        <v>10</v>
      </c>
    </row>
    <row r="2" spans="1:18" x14ac:dyDescent="0.3">
      <c r="A2" s="1">
        <v>43010</v>
      </c>
      <c r="B2">
        <v>314.3</v>
      </c>
      <c r="C2">
        <v>325.650000381469</v>
      </c>
      <c r="D2">
        <v>11.3500003814697</v>
      </c>
      <c r="E2" s="1">
        <v>43101</v>
      </c>
      <c r="F2">
        <v>11.50936794281</v>
      </c>
      <c r="G2">
        <v>11.3500003814697</v>
      </c>
      <c r="K2">
        <v>5.8930570839651457</v>
      </c>
      <c r="M2" s="1">
        <v>43101</v>
      </c>
      <c r="N2">
        <f>P2+1.644*K2</f>
        <v>335.33818622750772</v>
      </c>
      <c r="O2">
        <f>P2-1.644*K2</f>
        <v>315.96181453543028</v>
      </c>
      <c r="P2">
        <v>325.650000381469</v>
      </c>
      <c r="Q2">
        <f>B2+F2</f>
        <v>325.80936794281001</v>
      </c>
      <c r="R2">
        <f>IF(AND(D2&gt;0, AND(Q2&lt;N2, Q2&gt;O2)),1,0)</f>
        <v>1</v>
      </c>
    </row>
    <row r="3" spans="1:18" x14ac:dyDescent="0.3">
      <c r="A3" s="1">
        <v>43011</v>
      </c>
      <c r="B3">
        <v>314.3</v>
      </c>
      <c r="C3">
        <v>326.49999980926498</v>
      </c>
      <c r="D3">
        <v>12.199999809265099</v>
      </c>
      <c r="E3" s="1">
        <v>43102</v>
      </c>
      <c r="F3">
        <v>11.593502044677701</v>
      </c>
      <c r="G3">
        <v>12.199999809265099</v>
      </c>
      <c r="K3">
        <v>5.7272037726636764</v>
      </c>
      <c r="M3" s="1">
        <v>43102</v>
      </c>
      <c r="N3">
        <f t="shared" ref="N3:N66" si="0">P3+1.644*K3</f>
        <v>335.91552281152406</v>
      </c>
      <c r="O3">
        <f t="shared" ref="O3:O66" si="1">P3-1.644*K3</f>
        <v>317.0844768070059</v>
      </c>
      <c r="P3">
        <v>326.49999980926498</v>
      </c>
      <c r="Q3">
        <f t="shared" ref="Q3:Q66" si="2">B3+F3</f>
        <v>325.89350204467769</v>
      </c>
      <c r="R3">
        <f t="shared" ref="R3:R66" si="3">IF(AND(D3&gt;0, AND(Q3&lt;N3, Q3&gt;O3)),1,0)</f>
        <v>1</v>
      </c>
    </row>
    <row r="4" spans="1:18" x14ac:dyDescent="0.3">
      <c r="A4" s="1">
        <v>43012</v>
      </c>
      <c r="B4">
        <v>314.3</v>
      </c>
      <c r="C4">
        <v>327.69999961853</v>
      </c>
      <c r="D4">
        <v>13.399999618530201</v>
      </c>
      <c r="E4" s="1">
        <v>43103</v>
      </c>
      <c r="F4">
        <v>11.932797431945801</v>
      </c>
      <c r="G4">
        <v>13.399999618530201</v>
      </c>
      <c r="K4">
        <v>5.5544090405919677</v>
      </c>
      <c r="M4" s="1">
        <v>43103</v>
      </c>
      <c r="N4">
        <f t="shared" si="0"/>
        <v>336.8314480812632</v>
      </c>
      <c r="O4">
        <f t="shared" si="1"/>
        <v>318.5685511557968</v>
      </c>
      <c r="P4">
        <v>327.69999961853</v>
      </c>
      <c r="Q4">
        <f t="shared" si="2"/>
        <v>326.23279743194581</v>
      </c>
      <c r="R4">
        <f t="shared" si="3"/>
        <v>1</v>
      </c>
    </row>
    <row r="5" spans="1:18" x14ac:dyDescent="0.3">
      <c r="A5" s="1">
        <v>43013</v>
      </c>
      <c r="B5">
        <v>314.3</v>
      </c>
      <c r="C5">
        <v>324.99999980926498</v>
      </c>
      <c r="D5">
        <v>10.699999809265099</v>
      </c>
      <c r="E5" s="1">
        <v>43104</v>
      </c>
      <c r="F5">
        <v>11.093828201293899</v>
      </c>
      <c r="G5">
        <v>10.699999809265099</v>
      </c>
      <c r="K5">
        <v>5.3656570558530534</v>
      </c>
      <c r="M5" s="1">
        <v>43104</v>
      </c>
      <c r="N5">
        <f t="shared" si="0"/>
        <v>333.8211400090874</v>
      </c>
      <c r="O5">
        <f t="shared" si="1"/>
        <v>316.17885960944255</v>
      </c>
      <c r="P5">
        <v>324.99999980926498</v>
      </c>
      <c r="Q5">
        <f t="shared" si="2"/>
        <v>325.3938282012939</v>
      </c>
      <c r="R5">
        <f t="shared" si="3"/>
        <v>1</v>
      </c>
    </row>
    <row r="6" spans="1:18" x14ac:dyDescent="0.3">
      <c r="A6" s="1">
        <v>43014</v>
      </c>
      <c r="B6">
        <v>314.3</v>
      </c>
      <c r="C6">
        <v>328.94999961853</v>
      </c>
      <c r="D6">
        <v>14.649999618530201</v>
      </c>
      <c r="E6" s="1">
        <v>43105</v>
      </c>
      <c r="F6">
        <v>13.880256652831999</v>
      </c>
      <c r="G6">
        <v>14.649999618530201</v>
      </c>
      <c r="K6">
        <v>5.1741557873616548</v>
      </c>
      <c r="M6" s="1">
        <v>43105</v>
      </c>
      <c r="N6">
        <f t="shared" si="0"/>
        <v>337.45631173295254</v>
      </c>
      <c r="O6">
        <f t="shared" si="1"/>
        <v>320.44368750410746</v>
      </c>
      <c r="P6">
        <v>328.94999961853</v>
      </c>
      <c r="Q6">
        <f t="shared" si="2"/>
        <v>328.18025665283199</v>
      </c>
      <c r="R6">
        <f t="shared" si="3"/>
        <v>1</v>
      </c>
    </row>
    <row r="7" spans="1:18" x14ac:dyDescent="0.3">
      <c r="A7" s="1">
        <v>43017</v>
      </c>
      <c r="B7">
        <v>314.3</v>
      </c>
      <c r="C7">
        <v>331.25000076293901</v>
      </c>
      <c r="D7">
        <v>16.9500007629394</v>
      </c>
      <c r="E7" s="1">
        <v>43108</v>
      </c>
      <c r="F7">
        <v>15.639951705932599</v>
      </c>
      <c r="G7">
        <v>16.9500007629394</v>
      </c>
      <c r="K7">
        <v>4.9911458316990407</v>
      </c>
      <c r="M7" s="1">
        <v>43108</v>
      </c>
      <c r="N7">
        <f t="shared" si="0"/>
        <v>339.45544451025222</v>
      </c>
      <c r="O7">
        <f t="shared" si="1"/>
        <v>323.0445570156258</v>
      </c>
      <c r="P7">
        <v>331.25000076293901</v>
      </c>
      <c r="Q7">
        <f t="shared" si="2"/>
        <v>329.93995170593263</v>
      </c>
      <c r="R7">
        <f t="shared" si="3"/>
        <v>1</v>
      </c>
    </row>
    <row r="8" spans="1:18" x14ac:dyDescent="0.3">
      <c r="A8" s="1">
        <v>43018</v>
      </c>
      <c r="B8">
        <v>320.14999999999998</v>
      </c>
      <c r="C8">
        <v>330.45000019073399</v>
      </c>
      <c r="D8">
        <v>10.300000190734799</v>
      </c>
      <c r="E8" s="1">
        <v>43109</v>
      </c>
      <c r="F8">
        <v>10.302433013916</v>
      </c>
      <c r="G8">
        <v>10.300000190734799</v>
      </c>
      <c r="K8">
        <v>4.7765691718652059</v>
      </c>
      <c r="M8" s="1">
        <v>43109</v>
      </c>
      <c r="N8">
        <f t="shared" si="0"/>
        <v>338.30267990928041</v>
      </c>
      <c r="O8">
        <f t="shared" si="1"/>
        <v>322.59732047218756</v>
      </c>
      <c r="P8">
        <v>330.45000019073399</v>
      </c>
      <c r="Q8">
        <f t="shared" si="2"/>
        <v>330.45243301391599</v>
      </c>
      <c r="R8">
        <f t="shared" si="3"/>
        <v>1</v>
      </c>
    </row>
    <row r="9" spans="1:18" x14ac:dyDescent="0.3">
      <c r="A9" s="1">
        <v>43019</v>
      </c>
      <c r="B9">
        <v>323.25</v>
      </c>
      <c r="C9">
        <v>327.849999904632</v>
      </c>
      <c r="D9">
        <v>4.5999999046325604</v>
      </c>
      <c r="E9" s="1">
        <v>43110</v>
      </c>
      <c r="F9">
        <v>3.4286015033721902</v>
      </c>
      <c r="G9">
        <v>4.5999999046325604</v>
      </c>
      <c r="K9">
        <v>4.7072827076255459</v>
      </c>
      <c r="M9" s="1">
        <v>43110</v>
      </c>
      <c r="N9">
        <f t="shared" si="0"/>
        <v>335.58877267596841</v>
      </c>
      <c r="O9">
        <f t="shared" si="1"/>
        <v>320.11122713329559</v>
      </c>
      <c r="P9">
        <v>327.849999904632</v>
      </c>
      <c r="Q9">
        <f t="shared" si="2"/>
        <v>326.67860150337219</v>
      </c>
      <c r="R9">
        <f t="shared" si="3"/>
        <v>1</v>
      </c>
    </row>
    <row r="10" spans="1:18" x14ac:dyDescent="0.3">
      <c r="A10" s="1">
        <v>43020</v>
      </c>
      <c r="B10">
        <v>325.64999999999998</v>
      </c>
      <c r="C10">
        <v>326.50000002384098</v>
      </c>
      <c r="D10">
        <v>0.85000002384185702</v>
      </c>
      <c r="E10" s="1">
        <v>43111</v>
      </c>
      <c r="F10">
        <v>1.24196076393127</v>
      </c>
      <c r="G10">
        <v>0.85000002384185702</v>
      </c>
      <c r="K10">
        <v>4.6861889153251779</v>
      </c>
      <c r="M10" s="1">
        <v>43111</v>
      </c>
      <c r="N10">
        <f t="shared" si="0"/>
        <v>334.20409460063559</v>
      </c>
      <c r="O10">
        <f t="shared" si="1"/>
        <v>318.79590544704638</v>
      </c>
      <c r="P10">
        <v>326.50000002384098</v>
      </c>
      <c r="Q10">
        <f t="shared" si="2"/>
        <v>326.89196076393125</v>
      </c>
      <c r="R10">
        <f t="shared" si="3"/>
        <v>1</v>
      </c>
    </row>
    <row r="11" spans="1:18" x14ac:dyDescent="0.3">
      <c r="A11" s="1">
        <v>43021</v>
      </c>
      <c r="B11">
        <v>325.3</v>
      </c>
      <c r="C11">
        <v>326.84999995231601</v>
      </c>
      <c r="D11">
        <v>1.54999995231628</v>
      </c>
      <c r="E11" s="1">
        <v>43112</v>
      </c>
      <c r="F11">
        <v>1.66828501224517</v>
      </c>
      <c r="G11">
        <v>1.54999995231628</v>
      </c>
      <c r="K11">
        <v>4.6836663188660452</v>
      </c>
      <c r="M11" s="1">
        <v>43112</v>
      </c>
      <c r="N11">
        <f t="shared" si="0"/>
        <v>334.54994738053176</v>
      </c>
      <c r="O11">
        <f t="shared" si="1"/>
        <v>319.15005252410026</v>
      </c>
      <c r="P11">
        <v>326.84999995231601</v>
      </c>
      <c r="Q11">
        <f t="shared" si="2"/>
        <v>326.96828501224519</v>
      </c>
      <c r="R11">
        <f t="shared" si="3"/>
        <v>1</v>
      </c>
    </row>
    <row r="12" spans="1:18" x14ac:dyDescent="0.3">
      <c r="A12" s="1">
        <v>43024</v>
      </c>
      <c r="B12">
        <v>325.5</v>
      </c>
      <c r="C12">
        <v>327.299999952316</v>
      </c>
      <c r="D12">
        <v>1.79999995231628</v>
      </c>
      <c r="E12" s="1">
        <v>43115</v>
      </c>
      <c r="F12">
        <v>2.3500950336456299</v>
      </c>
      <c r="G12">
        <v>1.79999995231628</v>
      </c>
      <c r="K12">
        <v>4.6796283323220589</v>
      </c>
      <c r="M12" s="1">
        <v>43115</v>
      </c>
      <c r="N12">
        <f t="shared" si="0"/>
        <v>334.99330893065348</v>
      </c>
      <c r="O12">
        <f t="shared" si="1"/>
        <v>319.60669097397852</v>
      </c>
      <c r="P12">
        <v>327.299999952316</v>
      </c>
      <c r="Q12">
        <f t="shared" si="2"/>
        <v>327.85009503364563</v>
      </c>
      <c r="R12">
        <f t="shared" si="3"/>
        <v>1</v>
      </c>
    </row>
    <row r="13" spans="1:18" x14ac:dyDescent="0.3">
      <c r="A13" s="1">
        <v>43025</v>
      </c>
      <c r="B13">
        <v>325.8</v>
      </c>
      <c r="C13">
        <v>330.49999980926498</v>
      </c>
      <c r="D13">
        <v>4.6999998092651296</v>
      </c>
      <c r="E13" s="1">
        <v>43116</v>
      </c>
      <c r="F13">
        <v>4.6725201606750399</v>
      </c>
      <c r="G13">
        <v>4.6999998092651296</v>
      </c>
      <c r="K13">
        <v>4.6965709978162931</v>
      </c>
      <c r="M13" s="1">
        <v>43116</v>
      </c>
      <c r="N13">
        <f t="shared" si="0"/>
        <v>338.22116252967498</v>
      </c>
      <c r="O13">
        <f t="shared" si="1"/>
        <v>322.77883708885497</v>
      </c>
      <c r="P13">
        <v>330.49999980926498</v>
      </c>
      <c r="Q13">
        <f t="shared" si="2"/>
        <v>330.47252016067506</v>
      </c>
      <c r="R13">
        <f t="shared" si="3"/>
        <v>1</v>
      </c>
    </row>
    <row r="14" spans="1:18" x14ac:dyDescent="0.3">
      <c r="A14" s="1">
        <v>43026</v>
      </c>
      <c r="B14">
        <v>325.85000000000002</v>
      </c>
      <c r="C14">
        <v>329.19999990463202</v>
      </c>
      <c r="D14">
        <v>3.3499999046325599</v>
      </c>
      <c r="E14" s="1">
        <v>43117</v>
      </c>
      <c r="F14">
        <v>4.0739994049072203</v>
      </c>
      <c r="G14">
        <v>3.3499999046325599</v>
      </c>
      <c r="K14">
        <v>4.701790872910812</v>
      </c>
      <c r="M14" s="1">
        <v>43117</v>
      </c>
      <c r="N14">
        <f t="shared" si="0"/>
        <v>336.92974409969742</v>
      </c>
      <c r="O14">
        <f t="shared" si="1"/>
        <v>321.47025570956663</v>
      </c>
      <c r="P14">
        <v>329.19999990463202</v>
      </c>
      <c r="Q14">
        <f t="shared" si="2"/>
        <v>329.92399940490725</v>
      </c>
      <c r="R14">
        <f t="shared" si="3"/>
        <v>1</v>
      </c>
    </row>
    <row r="15" spans="1:18" x14ac:dyDescent="0.3">
      <c r="A15" s="1">
        <v>43027</v>
      </c>
      <c r="B15">
        <v>324.10000000000002</v>
      </c>
      <c r="C15">
        <v>329.40000019073398</v>
      </c>
      <c r="D15">
        <v>5.3000001907348597</v>
      </c>
      <c r="E15" s="1">
        <v>43118</v>
      </c>
      <c r="F15">
        <v>4.7949533462524396</v>
      </c>
      <c r="G15">
        <v>5.3000001907348597</v>
      </c>
      <c r="K15">
        <v>4.7080742033195175</v>
      </c>
      <c r="M15" s="1">
        <v>43118</v>
      </c>
      <c r="N15">
        <f t="shared" si="0"/>
        <v>337.14007418099129</v>
      </c>
      <c r="O15">
        <f t="shared" si="1"/>
        <v>321.65992620047666</v>
      </c>
      <c r="P15">
        <v>329.40000019073398</v>
      </c>
      <c r="Q15">
        <f t="shared" si="2"/>
        <v>328.89495334625246</v>
      </c>
      <c r="R15">
        <f t="shared" si="3"/>
        <v>1</v>
      </c>
    </row>
    <row r="16" spans="1:18" x14ac:dyDescent="0.3">
      <c r="A16" s="1">
        <v>43028</v>
      </c>
      <c r="B16">
        <v>326.25</v>
      </c>
      <c r="C16">
        <v>329.599999904632</v>
      </c>
      <c r="D16">
        <v>3.3499999046325599</v>
      </c>
      <c r="E16" s="1">
        <v>43119</v>
      </c>
      <c r="F16">
        <v>3.17249131202697</v>
      </c>
      <c r="G16">
        <v>3.3499999046325599</v>
      </c>
      <c r="K16">
        <v>4.7026384995881676</v>
      </c>
      <c r="M16" s="1">
        <v>43119</v>
      </c>
      <c r="N16">
        <f t="shared" si="0"/>
        <v>337.33113759795492</v>
      </c>
      <c r="O16">
        <f t="shared" si="1"/>
        <v>321.86886221130908</v>
      </c>
      <c r="P16">
        <v>329.599999904632</v>
      </c>
      <c r="Q16">
        <f t="shared" si="2"/>
        <v>329.42249131202698</v>
      </c>
      <c r="R16">
        <f t="shared" si="3"/>
        <v>1</v>
      </c>
    </row>
    <row r="17" spans="1:18" x14ac:dyDescent="0.3">
      <c r="A17" s="1">
        <v>43031</v>
      </c>
      <c r="B17">
        <v>327.05</v>
      </c>
      <c r="C17">
        <v>326.24999998807903</v>
      </c>
      <c r="D17">
        <v>-0.80000001192092896</v>
      </c>
      <c r="E17" s="1">
        <v>43122</v>
      </c>
      <c r="F17">
        <v>0.209315210580825</v>
      </c>
      <c r="G17">
        <v>-0.80000001192092896</v>
      </c>
      <c r="K17">
        <v>4.7026384995881676</v>
      </c>
      <c r="M17" s="1">
        <v>43122</v>
      </c>
      <c r="N17">
        <f t="shared" si="0"/>
        <v>333.98113768140195</v>
      </c>
      <c r="O17">
        <f t="shared" si="1"/>
        <v>318.5188622947561</v>
      </c>
      <c r="P17">
        <v>326.24999998807903</v>
      </c>
      <c r="Q17">
        <f t="shared" si="2"/>
        <v>327.25931521058084</v>
      </c>
      <c r="R17">
        <f t="shared" si="3"/>
        <v>0</v>
      </c>
    </row>
    <row r="18" spans="1:18" x14ac:dyDescent="0.3">
      <c r="A18" s="1">
        <v>43032</v>
      </c>
      <c r="B18">
        <v>326.55</v>
      </c>
      <c r="C18">
        <v>331.24999980926498</v>
      </c>
      <c r="D18">
        <v>4.6999998092651296</v>
      </c>
      <c r="E18" s="1">
        <v>43123</v>
      </c>
      <c r="F18">
        <v>4.0436658859252903</v>
      </c>
      <c r="G18">
        <v>4.6999998092651296</v>
      </c>
      <c r="K18">
        <v>4.7290041432081864</v>
      </c>
      <c r="M18" s="1">
        <v>43123</v>
      </c>
      <c r="N18">
        <f t="shared" si="0"/>
        <v>339.02448262069925</v>
      </c>
      <c r="O18">
        <f t="shared" si="1"/>
        <v>323.47551699783071</v>
      </c>
      <c r="P18">
        <v>331.24999980926498</v>
      </c>
      <c r="Q18">
        <f t="shared" si="2"/>
        <v>330.5936658859253</v>
      </c>
      <c r="R18">
        <f t="shared" si="3"/>
        <v>1</v>
      </c>
    </row>
    <row r="19" spans="1:18" x14ac:dyDescent="0.3">
      <c r="A19" s="1">
        <v>43033</v>
      </c>
      <c r="B19">
        <v>326.75</v>
      </c>
      <c r="C19">
        <v>331.599999904632</v>
      </c>
      <c r="D19">
        <v>4.8499999046325604</v>
      </c>
      <c r="E19" s="1">
        <v>43124</v>
      </c>
      <c r="F19">
        <v>5.9270067214965803</v>
      </c>
      <c r="G19">
        <v>4.8499999046325604</v>
      </c>
      <c r="K19">
        <v>4.7581441040268349</v>
      </c>
      <c r="M19" s="1">
        <v>43124</v>
      </c>
      <c r="N19">
        <f t="shared" si="0"/>
        <v>339.42238881165213</v>
      </c>
      <c r="O19">
        <f t="shared" si="1"/>
        <v>323.77761099761187</v>
      </c>
      <c r="P19">
        <v>331.599999904632</v>
      </c>
      <c r="Q19">
        <f t="shared" si="2"/>
        <v>332.67700672149658</v>
      </c>
      <c r="R19">
        <f t="shared" si="3"/>
        <v>1</v>
      </c>
    </row>
    <row r="20" spans="1:18" x14ac:dyDescent="0.3">
      <c r="A20" s="1">
        <v>43034</v>
      </c>
      <c r="B20">
        <v>323.75</v>
      </c>
      <c r="C20">
        <v>334.30000019073401</v>
      </c>
      <c r="D20">
        <v>10.550000190734799</v>
      </c>
      <c r="E20" s="1">
        <v>43125</v>
      </c>
      <c r="F20">
        <v>10.207455635070801</v>
      </c>
      <c r="G20">
        <v>10.550000190734799</v>
      </c>
      <c r="K20">
        <v>4.8340377269856685</v>
      </c>
      <c r="M20" s="1">
        <v>43125</v>
      </c>
      <c r="N20">
        <f t="shared" si="0"/>
        <v>342.24715821389844</v>
      </c>
      <c r="O20">
        <f t="shared" si="1"/>
        <v>326.35284216756958</v>
      </c>
      <c r="P20">
        <v>334.30000019073401</v>
      </c>
      <c r="Q20">
        <f t="shared" si="2"/>
        <v>333.9574556350708</v>
      </c>
      <c r="R20">
        <f t="shared" si="3"/>
        <v>1</v>
      </c>
    </row>
    <row r="21" spans="1:18" x14ac:dyDescent="0.3">
      <c r="A21" s="1">
        <v>43035</v>
      </c>
      <c r="B21">
        <v>326.85000000000002</v>
      </c>
      <c r="C21">
        <v>335.95000038146901</v>
      </c>
      <c r="D21">
        <v>9.1000003814697195</v>
      </c>
      <c r="E21" s="1">
        <v>43126</v>
      </c>
      <c r="F21">
        <v>7.1190505027770996</v>
      </c>
      <c r="G21">
        <v>9.1000003814697195</v>
      </c>
      <c r="K21">
        <v>4.9228769991457186</v>
      </c>
      <c r="M21" s="1">
        <v>43126</v>
      </c>
      <c r="N21">
        <f t="shared" si="0"/>
        <v>344.04321016806455</v>
      </c>
      <c r="O21">
        <f t="shared" si="1"/>
        <v>327.85679059487347</v>
      </c>
      <c r="P21">
        <v>335.95000038146901</v>
      </c>
      <c r="Q21">
        <f t="shared" si="2"/>
        <v>333.96905050277712</v>
      </c>
      <c r="R21">
        <f t="shared" si="3"/>
        <v>1</v>
      </c>
    </row>
    <row r="22" spans="1:18" x14ac:dyDescent="0.3">
      <c r="A22" s="1">
        <v>43038</v>
      </c>
      <c r="B22">
        <v>327.45</v>
      </c>
      <c r="C22">
        <v>338.500000190734</v>
      </c>
      <c r="D22">
        <v>11.050000190734799</v>
      </c>
      <c r="E22" s="1">
        <v>43129</v>
      </c>
      <c r="F22">
        <v>8.9238576889037997</v>
      </c>
      <c r="G22">
        <v>11.050000190734799</v>
      </c>
      <c r="K22">
        <v>5.1000318226531283</v>
      </c>
      <c r="M22" s="1">
        <v>43129</v>
      </c>
      <c r="N22">
        <f t="shared" si="0"/>
        <v>346.88445250717575</v>
      </c>
      <c r="O22">
        <f t="shared" si="1"/>
        <v>330.11554787429225</v>
      </c>
      <c r="P22">
        <v>338.500000190734</v>
      </c>
      <c r="Q22">
        <f t="shared" si="2"/>
        <v>336.3738576889038</v>
      </c>
      <c r="R22">
        <f t="shared" si="3"/>
        <v>1</v>
      </c>
    </row>
    <row r="23" spans="1:18" x14ac:dyDescent="0.3">
      <c r="A23" s="1">
        <v>43039</v>
      </c>
      <c r="B23">
        <v>331.05</v>
      </c>
      <c r="C23">
        <v>333.89999990463201</v>
      </c>
      <c r="D23">
        <v>2.8499999046325599</v>
      </c>
      <c r="E23" s="1">
        <v>43130</v>
      </c>
      <c r="F23">
        <v>1.4633935689926101</v>
      </c>
      <c r="G23">
        <v>2.8499999046325599</v>
      </c>
      <c r="K23">
        <v>5.1545367800850368</v>
      </c>
      <c r="M23" s="1">
        <v>43130</v>
      </c>
      <c r="N23">
        <f t="shared" si="0"/>
        <v>342.37405837109179</v>
      </c>
      <c r="O23">
        <f t="shared" si="1"/>
        <v>325.42594143817223</v>
      </c>
      <c r="P23">
        <v>333.89999990463201</v>
      </c>
      <c r="Q23">
        <f t="shared" si="2"/>
        <v>332.51339356899263</v>
      </c>
      <c r="R23">
        <f t="shared" si="3"/>
        <v>1</v>
      </c>
    </row>
    <row r="24" spans="1:18" x14ac:dyDescent="0.3">
      <c r="A24" s="1">
        <v>43040</v>
      </c>
      <c r="B24">
        <v>336.55</v>
      </c>
      <c r="C24">
        <v>334.45000009536699</v>
      </c>
      <c r="D24">
        <v>2.0999999046325599</v>
      </c>
      <c r="E24" s="1">
        <v>43131</v>
      </c>
      <c r="F24">
        <v>-1.5163396596908501</v>
      </c>
      <c r="G24">
        <v>-2.0999999046325599</v>
      </c>
      <c r="K24">
        <v>5.2031862212635502</v>
      </c>
      <c r="M24" s="1">
        <v>43131</v>
      </c>
      <c r="N24">
        <f t="shared" si="0"/>
        <v>343.00403824312428</v>
      </c>
      <c r="O24">
        <f t="shared" si="1"/>
        <v>325.89596194760969</v>
      </c>
      <c r="P24">
        <v>334.45000009536699</v>
      </c>
      <c r="Q24">
        <f t="shared" si="2"/>
        <v>335.03366034030915</v>
      </c>
      <c r="R24">
        <f t="shared" si="3"/>
        <v>1</v>
      </c>
    </row>
    <row r="25" spans="1:18" x14ac:dyDescent="0.3">
      <c r="A25" s="1">
        <v>43041</v>
      </c>
      <c r="B25">
        <v>335.05</v>
      </c>
      <c r="C25">
        <v>333.65000002384102</v>
      </c>
      <c r="D25">
        <v>1.3999999761581401</v>
      </c>
      <c r="E25" s="1">
        <v>43132</v>
      </c>
      <c r="F25">
        <v>-1.4255996942520099</v>
      </c>
      <c r="G25">
        <v>-1.3999999761581401</v>
      </c>
      <c r="K25">
        <v>5.1414003606991807</v>
      </c>
      <c r="M25" s="1">
        <v>43132</v>
      </c>
      <c r="N25">
        <f t="shared" si="0"/>
        <v>342.10246221683047</v>
      </c>
      <c r="O25">
        <f t="shared" si="1"/>
        <v>325.19753783085156</v>
      </c>
      <c r="P25">
        <v>333.65000002384102</v>
      </c>
      <c r="Q25">
        <f t="shared" si="2"/>
        <v>333.624400305748</v>
      </c>
      <c r="R25">
        <f t="shared" si="3"/>
        <v>1</v>
      </c>
    </row>
    <row r="26" spans="1:18" x14ac:dyDescent="0.3">
      <c r="A26" s="1">
        <v>43042</v>
      </c>
      <c r="B26">
        <v>336.35</v>
      </c>
      <c r="C26">
        <v>327.40000019073398</v>
      </c>
      <c r="D26">
        <v>8.9499998092651296</v>
      </c>
      <c r="E26" s="1">
        <v>43133</v>
      </c>
      <c r="F26">
        <v>-8.6946296691894496</v>
      </c>
      <c r="G26">
        <v>-8.9499998092651296</v>
      </c>
      <c r="K26">
        <v>5.0637208303794408</v>
      </c>
      <c r="M26" s="1">
        <v>43133</v>
      </c>
      <c r="N26">
        <f t="shared" si="0"/>
        <v>335.7247572358778</v>
      </c>
      <c r="O26">
        <f t="shared" si="1"/>
        <v>319.07524314559015</v>
      </c>
      <c r="P26">
        <v>327.40000019073398</v>
      </c>
      <c r="Q26">
        <f t="shared" si="2"/>
        <v>327.65537033081057</v>
      </c>
      <c r="R26">
        <f t="shared" si="3"/>
        <v>1</v>
      </c>
    </row>
    <row r="27" spans="1:18" x14ac:dyDescent="0.3">
      <c r="A27" s="1">
        <v>43045</v>
      </c>
      <c r="B27">
        <v>334.15</v>
      </c>
      <c r="C27">
        <v>323.00000038146902</v>
      </c>
      <c r="D27">
        <v>11.149999618530201</v>
      </c>
      <c r="E27" s="1">
        <v>43136</v>
      </c>
      <c r="F27">
        <v>-12.8072700500488</v>
      </c>
      <c r="G27">
        <v>-11.149999618530201</v>
      </c>
      <c r="K27">
        <v>4.9828928791638143</v>
      </c>
      <c r="M27" s="1">
        <v>43136</v>
      </c>
      <c r="N27">
        <f t="shared" si="0"/>
        <v>331.19187627481432</v>
      </c>
      <c r="O27">
        <f t="shared" si="1"/>
        <v>314.80812448812372</v>
      </c>
      <c r="P27">
        <v>323.00000038146902</v>
      </c>
      <c r="Q27">
        <f t="shared" si="2"/>
        <v>321.34272994995115</v>
      </c>
      <c r="R27">
        <f t="shared" si="3"/>
        <v>1</v>
      </c>
    </row>
    <row r="28" spans="1:18" x14ac:dyDescent="0.3">
      <c r="A28" s="1">
        <v>43046</v>
      </c>
      <c r="B28">
        <v>333.75</v>
      </c>
      <c r="C28">
        <v>317.64999961852999</v>
      </c>
      <c r="D28">
        <v>16.100000381469702</v>
      </c>
      <c r="E28" s="1">
        <v>43137</v>
      </c>
      <c r="F28">
        <v>-16.9565410614013</v>
      </c>
      <c r="G28">
        <v>-16.100000381469702</v>
      </c>
      <c r="K28">
        <v>5.0623411943781873</v>
      </c>
      <c r="M28" s="1">
        <v>43137</v>
      </c>
      <c r="N28">
        <f t="shared" si="0"/>
        <v>325.97248854208772</v>
      </c>
      <c r="O28">
        <f t="shared" si="1"/>
        <v>309.32751069497226</v>
      </c>
      <c r="P28">
        <v>317.64999961852999</v>
      </c>
      <c r="Q28">
        <f t="shared" si="2"/>
        <v>316.79345893859869</v>
      </c>
      <c r="R28">
        <f t="shared" si="3"/>
        <v>1</v>
      </c>
    </row>
    <row r="29" spans="1:18" x14ac:dyDescent="0.3">
      <c r="A29" s="1">
        <v>43047</v>
      </c>
      <c r="B29">
        <v>335.25</v>
      </c>
      <c r="C29">
        <v>309.5</v>
      </c>
      <c r="D29">
        <v>25.75</v>
      </c>
      <c r="E29" s="1">
        <v>43138</v>
      </c>
      <c r="F29">
        <v>-22.3796291351318</v>
      </c>
      <c r="G29">
        <v>-25.75</v>
      </c>
      <c r="K29">
        <v>5.4552443171172955</v>
      </c>
      <c r="M29" s="1">
        <v>43138</v>
      </c>
      <c r="N29">
        <f t="shared" si="0"/>
        <v>318.46842165734085</v>
      </c>
      <c r="O29">
        <f t="shared" si="1"/>
        <v>300.53157834265915</v>
      </c>
      <c r="P29">
        <v>309.5</v>
      </c>
      <c r="Q29">
        <f t="shared" si="2"/>
        <v>312.87037086486822</v>
      </c>
      <c r="R29">
        <f t="shared" si="3"/>
        <v>1</v>
      </c>
    </row>
    <row r="30" spans="1:18" x14ac:dyDescent="0.3">
      <c r="A30" s="1">
        <v>43048</v>
      </c>
      <c r="B30">
        <v>333.65</v>
      </c>
      <c r="C30">
        <v>312.50000038146902</v>
      </c>
      <c r="D30">
        <v>21.149999618530199</v>
      </c>
      <c r="E30" s="1">
        <v>43139</v>
      </c>
      <c r="F30">
        <v>-20.0487041473388</v>
      </c>
      <c r="G30">
        <v>-21.149999618530199</v>
      </c>
      <c r="K30">
        <v>5.6402330127600599</v>
      </c>
      <c r="M30" s="1">
        <v>43139</v>
      </c>
      <c r="N30">
        <f t="shared" si="0"/>
        <v>321.77254345444658</v>
      </c>
      <c r="O30">
        <f t="shared" si="1"/>
        <v>303.22745730849147</v>
      </c>
      <c r="P30">
        <v>312.50000038146902</v>
      </c>
      <c r="Q30">
        <f t="shared" si="2"/>
        <v>313.60129585266117</v>
      </c>
      <c r="R30">
        <f t="shared" si="3"/>
        <v>1</v>
      </c>
    </row>
    <row r="31" spans="1:18" x14ac:dyDescent="0.3">
      <c r="A31" s="1">
        <v>43049</v>
      </c>
      <c r="B31">
        <v>332.9</v>
      </c>
      <c r="C31">
        <v>303.85000076293898</v>
      </c>
      <c r="D31">
        <v>29.049999237060501</v>
      </c>
      <c r="E31" s="1">
        <v>43140</v>
      </c>
      <c r="F31">
        <v>-29.427742004394499</v>
      </c>
      <c r="G31">
        <v>-29.049999237060501</v>
      </c>
      <c r="K31">
        <v>6.2317754806335586</v>
      </c>
      <c r="M31" s="1">
        <v>43140</v>
      </c>
      <c r="N31">
        <f t="shared" si="0"/>
        <v>314.09503965310057</v>
      </c>
      <c r="O31">
        <f t="shared" si="1"/>
        <v>293.60496187277738</v>
      </c>
      <c r="P31">
        <v>303.85000076293898</v>
      </c>
      <c r="Q31">
        <f t="shared" si="2"/>
        <v>303.4722579956055</v>
      </c>
      <c r="R31">
        <f t="shared" si="3"/>
        <v>1</v>
      </c>
    </row>
    <row r="32" spans="1:18" x14ac:dyDescent="0.3">
      <c r="A32" s="1">
        <v>43052</v>
      </c>
      <c r="B32">
        <v>331.55</v>
      </c>
      <c r="C32">
        <v>308.09999923705999</v>
      </c>
      <c r="D32">
        <v>23.4500007629394</v>
      </c>
      <c r="E32" s="1">
        <v>43143</v>
      </c>
      <c r="F32">
        <v>-22.8061408996582</v>
      </c>
      <c r="G32">
        <v>-23.4500007629394</v>
      </c>
      <c r="K32">
        <v>6.559609758703651</v>
      </c>
      <c r="M32" s="1">
        <v>43143</v>
      </c>
      <c r="N32">
        <f t="shared" si="0"/>
        <v>318.88399768036879</v>
      </c>
      <c r="O32">
        <f t="shared" si="1"/>
        <v>297.31600079375119</v>
      </c>
      <c r="P32">
        <v>308.09999923705999</v>
      </c>
      <c r="Q32">
        <f t="shared" si="2"/>
        <v>308.74385910034181</v>
      </c>
      <c r="R32">
        <f t="shared" si="3"/>
        <v>1</v>
      </c>
    </row>
    <row r="33" spans="1:18" x14ac:dyDescent="0.3">
      <c r="A33" s="1">
        <v>43053</v>
      </c>
      <c r="B33">
        <v>331.3</v>
      </c>
      <c r="C33">
        <v>311.400000381469</v>
      </c>
      <c r="D33">
        <v>19.899999618530199</v>
      </c>
      <c r="E33" s="1">
        <v>43144</v>
      </c>
      <c r="F33">
        <v>-19.086091995239201</v>
      </c>
      <c r="G33">
        <v>-19.899999618530199</v>
      </c>
      <c r="K33">
        <v>6.7542603752582124</v>
      </c>
      <c r="M33" s="1">
        <v>43144</v>
      </c>
      <c r="N33">
        <f t="shared" si="0"/>
        <v>322.50400443839351</v>
      </c>
      <c r="O33">
        <f t="shared" si="1"/>
        <v>300.29599632454449</v>
      </c>
      <c r="P33">
        <v>311.400000381469</v>
      </c>
      <c r="Q33">
        <f t="shared" si="2"/>
        <v>312.21390800476081</v>
      </c>
      <c r="R33">
        <f t="shared" si="3"/>
        <v>1</v>
      </c>
    </row>
    <row r="34" spans="1:18" x14ac:dyDescent="0.3">
      <c r="A34" s="1">
        <v>43054</v>
      </c>
      <c r="B34">
        <v>329.15</v>
      </c>
      <c r="C34">
        <v>314.29999961853002</v>
      </c>
      <c r="D34">
        <v>14.8500003814697</v>
      </c>
      <c r="E34" s="1">
        <v>43145</v>
      </c>
      <c r="F34">
        <v>-15.318229675292899</v>
      </c>
      <c r="G34">
        <v>-14.8500003814697</v>
      </c>
      <c r="K34">
        <v>6.8531863941464284</v>
      </c>
      <c r="M34" s="1">
        <v>43145</v>
      </c>
      <c r="N34">
        <f t="shared" si="0"/>
        <v>325.56663805050675</v>
      </c>
      <c r="O34">
        <f t="shared" si="1"/>
        <v>303.03336118655329</v>
      </c>
      <c r="P34">
        <v>314.29999961853002</v>
      </c>
      <c r="Q34">
        <f t="shared" si="2"/>
        <v>313.83177032470707</v>
      </c>
      <c r="R34">
        <f t="shared" si="3"/>
        <v>1</v>
      </c>
    </row>
    <row r="35" spans="1:18" x14ac:dyDescent="0.3">
      <c r="A35" s="1">
        <v>43055</v>
      </c>
      <c r="B35">
        <v>331.3</v>
      </c>
      <c r="C35">
        <v>314.3</v>
      </c>
      <c r="D35">
        <v>17</v>
      </c>
      <c r="E35" s="1">
        <v>43146</v>
      </c>
      <c r="F35">
        <v>-17.446849822998001</v>
      </c>
      <c r="G35">
        <v>-17</v>
      </c>
      <c r="K35">
        <v>6.9658445773639421</v>
      </c>
      <c r="M35" s="1">
        <v>43146</v>
      </c>
      <c r="N35">
        <f t="shared" si="0"/>
        <v>325.75184848518631</v>
      </c>
      <c r="O35">
        <f t="shared" si="1"/>
        <v>302.84815151481371</v>
      </c>
      <c r="P35">
        <v>314.3</v>
      </c>
      <c r="Q35">
        <f t="shared" si="2"/>
        <v>313.85315017700202</v>
      </c>
      <c r="R35">
        <f t="shared" si="3"/>
        <v>1</v>
      </c>
    </row>
    <row r="36" spans="1:18" x14ac:dyDescent="0.3">
      <c r="A36" s="1">
        <v>43056</v>
      </c>
      <c r="B36">
        <v>330.95</v>
      </c>
      <c r="C36">
        <v>314.30000038146898</v>
      </c>
      <c r="D36">
        <v>16.649999618530199</v>
      </c>
      <c r="E36" s="1">
        <v>43147</v>
      </c>
      <c r="F36">
        <v>-14.889181137084901</v>
      </c>
      <c r="G36">
        <v>-16.649999618530199</v>
      </c>
      <c r="K36">
        <v>7.0439120501108565</v>
      </c>
      <c r="M36" s="1">
        <v>43147</v>
      </c>
      <c r="N36">
        <f t="shared" si="0"/>
        <v>325.88019179185125</v>
      </c>
      <c r="O36">
        <f t="shared" si="1"/>
        <v>302.71980897108671</v>
      </c>
      <c r="P36">
        <v>314.30000038146898</v>
      </c>
      <c r="Q36">
        <f t="shared" si="2"/>
        <v>316.06081886291508</v>
      </c>
      <c r="R36">
        <f t="shared" si="3"/>
        <v>1</v>
      </c>
    </row>
    <row r="37" spans="1:18" x14ac:dyDescent="0.3">
      <c r="A37" s="1">
        <v>43059</v>
      </c>
      <c r="B37">
        <v>329.45</v>
      </c>
      <c r="C37">
        <v>316.250000190734</v>
      </c>
      <c r="D37">
        <v>13.199999809265099</v>
      </c>
      <c r="E37" s="1">
        <v>43150</v>
      </c>
      <c r="F37">
        <v>-13.556674003601</v>
      </c>
      <c r="G37">
        <v>-13.199999809265099</v>
      </c>
      <c r="K37">
        <v>7.0775675697207339</v>
      </c>
      <c r="M37" s="1">
        <v>43150</v>
      </c>
      <c r="N37">
        <f t="shared" si="0"/>
        <v>327.8855212753549</v>
      </c>
      <c r="O37">
        <f t="shared" si="1"/>
        <v>304.61447910611309</v>
      </c>
      <c r="P37">
        <v>316.250000190734</v>
      </c>
      <c r="Q37">
        <f t="shared" si="2"/>
        <v>315.89332599639897</v>
      </c>
      <c r="R37">
        <f t="shared" si="3"/>
        <v>1</v>
      </c>
    </row>
    <row r="38" spans="1:18" x14ac:dyDescent="0.3">
      <c r="A38" s="1">
        <v>43060</v>
      </c>
      <c r="B38">
        <v>330.85</v>
      </c>
      <c r="C38">
        <v>311.99999961853001</v>
      </c>
      <c r="D38">
        <v>18.850000381469702</v>
      </c>
      <c r="E38" s="1">
        <v>43151</v>
      </c>
      <c r="F38">
        <v>-17.4599208831787</v>
      </c>
      <c r="G38">
        <v>-18.850000381469702</v>
      </c>
      <c r="K38">
        <v>7.2158865866066089</v>
      </c>
      <c r="M38" s="1">
        <v>43151</v>
      </c>
      <c r="N38">
        <f t="shared" si="0"/>
        <v>323.8629171669113</v>
      </c>
      <c r="O38">
        <f t="shared" si="1"/>
        <v>300.13708207014872</v>
      </c>
      <c r="P38">
        <v>311.99999961853001</v>
      </c>
      <c r="Q38">
        <f t="shared" si="2"/>
        <v>313.39007911682131</v>
      </c>
      <c r="R38">
        <f t="shared" si="3"/>
        <v>1</v>
      </c>
    </row>
    <row r="39" spans="1:18" x14ac:dyDescent="0.3">
      <c r="A39" s="1">
        <v>43061</v>
      </c>
      <c r="B39">
        <v>332.55</v>
      </c>
      <c r="C39">
        <v>314.05</v>
      </c>
      <c r="D39">
        <v>18.5</v>
      </c>
      <c r="E39" s="1">
        <v>43152</v>
      </c>
      <c r="F39">
        <v>-17.710741043090799</v>
      </c>
      <c r="G39">
        <v>-18.5</v>
      </c>
      <c r="K39">
        <v>7.2764423749771838</v>
      </c>
      <c r="M39" s="1">
        <v>43152</v>
      </c>
      <c r="N39">
        <f t="shared" si="0"/>
        <v>326.01247126446248</v>
      </c>
      <c r="O39">
        <f t="shared" si="1"/>
        <v>302.08752873553755</v>
      </c>
      <c r="P39">
        <v>314.05</v>
      </c>
      <c r="Q39">
        <f t="shared" si="2"/>
        <v>314.83925895690919</v>
      </c>
      <c r="R39">
        <f t="shared" si="3"/>
        <v>1</v>
      </c>
    </row>
    <row r="40" spans="1:18" x14ac:dyDescent="0.3">
      <c r="A40" s="1">
        <v>43062</v>
      </c>
      <c r="B40">
        <v>331.45</v>
      </c>
      <c r="C40">
        <v>311.84999961852998</v>
      </c>
      <c r="D40">
        <v>19.600000381469702</v>
      </c>
      <c r="E40" s="1">
        <v>43153</v>
      </c>
      <c r="F40">
        <v>-19.4097785949707</v>
      </c>
      <c r="G40">
        <v>-19.600000381469702</v>
      </c>
      <c r="K40">
        <v>7.3488925715356581</v>
      </c>
      <c r="M40" s="1">
        <v>43153</v>
      </c>
      <c r="N40">
        <f t="shared" si="0"/>
        <v>323.9315790061346</v>
      </c>
      <c r="O40">
        <f t="shared" si="1"/>
        <v>299.76842023092536</v>
      </c>
      <c r="P40">
        <v>311.84999961852998</v>
      </c>
      <c r="Q40">
        <f t="shared" si="2"/>
        <v>312.04022140502929</v>
      </c>
      <c r="R40">
        <f t="shared" si="3"/>
        <v>1</v>
      </c>
    </row>
    <row r="41" spans="1:18" x14ac:dyDescent="0.3">
      <c r="A41" s="1">
        <v>43063</v>
      </c>
      <c r="B41">
        <v>332.25</v>
      </c>
      <c r="C41">
        <v>316.94999980926502</v>
      </c>
      <c r="D41">
        <v>15.300000190734799</v>
      </c>
      <c r="E41" s="1">
        <v>43154</v>
      </c>
      <c r="F41">
        <v>-16.576436996459901</v>
      </c>
      <c r="G41">
        <v>-15.300000190734799</v>
      </c>
      <c r="K41">
        <v>7.3305646262022472</v>
      </c>
      <c r="M41" s="1">
        <v>43154</v>
      </c>
      <c r="N41">
        <f t="shared" si="0"/>
        <v>329.0014480547415</v>
      </c>
      <c r="O41">
        <f t="shared" si="1"/>
        <v>304.89855156378854</v>
      </c>
      <c r="P41">
        <v>316.94999980926502</v>
      </c>
      <c r="Q41">
        <f t="shared" si="2"/>
        <v>315.6735630035401</v>
      </c>
      <c r="R41">
        <f t="shared" si="3"/>
        <v>1</v>
      </c>
    </row>
    <row r="42" spans="1:18" x14ac:dyDescent="0.3">
      <c r="A42" s="1">
        <v>43066</v>
      </c>
      <c r="B42">
        <v>325.89999999999998</v>
      </c>
      <c r="C42">
        <v>317.099999809265</v>
      </c>
      <c r="D42">
        <v>8.8000001907348597</v>
      </c>
      <c r="E42" s="1">
        <v>43157</v>
      </c>
      <c r="F42">
        <v>-10.007666587829499</v>
      </c>
      <c r="G42">
        <v>-8.8000001907348597</v>
      </c>
      <c r="K42">
        <v>7.289028860207762</v>
      </c>
      <c r="M42" s="1">
        <v>43157</v>
      </c>
      <c r="N42">
        <f t="shared" si="0"/>
        <v>329.08316325544655</v>
      </c>
      <c r="O42">
        <f t="shared" si="1"/>
        <v>305.11683636308345</v>
      </c>
      <c r="P42">
        <v>317.099999809265</v>
      </c>
      <c r="Q42">
        <f t="shared" si="2"/>
        <v>315.8923334121705</v>
      </c>
      <c r="R42">
        <f t="shared" si="3"/>
        <v>1</v>
      </c>
    </row>
    <row r="43" spans="1:18" x14ac:dyDescent="0.3">
      <c r="A43" s="1">
        <v>43067</v>
      </c>
      <c r="B43">
        <v>327.7</v>
      </c>
      <c r="C43">
        <v>315.750000190734</v>
      </c>
      <c r="D43">
        <v>11.949999809265099</v>
      </c>
      <c r="E43" s="1">
        <v>43158</v>
      </c>
      <c r="F43">
        <v>-12.415830612182599</v>
      </c>
      <c r="G43">
        <v>-11.949999809265099</v>
      </c>
      <c r="K43">
        <v>7.3393214452965081</v>
      </c>
      <c r="M43" s="1">
        <v>43158</v>
      </c>
      <c r="N43">
        <f t="shared" si="0"/>
        <v>327.81584464680145</v>
      </c>
      <c r="O43">
        <f t="shared" si="1"/>
        <v>303.68415573466655</v>
      </c>
      <c r="P43">
        <v>315.750000190734</v>
      </c>
      <c r="Q43">
        <f t="shared" si="2"/>
        <v>315.28416938781737</v>
      </c>
      <c r="R43">
        <f t="shared" si="3"/>
        <v>1</v>
      </c>
    </row>
    <row r="44" spans="1:18" x14ac:dyDescent="0.3">
      <c r="A44" s="1">
        <v>43068</v>
      </c>
      <c r="B44">
        <v>327.7</v>
      </c>
      <c r="C44">
        <v>312.45</v>
      </c>
      <c r="D44">
        <v>15.25</v>
      </c>
      <c r="E44" s="1">
        <v>43159</v>
      </c>
      <c r="F44">
        <v>-13.7573890686035</v>
      </c>
      <c r="G44">
        <v>-15.25</v>
      </c>
      <c r="K44">
        <v>7.4318658068232999</v>
      </c>
      <c r="M44" s="1">
        <v>43159</v>
      </c>
      <c r="N44">
        <f t="shared" si="0"/>
        <v>324.66798738641751</v>
      </c>
      <c r="O44">
        <f t="shared" si="1"/>
        <v>300.23201261358247</v>
      </c>
      <c r="P44">
        <v>312.45</v>
      </c>
      <c r="Q44">
        <f t="shared" si="2"/>
        <v>313.94261093139647</v>
      </c>
      <c r="R44">
        <f t="shared" si="3"/>
        <v>1</v>
      </c>
    </row>
    <row r="45" spans="1:18" x14ac:dyDescent="0.3">
      <c r="A45" s="1">
        <v>43069</v>
      </c>
      <c r="B45">
        <v>322.25</v>
      </c>
      <c r="C45">
        <v>312.44999980926502</v>
      </c>
      <c r="D45">
        <v>9.8000001907348597</v>
      </c>
      <c r="E45" s="1">
        <v>43160</v>
      </c>
      <c r="F45">
        <v>-9.0956401824951101</v>
      </c>
      <c r="G45">
        <v>-9.8000001907348597</v>
      </c>
      <c r="K45">
        <v>7.5160627138115794</v>
      </c>
      <c r="M45" s="1">
        <v>43160</v>
      </c>
      <c r="N45">
        <f t="shared" si="0"/>
        <v>324.80640691077127</v>
      </c>
      <c r="O45">
        <f t="shared" si="1"/>
        <v>300.09359270775877</v>
      </c>
      <c r="P45">
        <v>312.44999980926502</v>
      </c>
      <c r="Q45">
        <f t="shared" si="2"/>
        <v>313.15435981750488</v>
      </c>
      <c r="R45">
        <f t="shared" si="3"/>
        <v>1</v>
      </c>
    </row>
    <row r="46" spans="1:18" x14ac:dyDescent="0.3">
      <c r="A46" s="1">
        <v>43070</v>
      </c>
      <c r="B46">
        <v>321.85000000000002</v>
      </c>
      <c r="C46">
        <v>308.15000019073398</v>
      </c>
      <c r="D46">
        <v>13.699999809265099</v>
      </c>
      <c r="E46" s="1">
        <v>43161</v>
      </c>
      <c r="F46">
        <v>-13.7789106369018</v>
      </c>
      <c r="G46">
        <v>-13.699999809265099</v>
      </c>
      <c r="K46">
        <v>7.7248556311522405</v>
      </c>
      <c r="M46" s="1">
        <v>43161</v>
      </c>
      <c r="N46">
        <f t="shared" si="0"/>
        <v>320.84966284834826</v>
      </c>
      <c r="O46">
        <f t="shared" si="1"/>
        <v>295.45033753311969</v>
      </c>
      <c r="P46">
        <v>308.15000019073398</v>
      </c>
      <c r="Q46">
        <f t="shared" si="2"/>
        <v>308.07108936309822</v>
      </c>
      <c r="R46">
        <f t="shared" si="3"/>
        <v>1</v>
      </c>
    </row>
    <row r="47" spans="1:18" x14ac:dyDescent="0.3">
      <c r="A47" s="1">
        <v>43073</v>
      </c>
      <c r="B47">
        <v>325</v>
      </c>
      <c r="C47">
        <v>303.85000038146899</v>
      </c>
      <c r="D47">
        <v>21.149999618530199</v>
      </c>
      <c r="E47" s="1">
        <v>43164</v>
      </c>
      <c r="F47">
        <v>-18.368892669677699</v>
      </c>
      <c r="G47">
        <v>-21.149999618530199</v>
      </c>
      <c r="K47">
        <v>8.0562165618468349</v>
      </c>
      <c r="M47" s="1">
        <v>43164</v>
      </c>
      <c r="N47">
        <f t="shared" si="0"/>
        <v>317.09442040914519</v>
      </c>
      <c r="O47">
        <f t="shared" si="1"/>
        <v>290.60558035379279</v>
      </c>
      <c r="P47">
        <v>303.85000038146899</v>
      </c>
      <c r="Q47">
        <f t="shared" si="2"/>
        <v>306.63110733032232</v>
      </c>
      <c r="R47">
        <f t="shared" si="3"/>
        <v>1</v>
      </c>
    </row>
    <row r="48" spans="1:18" x14ac:dyDescent="0.3">
      <c r="A48" s="1">
        <v>43074</v>
      </c>
      <c r="B48">
        <v>326.60000000000002</v>
      </c>
      <c r="C48">
        <v>310.30000076293902</v>
      </c>
      <c r="D48">
        <v>16.299999237060501</v>
      </c>
      <c r="E48" s="1">
        <v>43165</v>
      </c>
      <c r="F48">
        <v>-15.138719558715801</v>
      </c>
      <c r="G48">
        <v>-16.299999237060501</v>
      </c>
      <c r="K48">
        <v>8.1786330079535787</v>
      </c>
      <c r="M48" s="1">
        <v>43165</v>
      </c>
      <c r="N48">
        <f t="shared" si="0"/>
        <v>323.7456734280147</v>
      </c>
      <c r="O48">
        <f t="shared" si="1"/>
        <v>296.85432809786334</v>
      </c>
      <c r="P48">
        <v>310.30000076293902</v>
      </c>
      <c r="Q48">
        <f t="shared" si="2"/>
        <v>311.4612804412842</v>
      </c>
      <c r="R48">
        <f t="shared" si="3"/>
        <v>1</v>
      </c>
    </row>
    <row r="49" spans="1:18" x14ac:dyDescent="0.3">
      <c r="A49" s="1">
        <v>43075</v>
      </c>
      <c r="B49">
        <v>321.64999999999998</v>
      </c>
      <c r="C49">
        <v>310.45000019073399</v>
      </c>
      <c r="D49">
        <v>11.199999809265099</v>
      </c>
      <c r="E49" s="1">
        <v>43166</v>
      </c>
      <c r="F49">
        <v>-8.7230939865112305</v>
      </c>
      <c r="G49">
        <v>-11.199999809265099</v>
      </c>
      <c r="K49">
        <v>8.2778344464928182</v>
      </c>
      <c r="M49" s="1">
        <v>43166</v>
      </c>
      <c r="N49">
        <f t="shared" si="0"/>
        <v>324.0587600207682</v>
      </c>
      <c r="O49">
        <f t="shared" si="1"/>
        <v>296.84124036069977</v>
      </c>
      <c r="P49">
        <v>310.45000019073399</v>
      </c>
      <c r="Q49">
        <f t="shared" si="2"/>
        <v>312.92690601348875</v>
      </c>
      <c r="R49">
        <f t="shared" si="3"/>
        <v>1</v>
      </c>
    </row>
    <row r="50" spans="1:18" x14ac:dyDescent="0.3">
      <c r="A50" s="1">
        <v>43076</v>
      </c>
      <c r="B50">
        <v>320.7</v>
      </c>
      <c r="C50">
        <v>313.60000009536702</v>
      </c>
      <c r="D50">
        <v>7.0999999046325604</v>
      </c>
      <c r="E50" s="1">
        <v>43167</v>
      </c>
      <c r="F50">
        <v>-5.8203616142272896</v>
      </c>
      <c r="G50">
        <v>-7.0999999046325604</v>
      </c>
      <c r="K50">
        <v>8.3374925168500997</v>
      </c>
      <c r="M50" s="1">
        <v>43167</v>
      </c>
      <c r="N50">
        <f t="shared" si="0"/>
        <v>327.30683779306861</v>
      </c>
      <c r="O50">
        <f t="shared" si="1"/>
        <v>299.89316239766544</v>
      </c>
      <c r="P50">
        <v>313.60000009536702</v>
      </c>
      <c r="Q50">
        <f t="shared" si="2"/>
        <v>314.87963838577269</v>
      </c>
      <c r="R50">
        <f t="shared" si="3"/>
        <v>1</v>
      </c>
    </row>
    <row r="51" spans="1:18" x14ac:dyDescent="0.3">
      <c r="A51" s="1">
        <v>43077</v>
      </c>
      <c r="B51">
        <v>321.39999999999998</v>
      </c>
      <c r="C51">
        <v>317.099999809265</v>
      </c>
      <c r="D51">
        <v>4.3000001907348597</v>
      </c>
      <c r="E51" s="1">
        <v>43168</v>
      </c>
      <c r="F51">
        <v>-5.8900117874145499</v>
      </c>
      <c r="G51">
        <v>-4.3000001907348597</v>
      </c>
      <c r="K51">
        <v>8.3550021656975719</v>
      </c>
      <c r="M51" s="1">
        <v>43168</v>
      </c>
      <c r="N51">
        <f t="shared" si="0"/>
        <v>330.83562336967179</v>
      </c>
      <c r="O51">
        <f t="shared" si="1"/>
        <v>303.36437624885821</v>
      </c>
      <c r="P51">
        <v>317.099999809265</v>
      </c>
      <c r="Q51">
        <f t="shared" si="2"/>
        <v>315.50998821258543</v>
      </c>
      <c r="R51">
        <f t="shared" si="3"/>
        <v>1</v>
      </c>
    </row>
    <row r="52" spans="1:18" x14ac:dyDescent="0.3">
      <c r="A52" s="1">
        <v>43080</v>
      </c>
      <c r="B52">
        <v>321.5</v>
      </c>
      <c r="C52">
        <v>320.10000002384101</v>
      </c>
      <c r="D52">
        <v>1.3999999761581401</v>
      </c>
      <c r="E52" s="1">
        <v>43171</v>
      </c>
      <c r="F52">
        <v>-4.1484570503234801</v>
      </c>
      <c r="G52">
        <v>-1.3999999761581401</v>
      </c>
      <c r="K52">
        <v>8.356800930671481</v>
      </c>
      <c r="M52" s="1">
        <v>43171</v>
      </c>
      <c r="N52">
        <f t="shared" si="0"/>
        <v>333.8385807538649</v>
      </c>
      <c r="O52">
        <f t="shared" si="1"/>
        <v>306.36141929381711</v>
      </c>
      <c r="P52">
        <v>320.10000002384101</v>
      </c>
      <c r="Q52">
        <f t="shared" si="2"/>
        <v>317.35154294967651</v>
      </c>
      <c r="R52">
        <f t="shared" si="3"/>
        <v>1</v>
      </c>
    </row>
    <row r="53" spans="1:18" x14ac:dyDescent="0.3">
      <c r="A53" s="1">
        <v>43081</v>
      </c>
      <c r="B53">
        <v>320.45</v>
      </c>
      <c r="C53">
        <v>321.49999995231599</v>
      </c>
      <c r="D53">
        <v>1.04999995231628</v>
      </c>
      <c r="E53" s="1">
        <v>43172</v>
      </c>
      <c r="F53">
        <v>3.1757922172546298</v>
      </c>
      <c r="G53">
        <v>1.04999995231628</v>
      </c>
      <c r="K53">
        <v>8.356800930671481</v>
      </c>
      <c r="M53" s="1">
        <v>43172</v>
      </c>
      <c r="N53">
        <f t="shared" si="0"/>
        <v>335.23858068233989</v>
      </c>
      <c r="O53">
        <f t="shared" si="1"/>
        <v>307.76141922229209</v>
      </c>
      <c r="P53">
        <v>321.49999995231599</v>
      </c>
      <c r="Q53">
        <f t="shared" si="2"/>
        <v>323.62579221725463</v>
      </c>
      <c r="R53">
        <f t="shared" si="3"/>
        <v>1</v>
      </c>
    </row>
    <row r="54" spans="1:18" x14ac:dyDescent="0.3">
      <c r="A54" s="1">
        <v>43082</v>
      </c>
      <c r="B54">
        <v>322.85000000000002</v>
      </c>
      <c r="C54">
        <v>321.550000047683</v>
      </c>
      <c r="D54">
        <v>1.29999995231628</v>
      </c>
      <c r="E54" s="1">
        <v>43173</v>
      </c>
      <c r="F54">
        <v>-2.4557411670684801</v>
      </c>
      <c r="G54">
        <v>-1.29999995231628</v>
      </c>
      <c r="K54">
        <v>8.355788336114589</v>
      </c>
      <c r="M54" s="1">
        <v>43173</v>
      </c>
      <c r="N54">
        <f t="shared" si="0"/>
        <v>335.28691607225539</v>
      </c>
      <c r="O54">
        <f t="shared" si="1"/>
        <v>307.8130840231106</v>
      </c>
      <c r="P54">
        <v>321.550000047683</v>
      </c>
      <c r="Q54">
        <f t="shared" si="2"/>
        <v>320.39425883293154</v>
      </c>
      <c r="R54">
        <f t="shared" si="3"/>
        <v>1</v>
      </c>
    </row>
    <row r="55" spans="1:18" x14ac:dyDescent="0.3">
      <c r="A55" s="1">
        <v>43083</v>
      </c>
      <c r="B55">
        <v>324.3</v>
      </c>
      <c r="C55">
        <v>322.84999995231601</v>
      </c>
      <c r="D55">
        <v>1.45000004768371</v>
      </c>
      <c r="E55" s="1">
        <v>43174</v>
      </c>
      <c r="F55">
        <v>-3.2745983600616402</v>
      </c>
      <c r="G55">
        <v>-1.45000004768371</v>
      </c>
      <c r="K55">
        <v>8.355788336114589</v>
      </c>
      <c r="M55" s="1">
        <v>43174</v>
      </c>
      <c r="N55">
        <f t="shared" si="0"/>
        <v>336.58691597688841</v>
      </c>
      <c r="O55">
        <f t="shared" si="1"/>
        <v>309.11308392774362</v>
      </c>
      <c r="P55">
        <v>322.84999995231601</v>
      </c>
      <c r="Q55">
        <f t="shared" si="2"/>
        <v>321.02540163993837</v>
      </c>
      <c r="R55">
        <f t="shared" si="3"/>
        <v>1</v>
      </c>
    </row>
    <row r="56" spans="1:18" x14ac:dyDescent="0.3">
      <c r="A56" s="1">
        <v>43084</v>
      </c>
      <c r="B56">
        <v>322.75</v>
      </c>
      <c r="C56">
        <v>322</v>
      </c>
      <c r="D56">
        <v>0.75</v>
      </c>
      <c r="E56" s="1">
        <v>43175</v>
      </c>
      <c r="F56">
        <v>-2.2415578365325901</v>
      </c>
      <c r="G56">
        <v>-0.75</v>
      </c>
      <c r="K56">
        <v>8.3487595563973489</v>
      </c>
      <c r="M56" s="1">
        <v>43175</v>
      </c>
      <c r="N56">
        <f t="shared" si="0"/>
        <v>335.72536071071727</v>
      </c>
      <c r="O56">
        <f t="shared" si="1"/>
        <v>308.27463928928273</v>
      </c>
      <c r="P56">
        <v>322</v>
      </c>
      <c r="Q56">
        <f t="shared" si="2"/>
        <v>320.50844216346741</v>
      </c>
      <c r="R56">
        <f t="shared" si="3"/>
        <v>1</v>
      </c>
    </row>
    <row r="57" spans="1:18" x14ac:dyDescent="0.3">
      <c r="A57" s="1">
        <v>43087</v>
      </c>
      <c r="B57">
        <v>324.14999999999998</v>
      </c>
      <c r="C57">
        <v>319.849999809265</v>
      </c>
      <c r="D57">
        <v>4.3000001907348597</v>
      </c>
      <c r="E57" s="1">
        <v>43178</v>
      </c>
      <c r="F57">
        <v>-4.2461004257202104</v>
      </c>
      <c r="G57">
        <v>-4.3000001907348597</v>
      </c>
      <c r="K57">
        <v>8.3495692070942127</v>
      </c>
      <c r="M57" s="1">
        <v>43178</v>
      </c>
      <c r="N57">
        <f t="shared" si="0"/>
        <v>333.57669158572787</v>
      </c>
      <c r="O57">
        <f t="shared" si="1"/>
        <v>306.12330803280213</v>
      </c>
      <c r="P57">
        <v>319.849999809265</v>
      </c>
      <c r="Q57">
        <f t="shared" si="2"/>
        <v>319.90389957427976</v>
      </c>
      <c r="R57">
        <f t="shared" si="3"/>
        <v>1</v>
      </c>
    </row>
    <row r="58" spans="1:18" x14ac:dyDescent="0.3">
      <c r="A58" s="1">
        <v>43088</v>
      </c>
      <c r="B58">
        <v>323.85000000000002</v>
      </c>
      <c r="C58">
        <v>321.300000047683</v>
      </c>
      <c r="D58">
        <v>2.5499999523162802</v>
      </c>
      <c r="E58" s="1">
        <v>43179</v>
      </c>
      <c r="F58">
        <v>-3.2024347782135001</v>
      </c>
      <c r="G58">
        <v>-2.5499999523162802</v>
      </c>
      <c r="K58">
        <v>8.3426501298335136</v>
      </c>
      <c r="M58" s="1">
        <v>43179</v>
      </c>
      <c r="N58">
        <f t="shared" si="0"/>
        <v>335.01531686112929</v>
      </c>
      <c r="O58">
        <f t="shared" si="1"/>
        <v>307.58468323423671</v>
      </c>
      <c r="P58">
        <v>321.300000047683</v>
      </c>
      <c r="Q58">
        <f t="shared" si="2"/>
        <v>320.64756522178652</v>
      </c>
      <c r="R58">
        <f t="shared" si="3"/>
        <v>1</v>
      </c>
    </row>
    <row r="59" spans="1:18" x14ac:dyDescent="0.3">
      <c r="A59" s="1">
        <v>43089</v>
      </c>
      <c r="B59">
        <v>323.55</v>
      </c>
      <c r="C59">
        <v>321.59999995231601</v>
      </c>
      <c r="D59">
        <v>1.95000004768371</v>
      </c>
      <c r="E59" s="1">
        <v>43180</v>
      </c>
      <c r="F59">
        <v>-1.1729425191879199</v>
      </c>
      <c r="G59">
        <v>-1.95000004768371</v>
      </c>
      <c r="K59">
        <v>8.3370232273699596</v>
      </c>
      <c r="M59" s="1">
        <v>43180</v>
      </c>
      <c r="N59">
        <f t="shared" si="0"/>
        <v>335.30606613811221</v>
      </c>
      <c r="O59">
        <f t="shared" si="1"/>
        <v>307.89393376651981</v>
      </c>
      <c r="P59">
        <v>321.59999995231601</v>
      </c>
      <c r="Q59">
        <f t="shared" si="2"/>
        <v>322.37705748081208</v>
      </c>
      <c r="R59">
        <f t="shared" si="3"/>
        <v>1</v>
      </c>
    </row>
    <row r="60" spans="1:18" x14ac:dyDescent="0.3">
      <c r="A60" s="1">
        <v>43090</v>
      </c>
      <c r="B60">
        <v>316.85000000000002</v>
      </c>
      <c r="C60">
        <v>322.10000000000002</v>
      </c>
      <c r="D60">
        <v>5.25</v>
      </c>
      <c r="E60" s="1">
        <v>43181</v>
      </c>
      <c r="F60">
        <v>4.52958011627197</v>
      </c>
      <c r="G60">
        <v>5.25</v>
      </c>
      <c r="K60">
        <v>8.3330522563320013</v>
      </c>
      <c r="M60" s="1">
        <v>43181</v>
      </c>
      <c r="N60">
        <f t="shared" si="0"/>
        <v>335.79953790940982</v>
      </c>
      <c r="O60">
        <f t="shared" si="1"/>
        <v>308.40046209059022</v>
      </c>
      <c r="P60">
        <v>322.10000000000002</v>
      </c>
      <c r="Q60">
        <f t="shared" si="2"/>
        <v>321.379580116272</v>
      </c>
      <c r="R60">
        <f t="shared" si="3"/>
        <v>1</v>
      </c>
    </row>
    <row r="61" spans="1:18" x14ac:dyDescent="0.3">
      <c r="A61" s="1">
        <v>43091</v>
      </c>
      <c r="B61">
        <v>318.5</v>
      </c>
      <c r="C61">
        <v>311.5</v>
      </c>
      <c r="D61">
        <v>7</v>
      </c>
      <c r="E61" s="1">
        <v>43182</v>
      </c>
      <c r="F61">
        <v>-7.0407991409301696</v>
      </c>
      <c r="G61">
        <v>-7</v>
      </c>
      <c r="K61">
        <v>8.4030328427128556</v>
      </c>
      <c r="M61" s="1">
        <v>43182</v>
      </c>
      <c r="N61">
        <f t="shared" si="0"/>
        <v>325.31458599341994</v>
      </c>
      <c r="O61">
        <f t="shared" si="1"/>
        <v>297.68541400658006</v>
      </c>
      <c r="P61">
        <v>311.5</v>
      </c>
      <c r="Q61">
        <f t="shared" si="2"/>
        <v>311.45920085906982</v>
      </c>
      <c r="R61">
        <f t="shared" si="3"/>
        <v>1</v>
      </c>
    </row>
    <row r="62" spans="1:18" x14ac:dyDescent="0.3">
      <c r="A62" s="1">
        <v>43094</v>
      </c>
      <c r="B62">
        <v>318.5</v>
      </c>
      <c r="C62">
        <v>314.5</v>
      </c>
      <c r="D62">
        <v>4</v>
      </c>
      <c r="E62" s="1">
        <v>43185</v>
      </c>
      <c r="F62">
        <v>-4.4843082427978498</v>
      </c>
      <c r="G62">
        <v>-4</v>
      </c>
      <c r="K62">
        <v>8.4375205775454845</v>
      </c>
      <c r="M62" s="1">
        <v>43185</v>
      </c>
      <c r="N62">
        <f t="shared" si="0"/>
        <v>328.37128382948475</v>
      </c>
      <c r="O62">
        <f t="shared" si="1"/>
        <v>300.62871617051525</v>
      </c>
      <c r="P62">
        <v>314.5</v>
      </c>
      <c r="Q62">
        <f t="shared" si="2"/>
        <v>314.01569175720215</v>
      </c>
      <c r="R62">
        <f t="shared" si="3"/>
        <v>1</v>
      </c>
    </row>
    <row r="63" spans="1:18" x14ac:dyDescent="0.3">
      <c r="A63" s="1">
        <v>43095</v>
      </c>
      <c r="B63">
        <v>317.45</v>
      </c>
      <c r="C63">
        <v>315.15000004768302</v>
      </c>
      <c r="D63">
        <v>2.2999999523162802</v>
      </c>
      <c r="E63" s="1">
        <v>43186</v>
      </c>
      <c r="F63">
        <v>-0.51251804828643799</v>
      </c>
      <c r="G63">
        <v>-2.2999999523162802</v>
      </c>
      <c r="K63">
        <v>8.4639782454190939</v>
      </c>
      <c r="M63" s="1">
        <v>43186</v>
      </c>
      <c r="N63">
        <f t="shared" si="0"/>
        <v>329.064780283152</v>
      </c>
      <c r="O63">
        <f t="shared" si="1"/>
        <v>301.23521981221404</v>
      </c>
      <c r="P63">
        <v>315.15000004768302</v>
      </c>
      <c r="Q63">
        <f t="shared" si="2"/>
        <v>316.93748195171355</v>
      </c>
      <c r="R63">
        <f t="shared" si="3"/>
        <v>1</v>
      </c>
    </row>
    <row r="64" spans="1:18" x14ac:dyDescent="0.3">
      <c r="A64" s="1">
        <v>43096</v>
      </c>
      <c r="B64">
        <v>321.2</v>
      </c>
      <c r="C64">
        <v>310.64999980926501</v>
      </c>
      <c r="D64">
        <v>10.550000190734799</v>
      </c>
      <c r="E64" s="1">
        <v>43187</v>
      </c>
      <c r="F64">
        <v>-11.1126594543457</v>
      </c>
      <c r="G64">
        <v>-10.550000190734799</v>
      </c>
      <c r="K64">
        <v>8.5505059215903394</v>
      </c>
      <c r="M64" s="1">
        <v>43187</v>
      </c>
      <c r="N64">
        <f t="shared" si="0"/>
        <v>324.70703154435955</v>
      </c>
      <c r="O64">
        <f t="shared" si="1"/>
        <v>296.59296807417047</v>
      </c>
      <c r="P64">
        <v>310.64999980926501</v>
      </c>
      <c r="Q64">
        <f t="shared" si="2"/>
        <v>310.08734054565429</v>
      </c>
      <c r="R64">
        <f t="shared" si="3"/>
        <v>1</v>
      </c>
    </row>
    <row r="65" spans="1:18" x14ac:dyDescent="0.3">
      <c r="A65" s="1">
        <v>43097</v>
      </c>
      <c r="B65">
        <v>325.64999999999998</v>
      </c>
      <c r="C65">
        <v>314.45000019073399</v>
      </c>
      <c r="D65">
        <v>11.199999809265099</v>
      </c>
      <c r="E65" s="1">
        <v>43188</v>
      </c>
      <c r="F65">
        <v>-14.3382501602172</v>
      </c>
      <c r="G65">
        <v>-11.199999809265099</v>
      </c>
      <c r="K65">
        <v>8.5887829012579946</v>
      </c>
      <c r="M65" s="1">
        <v>43188</v>
      </c>
      <c r="N65">
        <f t="shared" si="0"/>
        <v>328.56995928040214</v>
      </c>
      <c r="O65">
        <f t="shared" si="1"/>
        <v>300.33004110106583</v>
      </c>
      <c r="P65">
        <v>314.45000019073399</v>
      </c>
      <c r="Q65">
        <f t="shared" si="2"/>
        <v>311.31174983978281</v>
      </c>
      <c r="R65">
        <f t="shared" si="3"/>
        <v>1</v>
      </c>
    </row>
    <row r="66" spans="1:18" x14ac:dyDescent="0.3">
      <c r="A66" s="1">
        <v>43098</v>
      </c>
      <c r="B66">
        <v>325.64999999999998</v>
      </c>
      <c r="C66">
        <v>314.54999961853002</v>
      </c>
      <c r="D66">
        <v>11.1000003814697</v>
      </c>
      <c r="E66" s="1">
        <v>43189</v>
      </c>
      <c r="F66">
        <v>-12.305305480956999</v>
      </c>
      <c r="G66">
        <v>-11.1000003814697</v>
      </c>
      <c r="K66">
        <v>8.603652020425864</v>
      </c>
      <c r="M66" s="1">
        <v>43189</v>
      </c>
      <c r="N66">
        <f t="shared" si="0"/>
        <v>328.69440354011016</v>
      </c>
      <c r="O66">
        <f t="shared" si="1"/>
        <v>300.40559569694989</v>
      </c>
      <c r="P66">
        <v>314.54999961853002</v>
      </c>
      <c r="Q66">
        <f t="shared" si="2"/>
        <v>313.344694519043</v>
      </c>
      <c r="R66">
        <f t="shared" si="3"/>
        <v>1</v>
      </c>
    </row>
    <row r="67" spans="1:18" x14ac:dyDescent="0.3">
      <c r="A67" s="1">
        <v>43101</v>
      </c>
      <c r="B67">
        <v>325.64999999999998</v>
      </c>
      <c r="C67">
        <v>313.45000019073399</v>
      </c>
      <c r="D67">
        <v>12.199999809265099</v>
      </c>
      <c r="E67" s="1">
        <v>43192</v>
      </c>
      <c r="F67">
        <v>-6.7143588066101003</v>
      </c>
      <c r="G67">
        <v>-12.199999809265099</v>
      </c>
      <c r="K67">
        <v>8.6280935467661806</v>
      </c>
      <c r="M67" s="1">
        <v>43192</v>
      </c>
      <c r="N67">
        <f t="shared" ref="N67:N130" si="4">P67+1.644*K67</f>
        <v>327.63458598161759</v>
      </c>
      <c r="O67">
        <f t="shared" ref="O67:O130" si="5">P67-1.644*K67</f>
        <v>299.26541439985039</v>
      </c>
      <c r="P67">
        <v>313.45000019073399</v>
      </c>
      <c r="Q67">
        <f t="shared" ref="Q67:Q130" si="6">B67+F67</f>
        <v>318.93564119338987</v>
      </c>
      <c r="R67">
        <f t="shared" ref="R67:R130" si="7">IF(AND(D67&gt;0, AND(Q67&lt;N67, Q67&gt;O67)),1,0)</f>
        <v>1</v>
      </c>
    </row>
    <row r="68" spans="1:18" x14ac:dyDescent="0.3">
      <c r="A68" s="1">
        <v>43102</v>
      </c>
      <c r="B68">
        <v>326.5</v>
      </c>
      <c r="C68">
        <v>312.80000019073401</v>
      </c>
      <c r="D68">
        <v>13.699999809265099</v>
      </c>
      <c r="E68" s="1">
        <v>43193</v>
      </c>
      <c r="F68">
        <v>-5.30915927886962</v>
      </c>
      <c r="G68">
        <v>-13.699999809265099</v>
      </c>
      <c r="K68">
        <v>8.6568513093430539</v>
      </c>
      <c r="M68" s="1">
        <v>43193</v>
      </c>
      <c r="N68">
        <f t="shared" si="4"/>
        <v>327.03186374329397</v>
      </c>
      <c r="O68">
        <f t="shared" si="5"/>
        <v>298.56813663817405</v>
      </c>
      <c r="P68">
        <v>312.80000019073401</v>
      </c>
      <c r="Q68">
        <f t="shared" si="6"/>
        <v>321.19084072113037</v>
      </c>
      <c r="R68">
        <f t="shared" si="7"/>
        <v>1</v>
      </c>
    </row>
    <row r="69" spans="1:18" x14ac:dyDescent="0.3">
      <c r="A69" s="1">
        <v>43103</v>
      </c>
      <c r="B69">
        <v>327.7</v>
      </c>
      <c r="C69">
        <v>307.55000038146898</v>
      </c>
      <c r="D69">
        <v>20.149999618530199</v>
      </c>
      <c r="E69" s="1">
        <v>43194</v>
      </c>
      <c r="F69">
        <v>-6.3978037834167401</v>
      </c>
      <c r="G69">
        <v>-20.149999618530199</v>
      </c>
      <c r="K69">
        <v>8.7644975801336038</v>
      </c>
      <c r="M69" s="1">
        <v>43194</v>
      </c>
      <c r="N69">
        <f t="shared" si="4"/>
        <v>321.95883440320864</v>
      </c>
      <c r="O69">
        <f t="shared" si="5"/>
        <v>293.14116635972931</v>
      </c>
      <c r="P69">
        <v>307.55000038146898</v>
      </c>
      <c r="Q69">
        <f t="shared" si="6"/>
        <v>321.30219621658324</v>
      </c>
      <c r="R69">
        <f t="shared" si="7"/>
        <v>1</v>
      </c>
    </row>
    <row r="70" spans="1:18" x14ac:dyDescent="0.3">
      <c r="A70" s="1">
        <v>43104</v>
      </c>
      <c r="B70">
        <v>325</v>
      </c>
      <c r="C70">
        <v>312.94999980926502</v>
      </c>
      <c r="D70">
        <v>12.050000190734799</v>
      </c>
      <c r="E70" s="1">
        <v>43195</v>
      </c>
      <c r="F70">
        <v>-6.4977817535400302</v>
      </c>
      <c r="G70">
        <v>-12.050000190734799</v>
      </c>
      <c r="K70">
        <v>8.7557156823161524</v>
      </c>
      <c r="M70" s="1">
        <v>43195</v>
      </c>
      <c r="N70">
        <f t="shared" si="4"/>
        <v>327.34439639099276</v>
      </c>
      <c r="O70">
        <f t="shared" si="5"/>
        <v>298.55560322753729</v>
      </c>
      <c r="P70">
        <v>312.94999980926502</v>
      </c>
      <c r="Q70">
        <f t="shared" si="6"/>
        <v>318.50221824645996</v>
      </c>
      <c r="R70">
        <f t="shared" si="7"/>
        <v>1</v>
      </c>
    </row>
    <row r="71" spans="1:18" x14ac:dyDescent="0.3">
      <c r="A71" s="1">
        <v>43105</v>
      </c>
      <c r="B71">
        <v>328.95</v>
      </c>
      <c r="C71">
        <v>311.2</v>
      </c>
      <c r="D71">
        <v>17.75</v>
      </c>
      <c r="E71" s="1">
        <v>43196</v>
      </c>
      <c r="F71">
        <v>-9.79577541351318</v>
      </c>
      <c r="G71">
        <v>-17.75</v>
      </c>
      <c r="K71">
        <v>8.7961091472614239</v>
      </c>
      <c r="M71" s="1">
        <v>43196</v>
      </c>
      <c r="N71">
        <f t="shared" si="4"/>
        <v>325.66080343809779</v>
      </c>
      <c r="O71">
        <f t="shared" si="5"/>
        <v>296.73919656190219</v>
      </c>
      <c r="P71">
        <v>311.2</v>
      </c>
      <c r="Q71">
        <f t="shared" si="6"/>
        <v>319.15422458648681</v>
      </c>
      <c r="R71">
        <f t="shared" si="7"/>
        <v>1</v>
      </c>
    </row>
    <row r="72" spans="1:18" x14ac:dyDescent="0.3">
      <c r="A72" s="1">
        <v>43108</v>
      </c>
      <c r="B72">
        <v>331.25</v>
      </c>
      <c r="C72">
        <v>312.950000762939</v>
      </c>
      <c r="D72">
        <v>18.299999237060501</v>
      </c>
      <c r="E72" s="1">
        <v>43199</v>
      </c>
      <c r="F72">
        <v>-13.822180747985801</v>
      </c>
      <c r="G72">
        <v>-18.299999237060501</v>
      </c>
      <c r="K72">
        <v>8.7566729799805625</v>
      </c>
      <c r="M72" s="1">
        <v>43199</v>
      </c>
      <c r="N72">
        <f t="shared" si="4"/>
        <v>327.34597114202705</v>
      </c>
      <c r="O72">
        <f t="shared" si="5"/>
        <v>298.55403038385094</v>
      </c>
      <c r="P72">
        <v>312.950000762939</v>
      </c>
      <c r="Q72">
        <f t="shared" si="6"/>
        <v>317.42781925201422</v>
      </c>
      <c r="R72">
        <f t="shared" si="7"/>
        <v>1</v>
      </c>
    </row>
    <row r="73" spans="1:18" x14ac:dyDescent="0.3">
      <c r="A73" s="1">
        <v>43109</v>
      </c>
      <c r="B73">
        <v>330.45</v>
      </c>
      <c r="C73">
        <v>313.45</v>
      </c>
      <c r="D73">
        <v>17</v>
      </c>
      <c r="E73" s="1">
        <v>43200</v>
      </c>
      <c r="F73">
        <v>-9.7890300750732404</v>
      </c>
      <c r="G73">
        <v>-17</v>
      </c>
      <c r="K73">
        <v>8.6603822920943525</v>
      </c>
      <c r="M73" s="1">
        <v>43200</v>
      </c>
      <c r="N73">
        <f t="shared" si="4"/>
        <v>327.68766848820309</v>
      </c>
      <c r="O73">
        <f t="shared" si="5"/>
        <v>299.21233151179689</v>
      </c>
      <c r="P73">
        <v>313.45</v>
      </c>
      <c r="Q73">
        <f t="shared" si="6"/>
        <v>320.66096992492675</v>
      </c>
      <c r="R73">
        <f t="shared" si="7"/>
        <v>1</v>
      </c>
    </row>
    <row r="74" spans="1:18" x14ac:dyDescent="0.3">
      <c r="A74" s="1">
        <v>43110</v>
      </c>
      <c r="B74">
        <v>327.85</v>
      </c>
      <c r="C74">
        <v>312.45000038146901</v>
      </c>
      <c r="D74">
        <v>15.399999618530201</v>
      </c>
      <c r="E74" s="1">
        <v>43201</v>
      </c>
      <c r="F74">
        <v>-9.9779186248779297</v>
      </c>
      <c r="G74">
        <v>-15.399999618530201</v>
      </c>
      <c r="K74">
        <v>8.5822216900712345</v>
      </c>
      <c r="M74" s="1">
        <v>43201</v>
      </c>
      <c r="N74">
        <f t="shared" si="4"/>
        <v>326.55917283994614</v>
      </c>
      <c r="O74">
        <f t="shared" si="5"/>
        <v>298.34082792299188</v>
      </c>
      <c r="P74">
        <v>312.45000038146901</v>
      </c>
      <c r="Q74">
        <f t="shared" si="6"/>
        <v>317.87208137512209</v>
      </c>
      <c r="R74">
        <f t="shared" si="7"/>
        <v>1</v>
      </c>
    </row>
    <row r="75" spans="1:18" x14ac:dyDescent="0.3">
      <c r="A75" s="1">
        <v>43111</v>
      </c>
      <c r="B75">
        <v>326.5</v>
      </c>
      <c r="C75">
        <v>311.75</v>
      </c>
      <c r="D75">
        <v>14.75</v>
      </c>
      <c r="E75" s="1">
        <v>43202</v>
      </c>
      <c r="F75">
        <v>-7.1653089523315403</v>
      </c>
      <c r="G75">
        <v>-14.75</v>
      </c>
      <c r="K75">
        <v>8.5521052084561902</v>
      </c>
      <c r="M75" s="1">
        <v>43202</v>
      </c>
      <c r="N75">
        <f t="shared" si="4"/>
        <v>325.80966096270197</v>
      </c>
      <c r="O75">
        <f t="shared" si="5"/>
        <v>297.69033903729803</v>
      </c>
      <c r="P75">
        <v>311.75</v>
      </c>
      <c r="Q75">
        <f t="shared" si="6"/>
        <v>319.33469104766846</v>
      </c>
      <c r="R75">
        <f t="shared" si="7"/>
        <v>1</v>
      </c>
    </row>
    <row r="76" spans="1:18" x14ac:dyDescent="0.3">
      <c r="A76" s="1">
        <v>43112</v>
      </c>
      <c r="B76">
        <v>326.85000000000002</v>
      </c>
      <c r="C76">
        <v>314.45000038146901</v>
      </c>
      <c r="D76">
        <v>12.399999618530201</v>
      </c>
      <c r="E76" s="1">
        <v>43203</v>
      </c>
      <c r="F76">
        <v>-10.1552429199218</v>
      </c>
      <c r="G76">
        <v>-12.399999618530201</v>
      </c>
      <c r="K76">
        <v>8.5101672703711841</v>
      </c>
      <c r="M76" s="1">
        <v>43203</v>
      </c>
      <c r="N76">
        <f t="shared" si="4"/>
        <v>328.44071537395922</v>
      </c>
      <c r="O76">
        <f t="shared" si="5"/>
        <v>300.4592853889788</v>
      </c>
      <c r="P76">
        <v>314.45000038146901</v>
      </c>
      <c r="Q76">
        <f t="shared" si="6"/>
        <v>316.6947570800782</v>
      </c>
      <c r="R76">
        <f t="shared" si="7"/>
        <v>1</v>
      </c>
    </row>
    <row r="77" spans="1:18" x14ac:dyDescent="0.3">
      <c r="A77" s="1">
        <v>43115</v>
      </c>
      <c r="B77">
        <v>327.3</v>
      </c>
      <c r="C77">
        <v>314.3</v>
      </c>
      <c r="D77">
        <v>13</v>
      </c>
      <c r="E77" s="1">
        <v>43206</v>
      </c>
      <c r="F77">
        <v>-7.3938474655151296</v>
      </c>
      <c r="G77">
        <v>-13</v>
      </c>
      <c r="K77">
        <v>8.4597351543129786</v>
      </c>
      <c r="M77" s="1">
        <v>43206</v>
      </c>
      <c r="N77">
        <f t="shared" si="4"/>
        <v>328.20780459369053</v>
      </c>
      <c r="O77">
        <f t="shared" si="5"/>
        <v>300.3921954063095</v>
      </c>
      <c r="P77">
        <v>314.3</v>
      </c>
      <c r="Q77">
        <f t="shared" si="6"/>
        <v>319.90615253448487</v>
      </c>
      <c r="R77">
        <f t="shared" si="7"/>
        <v>1</v>
      </c>
    </row>
    <row r="78" spans="1:18" x14ac:dyDescent="0.3">
      <c r="A78" s="1">
        <v>43116</v>
      </c>
      <c r="B78">
        <v>330.5</v>
      </c>
      <c r="C78">
        <v>314.39999961852999</v>
      </c>
      <c r="D78">
        <v>16.100000381469702</v>
      </c>
      <c r="E78" s="1">
        <v>43207</v>
      </c>
      <c r="F78">
        <v>-13.3633613586425</v>
      </c>
      <c r="G78">
        <v>-16.100000381469702</v>
      </c>
      <c r="K78">
        <v>8.3965315016821798</v>
      </c>
      <c r="M78" s="1">
        <v>43207</v>
      </c>
      <c r="N78">
        <f t="shared" si="4"/>
        <v>328.20389740729547</v>
      </c>
      <c r="O78">
        <f t="shared" si="5"/>
        <v>300.59610182976451</v>
      </c>
      <c r="P78">
        <v>314.39999961852999</v>
      </c>
      <c r="Q78">
        <f t="shared" si="6"/>
        <v>317.13663864135748</v>
      </c>
      <c r="R78">
        <f t="shared" si="7"/>
        <v>1</v>
      </c>
    </row>
    <row r="79" spans="1:18" x14ac:dyDescent="0.3">
      <c r="A79" s="1">
        <v>43117</v>
      </c>
      <c r="B79">
        <v>329.2</v>
      </c>
      <c r="C79">
        <v>317.59999961852998</v>
      </c>
      <c r="D79">
        <v>11.6000003814697</v>
      </c>
      <c r="E79" s="1">
        <v>43208</v>
      </c>
      <c r="F79">
        <v>-7.1576523780822701</v>
      </c>
      <c r="G79">
        <v>-11.6000003814697</v>
      </c>
      <c r="K79">
        <v>8.2515834462622593</v>
      </c>
      <c r="M79" s="1">
        <v>43208</v>
      </c>
      <c r="N79">
        <f t="shared" si="4"/>
        <v>331.16560280418514</v>
      </c>
      <c r="O79">
        <f t="shared" si="5"/>
        <v>304.03439643287481</v>
      </c>
      <c r="P79">
        <v>317.59999961852998</v>
      </c>
      <c r="Q79">
        <f t="shared" si="6"/>
        <v>322.04234762191771</v>
      </c>
      <c r="R79">
        <f t="shared" si="7"/>
        <v>1</v>
      </c>
    </row>
    <row r="80" spans="1:18" x14ac:dyDescent="0.3">
      <c r="A80" s="1">
        <v>43118</v>
      </c>
      <c r="B80">
        <v>329.4</v>
      </c>
      <c r="C80">
        <v>319.00000038146902</v>
      </c>
      <c r="D80">
        <v>10.399999618530201</v>
      </c>
      <c r="E80" s="1">
        <v>43209</v>
      </c>
      <c r="F80">
        <v>-9.0403995513915998</v>
      </c>
      <c r="G80">
        <v>-10.399999618530201</v>
      </c>
      <c r="K80">
        <v>8.1308038980147579</v>
      </c>
      <c r="M80" s="1">
        <v>43209</v>
      </c>
      <c r="N80">
        <f t="shared" si="4"/>
        <v>332.36704198980527</v>
      </c>
      <c r="O80">
        <f t="shared" si="5"/>
        <v>305.63295877313277</v>
      </c>
      <c r="P80">
        <v>319.00000038146902</v>
      </c>
      <c r="Q80">
        <f t="shared" si="6"/>
        <v>320.35960044860838</v>
      </c>
      <c r="R80">
        <f t="shared" si="7"/>
        <v>1</v>
      </c>
    </row>
    <row r="81" spans="1:18" x14ac:dyDescent="0.3">
      <c r="A81" s="1">
        <v>43119</v>
      </c>
      <c r="B81">
        <v>329.6</v>
      </c>
      <c r="C81">
        <v>316.90000019073398</v>
      </c>
      <c r="D81">
        <v>12.699999809265099</v>
      </c>
      <c r="E81" s="1">
        <v>43210</v>
      </c>
      <c r="F81">
        <v>-7.7529563903808496</v>
      </c>
      <c r="G81">
        <v>-12.699999809265099</v>
      </c>
      <c r="K81">
        <v>7.9990242703338055</v>
      </c>
      <c r="M81" s="1">
        <v>43210</v>
      </c>
      <c r="N81">
        <f t="shared" si="4"/>
        <v>330.05039609116272</v>
      </c>
      <c r="O81">
        <f t="shared" si="5"/>
        <v>303.74960429030523</v>
      </c>
      <c r="P81">
        <v>316.90000019073398</v>
      </c>
      <c r="Q81">
        <f t="shared" si="6"/>
        <v>321.84704360961916</v>
      </c>
      <c r="R81">
        <f t="shared" si="7"/>
        <v>1</v>
      </c>
    </row>
    <row r="82" spans="1:18" x14ac:dyDescent="0.3">
      <c r="A82" s="1">
        <v>43122</v>
      </c>
      <c r="B82">
        <v>326.25</v>
      </c>
      <c r="C82">
        <v>317.10000038146899</v>
      </c>
      <c r="D82">
        <v>9.1499996185302699</v>
      </c>
      <c r="E82" s="1">
        <v>43213</v>
      </c>
      <c r="F82">
        <v>-2.7276241779327299</v>
      </c>
      <c r="G82">
        <v>-9.1499996185302699</v>
      </c>
      <c r="K82">
        <v>7.8555101442897799</v>
      </c>
      <c r="M82" s="1">
        <v>43213</v>
      </c>
      <c r="N82">
        <f t="shared" si="4"/>
        <v>330.01445905868138</v>
      </c>
      <c r="O82">
        <f t="shared" si="5"/>
        <v>304.18554170425659</v>
      </c>
      <c r="P82">
        <v>317.10000038146899</v>
      </c>
      <c r="Q82">
        <f t="shared" si="6"/>
        <v>323.52237582206726</v>
      </c>
      <c r="R82">
        <f t="shared" si="7"/>
        <v>1</v>
      </c>
    </row>
    <row r="83" spans="1:18" x14ac:dyDescent="0.3">
      <c r="A83" s="1">
        <v>43123</v>
      </c>
      <c r="B83">
        <v>331.25</v>
      </c>
      <c r="C83">
        <v>315.35000038146899</v>
      </c>
      <c r="D83">
        <v>15.899999618530201</v>
      </c>
      <c r="E83" s="1">
        <v>43214</v>
      </c>
      <c r="F83">
        <v>-12.301760673522899</v>
      </c>
      <c r="G83">
        <v>-15.899999618530201</v>
      </c>
      <c r="K83">
        <v>7.7795058297883521</v>
      </c>
      <c r="M83" s="1">
        <v>43214</v>
      </c>
      <c r="N83">
        <f t="shared" si="4"/>
        <v>328.13950796564103</v>
      </c>
      <c r="O83">
        <f t="shared" si="5"/>
        <v>302.56049279729694</v>
      </c>
      <c r="P83">
        <v>315.35000038146899</v>
      </c>
      <c r="Q83">
        <f t="shared" si="6"/>
        <v>318.94823932647711</v>
      </c>
      <c r="R83">
        <f t="shared" si="7"/>
        <v>1</v>
      </c>
    </row>
    <row r="84" spans="1:18" x14ac:dyDescent="0.3">
      <c r="A84" s="1">
        <v>43124</v>
      </c>
      <c r="B84">
        <v>331.6</v>
      </c>
      <c r="C84">
        <v>312.95000038146901</v>
      </c>
      <c r="D84">
        <v>18.649999618530199</v>
      </c>
      <c r="E84" s="1">
        <v>43215</v>
      </c>
      <c r="F84">
        <v>-14.2381629943847</v>
      </c>
      <c r="G84">
        <v>-18.649999618530199</v>
      </c>
      <c r="K84">
        <v>7.5940152488039896</v>
      </c>
      <c r="M84" s="1">
        <v>43215</v>
      </c>
      <c r="N84">
        <f t="shared" si="4"/>
        <v>325.43456145050277</v>
      </c>
      <c r="O84">
        <f t="shared" si="5"/>
        <v>300.46543931243525</v>
      </c>
      <c r="P84">
        <v>312.95000038146901</v>
      </c>
      <c r="Q84">
        <f t="shared" si="6"/>
        <v>317.36183700561531</v>
      </c>
      <c r="R84">
        <f t="shared" si="7"/>
        <v>1</v>
      </c>
    </row>
    <row r="85" spans="1:18" x14ac:dyDescent="0.3">
      <c r="A85" s="1">
        <v>43125</v>
      </c>
      <c r="B85">
        <v>334.3</v>
      </c>
      <c r="C85">
        <v>317.44999961853</v>
      </c>
      <c r="D85">
        <v>16.850000381469702</v>
      </c>
      <c r="E85" s="1">
        <v>43216</v>
      </c>
      <c r="F85">
        <v>-9.0036087036132795</v>
      </c>
      <c r="G85">
        <v>-16.850000381469702</v>
      </c>
      <c r="K85">
        <v>7.3689394520526879</v>
      </c>
      <c r="M85" s="1">
        <v>43216</v>
      </c>
      <c r="N85">
        <f t="shared" si="4"/>
        <v>329.56453607770464</v>
      </c>
      <c r="O85">
        <f t="shared" si="5"/>
        <v>305.33546315935536</v>
      </c>
      <c r="P85">
        <v>317.44999961853</v>
      </c>
      <c r="Q85">
        <f t="shared" si="6"/>
        <v>325.29639129638673</v>
      </c>
      <c r="R85">
        <f t="shared" si="7"/>
        <v>1</v>
      </c>
    </row>
    <row r="86" spans="1:18" x14ac:dyDescent="0.3">
      <c r="A86" s="1">
        <v>43126</v>
      </c>
      <c r="B86">
        <v>335.95</v>
      </c>
      <c r="C86">
        <v>320.14999980926501</v>
      </c>
      <c r="D86">
        <v>15.800000190734799</v>
      </c>
      <c r="E86" s="1">
        <v>43217</v>
      </c>
      <c r="F86">
        <v>-16.3053588867187</v>
      </c>
      <c r="G86">
        <v>-15.800000190734799</v>
      </c>
      <c r="K86">
        <v>7.047310651063099</v>
      </c>
      <c r="M86" s="1">
        <v>43217</v>
      </c>
      <c r="N86">
        <f t="shared" si="4"/>
        <v>331.73577851961272</v>
      </c>
      <c r="O86">
        <f t="shared" si="5"/>
        <v>308.5642210989173</v>
      </c>
      <c r="P86">
        <v>320.14999980926501</v>
      </c>
      <c r="Q86">
        <f t="shared" si="6"/>
        <v>319.6446411132813</v>
      </c>
      <c r="R86">
        <f t="shared" si="7"/>
        <v>1</v>
      </c>
    </row>
    <row r="87" spans="1:18" x14ac:dyDescent="0.3">
      <c r="A87" s="1">
        <v>43129</v>
      </c>
      <c r="B87">
        <v>338.5</v>
      </c>
      <c r="C87">
        <v>321.64999961852999</v>
      </c>
      <c r="D87">
        <v>16.850000381469702</v>
      </c>
      <c r="E87" s="1">
        <v>43220</v>
      </c>
      <c r="F87">
        <v>-14.582201004028301</v>
      </c>
      <c r="G87">
        <v>-16.850000381469702</v>
      </c>
      <c r="K87">
        <v>6.6476251959568762</v>
      </c>
      <c r="M87" s="1">
        <v>43220</v>
      </c>
      <c r="N87">
        <f t="shared" si="4"/>
        <v>332.57869544068308</v>
      </c>
      <c r="O87">
        <f t="shared" si="5"/>
        <v>310.7213037963769</v>
      </c>
      <c r="P87">
        <v>321.64999961852999</v>
      </c>
      <c r="Q87">
        <f t="shared" si="6"/>
        <v>323.91779899597168</v>
      </c>
      <c r="R87">
        <f t="shared" si="7"/>
        <v>1</v>
      </c>
    </row>
    <row r="88" spans="1:18" x14ac:dyDescent="0.3">
      <c r="A88" s="1">
        <v>43130</v>
      </c>
      <c r="B88">
        <v>333.9</v>
      </c>
      <c r="C88">
        <v>321.64999999999998</v>
      </c>
      <c r="D88">
        <v>12.25</v>
      </c>
      <c r="E88" s="1">
        <v>43221</v>
      </c>
      <c r="F88">
        <v>-4.4647297859191797</v>
      </c>
      <c r="G88">
        <v>-12.25</v>
      </c>
      <c r="K88">
        <v>6.0792921564556401</v>
      </c>
      <c r="M88" s="1">
        <v>43221</v>
      </c>
      <c r="N88">
        <f t="shared" si="4"/>
        <v>331.64435630521302</v>
      </c>
      <c r="O88">
        <f t="shared" si="5"/>
        <v>311.65564369478693</v>
      </c>
      <c r="P88">
        <v>321.64999999999998</v>
      </c>
      <c r="Q88">
        <f t="shared" si="6"/>
        <v>329.43527021408079</v>
      </c>
      <c r="R88">
        <f t="shared" si="7"/>
        <v>1</v>
      </c>
    </row>
    <row r="89" spans="1:18" x14ac:dyDescent="0.3">
      <c r="A89" s="1">
        <v>43131</v>
      </c>
      <c r="B89">
        <v>334.45</v>
      </c>
      <c r="C89">
        <v>319.750000190734</v>
      </c>
      <c r="D89">
        <v>14.699999809265099</v>
      </c>
      <c r="E89" s="1">
        <v>43222</v>
      </c>
      <c r="F89">
        <v>-13.128770828246999</v>
      </c>
      <c r="G89">
        <v>-14.699999809265099</v>
      </c>
      <c r="K89">
        <v>5.6741901242761985</v>
      </c>
      <c r="M89" s="1">
        <v>43222</v>
      </c>
      <c r="N89">
        <f t="shared" si="4"/>
        <v>329.0783687550441</v>
      </c>
      <c r="O89">
        <f t="shared" si="5"/>
        <v>310.4216316264239</v>
      </c>
      <c r="P89">
        <v>319.750000190734</v>
      </c>
      <c r="Q89">
        <f t="shared" si="6"/>
        <v>321.32122917175298</v>
      </c>
      <c r="R89">
        <f t="shared" si="7"/>
        <v>1</v>
      </c>
    </row>
    <row r="90" spans="1:18" x14ac:dyDescent="0.3">
      <c r="A90" s="1">
        <v>43132</v>
      </c>
      <c r="B90">
        <v>333.65</v>
      </c>
      <c r="C90">
        <v>318.00000038146902</v>
      </c>
      <c r="D90">
        <v>15.649999618530201</v>
      </c>
      <c r="E90" s="1">
        <v>43223</v>
      </c>
      <c r="F90">
        <v>-10.96360206604</v>
      </c>
      <c r="G90">
        <v>-15.649999618530201</v>
      </c>
      <c r="K90">
        <v>5.1814572677239559</v>
      </c>
      <c r="M90" s="1">
        <v>43223</v>
      </c>
      <c r="N90">
        <f t="shared" si="4"/>
        <v>326.51831612960723</v>
      </c>
      <c r="O90">
        <f t="shared" si="5"/>
        <v>309.48168463333081</v>
      </c>
      <c r="P90">
        <v>318.00000038146902</v>
      </c>
      <c r="Q90">
        <f t="shared" si="6"/>
        <v>322.68639793396</v>
      </c>
      <c r="R90">
        <f t="shared" si="7"/>
        <v>1</v>
      </c>
    </row>
    <row r="91" spans="1:18" x14ac:dyDescent="0.3">
      <c r="A91" s="1">
        <v>43133</v>
      </c>
      <c r="B91">
        <v>327.39999999999998</v>
      </c>
      <c r="C91">
        <v>316.45000019073399</v>
      </c>
      <c r="D91">
        <v>-10.949999809265099</v>
      </c>
      <c r="E91" s="1">
        <v>43224</v>
      </c>
      <c r="F91">
        <v>2.6069667339324898</v>
      </c>
      <c r="G91">
        <v>-10.949999809265099</v>
      </c>
      <c r="K91">
        <v>4.6627915770893384</v>
      </c>
      <c r="M91" s="1">
        <v>43224</v>
      </c>
      <c r="N91">
        <f t="shared" si="4"/>
        <v>324.11562954346886</v>
      </c>
      <c r="O91">
        <f t="shared" si="5"/>
        <v>308.78437083799912</v>
      </c>
      <c r="P91">
        <v>316.45000019073399</v>
      </c>
      <c r="Q91">
        <f t="shared" si="6"/>
        <v>330.00696673393247</v>
      </c>
      <c r="R91">
        <f t="shared" si="7"/>
        <v>0</v>
      </c>
    </row>
    <row r="92" spans="1:18" x14ac:dyDescent="0.3">
      <c r="A92" s="1">
        <v>43136</v>
      </c>
      <c r="B92">
        <v>323</v>
      </c>
      <c r="C92">
        <v>316.44999980926502</v>
      </c>
      <c r="D92">
        <v>-6.5500001907348597</v>
      </c>
      <c r="E92" s="1">
        <v>43227</v>
      </c>
      <c r="F92">
        <v>12.8489055633544</v>
      </c>
      <c r="G92">
        <v>-6.5500001907348597</v>
      </c>
      <c r="K92">
        <v>4.4127221247339543</v>
      </c>
      <c r="M92" s="1">
        <v>43227</v>
      </c>
      <c r="N92">
        <f t="shared" si="4"/>
        <v>323.70451498232762</v>
      </c>
      <c r="O92">
        <f t="shared" si="5"/>
        <v>309.19548463620242</v>
      </c>
      <c r="P92">
        <v>316.44999980926502</v>
      </c>
      <c r="Q92">
        <f t="shared" si="6"/>
        <v>335.84890556335438</v>
      </c>
      <c r="R92">
        <f t="shared" si="7"/>
        <v>0</v>
      </c>
    </row>
    <row r="93" spans="1:18" x14ac:dyDescent="0.3">
      <c r="A93" s="1">
        <v>43137</v>
      </c>
      <c r="B93">
        <v>317.64999999999998</v>
      </c>
      <c r="C93">
        <v>314.05000009536701</v>
      </c>
      <c r="D93">
        <v>-3.5999999046325599</v>
      </c>
      <c r="E93" s="1">
        <v>43228</v>
      </c>
      <c r="F93">
        <v>9.6070442199706996</v>
      </c>
      <c r="G93">
        <v>-3.5999999046325599</v>
      </c>
      <c r="K93">
        <v>4.3025482366466656</v>
      </c>
      <c r="M93" s="1">
        <v>43228</v>
      </c>
      <c r="N93">
        <f t="shared" si="4"/>
        <v>321.12338939641415</v>
      </c>
      <c r="O93">
        <f t="shared" si="5"/>
        <v>306.97661079431987</v>
      </c>
      <c r="P93">
        <v>314.05000009536701</v>
      </c>
      <c r="Q93">
        <f t="shared" si="6"/>
        <v>327.25704421997068</v>
      </c>
      <c r="R93">
        <f t="shared" si="7"/>
        <v>0</v>
      </c>
    </row>
    <row r="94" spans="1:18" x14ac:dyDescent="0.3">
      <c r="A94" s="1">
        <v>43138</v>
      </c>
      <c r="B94">
        <v>309.5</v>
      </c>
      <c r="C94">
        <v>314.05000019073401</v>
      </c>
      <c r="D94">
        <v>4.5500001907348597</v>
      </c>
      <c r="E94" s="1">
        <v>43229</v>
      </c>
      <c r="F94">
        <v>9.4036293029785103</v>
      </c>
      <c r="G94">
        <v>4.5500001907348597</v>
      </c>
      <c r="K94">
        <v>4.2908593284124077</v>
      </c>
      <c r="M94" s="1">
        <v>43229</v>
      </c>
      <c r="N94">
        <f t="shared" si="4"/>
        <v>321.10417292664403</v>
      </c>
      <c r="O94">
        <f t="shared" si="5"/>
        <v>306.995827454824</v>
      </c>
      <c r="P94">
        <v>314.05000019073401</v>
      </c>
      <c r="Q94">
        <f t="shared" si="6"/>
        <v>318.90362930297852</v>
      </c>
      <c r="R94">
        <f t="shared" si="7"/>
        <v>1</v>
      </c>
    </row>
    <row r="95" spans="1:18" x14ac:dyDescent="0.3">
      <c r="A95" s="1">
        <v>43139</v>
      </c>
      <c r="B95">
        <v>312.5</v>
      </c>
      <c r="C95">
        <v>315.849999904632</v>
      </c>
      <c r="D95">
        <v>3.3499999046325599</v>
      </c>
      <c r="E95" s="1">
        <v>43230</v>
      </c>
      <c r="F95">
        <v>9.9001178741455007</v>
      </c>
      <c r="G95">
        <v>3.3499999046325599</v>
      </c>
      <c r="K95">
        <v>4.2384236965215543</v>
      </c>
      <c r="M95" s="1">
        <v>43230</v>
      </c>
      <c r="N95">
        <f t="shared" si="4"/>
        <v>322.81796846171346</v>
      </c>
      <c r="O95">
        <f t="shared" si="5"/>
        <v>308.88203134755054</v>
      </c>
      <c r="P95">
        <v>315.849999904632</v>
      </c>
      <c r="Q95">
        <f t="shared" si="6"/>
        <v>322.40011787414551</v>
      </c>
      <c r="R95">
        <f t="shared" si="7"/>
        <v>1</v>
      </c>
    </row>
    <row r="96" spans="1:18" x14ac:dyDescent="0.3">
      <c r="A96" s="1">
        <v>43140</v>
      </c>
      <c r="B96">
        <v>303.85000000000002</v>
      </c>
      <c r="C96">
        <v>317.65000019073398</v>
      </c>
      <c r="D96">
        <v>13.800000190734799</v>
      </c>
      <c r="E96" s="1">
        <v>43231</v>
      </c>
      <c r="F96">
        <v>12.375988960266101</v>
      </c>
      <c r="G96">
        <v>13.800000190734799</v>
      </c>
      <c r="K96">
        <v>4.2388697667853501</v>
      </c>
      <c r="M96" s="1">
        <v>43231</v>
      </c>
      <c r="N96">
        <f t="shared" si="4"/>
        <v>324.6187020873291</v>
      </c>
      <c r="O96">
        <f t="shared" si="5"/>
        <v>310.68129829413886</v>
      </c>
      <c r="P96">
        <v>317.65000019073398</v>
      </c>
      <c r="Q96">
        <f t="shared" si="6"/>
        <v>316.22598896026614</v>
      </c>
      <c r="R96">
        <f t="shared" si="7"/>
        <v>1</v>
      </c>
    </row>
    <row r="97" spans="1:18" x14ac:dyDescent="0.3">
      <c r="A97" s="1">
        <v>43143</v>
      </c>
      <c r="B97">
        <v>308.10000000000002</v>
      </c>
      <c r="C97">
        <v>316.85000000000002</v>
      </c>
      <c r="D97">
        <v>8.75</v>
      </c>
      <c r="E97" s="1">
        <v>43234</v>
      </c>
      <c r="F97">
        <v>9.4143257141113192</v>
      </c>
      <c r="G97">
        <v>8.75</v>
      </c>
      <c r="K97">
        <v>4.004068225481725</v>
      </c>
      <c r="M97" s="1">
        <v>43234</v>
      </c>
      <c r="N97">
        <f t="shared" si="4"/>
        <v>323.43268816269199</v>
      </c>
      <c r="O97">
        <f t="shared" si="5"/>
        <v>310.26731183730806</v>
      </c>
      <c r="P97">
        <v>316.85000000000002</v>
      </c>
      <c r="Q97">
        <f t="shared" si="6"/>
        <v>317.51432571411135</v>
      </c>
      <c r="R97">
        <f t="shared" si="7"/>
        <v>1</v>
      </c>
    </row>
    <row r="98" spans="1:18" x14ac:dyDescent="0.3">
      <c r="A98" s="1">
        <v>43144</v>
      </c>
      <c r="B98">
        <v>311.39999999999998</v>
      </c>
      <c r="C98">
        <v>313.74999990463198</v>
      </c>
      <c r="D98">
        <v>2.3499999046325599</v>
      </c>
      <c r="E98" s="1">
        <v>43235</v>
      </c>
      <c r="F98">
        <v>8.5637607574462802</v>
      </c>
      <c r="G98">
        <v>2.3499999046325599</v>
      </c>
      <c r="K98">
        <v>3.9072731177616991</v>
      </c>
      <c r="M98" s="1">
        <v>43235</v>
      </c>
      <c r="N98">
        <f t="shared" si="4"/>
        <v>320.17355691023221</v>
      </c>
      <c r="O98">
        <f t="shared" si="5"/>
        <v>307.32644289903175</v>
      </c>
      <c r="P98">
        <v>313.74999990463198</v>
      </c>
      <c r="Q98">
        <f t="shared" si="6"/>
        <v>319.96376075744627</v>
      </c>
      <c r="R98">
        <f t="shared" si="7"/>
        <v>1</v>
      </c>
    </row>
    <row r="99" spans="1:18" x14ac:dyDescent="0.3">
      <c r="A99" s="1">
        <v>43145</v>
      </c>
      <c r="B99">
        <v>314.3</v>
      </c>
      <c r="C99">
        <v>314.90000002384102</v>
      </c>
      <c r="D99">
        <v>-0.60000002384185702</v>
      </c>
      <c r="E99" s="1">
        <v>43236</v>
      </c>
      <c r="F99">
        <v>-0.47562137246131803</v>
      </c>
      <c r="G99">
        <v>0.60000002384185702</v>
      </c>
      <c r="K99">
        <v>3.8761523589194908</v>
      </c>
      <c r="M99" s="1">
        <v>43236</v>
      </c>
      <c r="N99">
        <f t="shared" si="4"/>
        <v>321.27239450190467</v>
      </c>
      <c r="O99">
        <f t="shared" si="5"/>
        <v>308.52760554577736</v>
      </c>
      <c r="P99">
        <v>314.90000002384102</v>
      </c>
      <c r="Q99">
        <f t="shared" si="6"/>
        <v>313.82437862753869</v>
      </c>
      <c r="R99">
        <f t="shared" si="7"/>
        <v>0</v>
      </c>
    </row>
    <row r="100" spans="1:18" x14ac:dyDescent="0.3">
      <c r="A100" s="1">
        <v>43146</v>
      </c>
      <c r="B100">
        <v>314.3</v>
      </c>
      <c r="C100">
        <v>313.40000002384102</v>
      </c>
      <c r="D100">
        <v>0.89999997615814198</v>
      </c>
      <c r="E100" s="1">
        <v>43237</v>
      </c>
      <c r="F100">
        <v>-1.1747578382492001</v>
      </c>
      <c r="G100">
        <v>-0.89999997615814198</v>
      </c>
      <c r="K100">
        <v>3.8817527821854747</v>
      </c>
      <c r="M100" s="1">
        <v>43237</v>
      </c>
      <c r="N100">
        <f t="shared" si="4"/>
        <v>319.78160159775393</v>
      </c>
      <c r="O100">
        <f t="shared" si="5"/>
        <v>307.0183984499281</v>
      </c>
      <c r="P100">
        <v>313.40000002384102</v>
      </c>
      <c r="Q100">
        <f t="shared" si="6"/>
        <v>313.1252421617508</v>
      </c>
      <c r="R100">
        <f t="shared" si="7"/>
        <v>1</v>
      </c>
    </row>
    <row r="101" spans="1:18" x14ac:dyDescent="0.3">
      <c r="A101" s="1">
        <v>43147</v>
      </c>
      <c r="B101">
        <v>314.3</v>
      </c>
      <c r="C101">
        <v>314.74999998807903</v>
      </c>
      <c r="D101">
        <v>0.44999998807907099</v>
      </c>
      <c r="E101" s="1">
        <v>43238</v>
      </c>
      <c r="F101">
        <v>7.1704792976379297</v>
      </c>
      <c r="G101">
        <v>0.44999998807907099</v>
      </c>
      <c r="K101">
        <v>3.8801642030234049</v>
      </c>
      <c r="M101" s="1">
        <v>43238</v>
      </c>
      <c r="N101">
        <f t="shared" si="4"/>
        <v>321.1289899378495</v>
      </c>
      <c r="O101">
        <f t="shared" si="5"/>
        <v>308.37101003830855</v>
      </c>
      <c r="P101">
        <v>314.74999998807903</v>
      </c>
      <c r="Q101">
        <f t="shared" si="6"/>
        <v>321.47047929763795</v>
      </c>
      <c r="R101">
        <f t="shared" si="7"/>
        <v>0</v>
      </c>
    </row>
    <row r="102" spans="1:18" x14ac:dyDescent="0.3">
      <c r="A102" s="1">
        <v>43150</v>
      </c>
      <c r="B102">
        <v>316.25</v>
      </c>
      <c r="C102">
        <v>315.10000002384101</v>
      </c>
      <c r="D102">
        <v>-1.1499999761581401</v>
      </c>
      <c r="E102" s="1">
        <v>43241</v>
      </c>
      <c r="F102">
        <v>10.1306762695312</v>
      </c>
      <c r="G102">
        <v>-1.1499999761581401</v>
      </c>
      <c r="K102">
        <v>3.8778638563748085</v>
      </c>
      <c r="M102" s="1">
        <v>43241</v>
      </c>
      <c r="N102">
        <f t="shared" si="4"/>
        <v>321.47520820372119</v>
      </c>
      <c r="O102">
        <f t="shared" si="5"/>
        <v>308.72479184396082</v>
      </c>
      <c r="P102">
        <v>315.10000002384101</v>
      </c>
      <c r="Q102">
        <f t="shared" si="6"/>
        <v>326.38067626953119</v>
      </c>
      <c r="R102">
        <f t="shared" si="7"/>
        <v>0</v>
      </c>
    </row>
    <row r="103" spans="1:18" x14ac:dyDescent="0.3">
      <c r="A103" s="1">
        <v>43151</v>
      </c>
      <c r="B103">
        <v>312</v>
      </c>
      <c r="C103">
        <v>315.099999904632</v>
      </c>
      <c r="D103">
        <v>3.0999999046325599</v>
      </c>
      <c r="E103" s="1">
        <v>43242</v>
      </c>
      <c r="F103">
        <v>8.28765869140625</v>
      </c>
      <c r="G103">
        <v>3.0999999046325599</v>
      </c>
      <c r="K103">
        <v>3.8767109915349809</v>
      </c>
      <c r="M103" s="1">
        <v>43242</v>
      </c>
      <c r="N103">
        <f t="shared" si="4"/>
        <v>321.47331277471551</v>
      </c>
      <c r="O103">
        <f t="shared" si="5"/>
        <v>308.72668703454849</v>
      </c>
      <c r="P103">
        <v>315.099999904632</v>
      </c>
      <c r="Q103">
        <f t="shared" si="6"/>
        <v>320.28765869140625</v>
      </c>
      <c r="R103">
        <f t="shared" si="7"/>
        <v>1</v>
      </c>
    </row>
    <row r="104" spans="1:18" x14ac:dyDescent="0.3">
      <c r="A104" s="1">
        <v>43152</v>
      </c>
      <c r="B104">
        <v>314.05</v>
      </c>
      <c r="C104">
        <v>317.14999990463201</v>
      </c>
      <c r="D104">
        <v>3.0999999046325599</v>
      </c>
      <c r="E104" s="1">
        <v>43243</v>
      </c>
      <c r="F104">
        <v>6.7069091796875</v>
      </c>
      <c r="G104">
        <v>3.0999999046325599</v>
      </c>
      <c r="K104">
        <v>3.8587321884997547</v>
      </c>
      <c r="M104" s="1">
        <v>43243</v>
      </c>
      <c r="N104">
        <f t="shared" si="4"/>
        <v>323.49375562252561</v>
      </c>
      <c r="O104">
        <f t="shared" si="5"/>
        <v>310.80624418673841</v>
      </c>
      <c r="P104">
        <v>317.14999990463201</v>
      </c>
      <c r="Q104">
        <f t="shared" si="6"/>
        <v>320.75690917968751</v>
      </c>
      <c r="R104">
        <f t="shared" si="7"/>
        <v>1</v>
      </c>
    </row>
    <row r="105" spans="1:18" x14ac:dyDescent="0.3">
      <c r="A105" s="1">
        <v>43153</v>
      </c>
      <c r="B105">
        <v>311.85000000000002</v>
      </c>
      <c r="C105">
        <v>316.54999980926499</v>
      </c>
      <c r="D105">
        <v>4.6999998092651296</v>
      </c>
      <c r="E105" s="1">
        <v>43244</v>
      </c>
      <c r="F105">
        <v>10.7938518524169</v>
      </c>
      <c r="G105">
        <v>4.6999998092651296</v>
      </c>
      <c r="K105">
        <v>3.8566324217331953</v>
      </c>
      <c r="M105" s="1">
        <v>43244</v>
      </c>
      <c r="N105">
        <f t="shared" si="4"/>
        <v>322.89030351059438</v>
      </c>
      <c r="O105">
        <f t="shared" si="5"/>
        <v>310.2096961079356</v>
      </c>
      <c r="P105">
        <v>316.54999980926499</v>
      </c>
      <c r="Q105">
        <f t="shared" si="6"/>
        <v>322.6438518524169</v>
      </c>
      <c r="R105">
        <f t="shared" si="7"/>
        <v>1</v>
      </c>
    </row>
    <row r="106" spans="1:18" x14ac:dyDescent="0.3">
      <c r="A106" s="1">
        <v>43154</v>
      </c>
      <c r="B106">
        <v>316.95</v>
      </c>
      <c r="C106">
        <v>317.29999999403901</v>
      </c>
      <c r="D106">
        <v>0.34999999403953502</v>
      </c>
      <c r="E106" s="1">
        <v>43245</v>
      </c>
      <c r="F106">
        <v>6.5286579132079998</v>
      </c>
      <c r="G106">
        <v>0.34999999403953502</v>
      </c>
      <c r="K106">
        <v>3.834921126518779</v>
      </c>
      <c r="M106" s="1">
        <v>43245</v>
      </c>
      <c r="N106">
        <f t="shared" si="4"/>
        <v>323.60461032603587</v>
      </c>
      <c r="O106">
        <f t="shared" si="5"/>
        <v>310.99538966204216</v>
      </c>
      <c r="P106">
        <v>317.29999999403901</v>
      </c>
      <c r="Q106">
        <f t="shared" si="6"/>
        <v>323.478657913208</v>
      </c>
      <c r="R106">
        <f t="shared" si="7"/>
        <v>1</v>
      </c>
    </row>
    <row r="107" spans="1:18" x14ac:dyDescent="0.3">
      <c r="A107" s="1">
        <v>43157</v>
      </c>
      <c r="B107">
        <v>317.10000000000002</v>
      </c>
      <c r="C107">
        <v>318.10000000000002</v>
      </c>
      <c r="D107">
        <v>1</v>
      </c>
      <c r="E107" s="1">
        <v>43248</v>
      </c>
      <c r="F107">
        <v>4.20353078842163</v>
      </c>
      <c r="G107">
        <v>1</v>
      </c>
      <c r="K107">
        <v>3.8436959104159478</v>
      </c>
      <c r="M107" s="1">
        <v>43248</v>
      </c>
      <c r="N107">
        <f t="shared" si="4"/>
        <v>324.41903607672384</v>
      </c>
      <c r="O107">
        <f t="shared" si="5"/>
        <v>311.7809639232762</v>
      </c>
      <c r="P107">
        <v>318.10000000000002</v>
      </c>
      <c r="Q107">
        <f t="shared" si="6"/>
        <v>321.30353078842165</v>
      </c>
      <c r="R107">
        <f t="shared" si="7"/>
        <v>1</v>
      </c>
    </row>
    <row r="108" spans="1:18" x14ac:dyDescent="0.3">
      <c r="A108" s="1">
        <v>43158</v>
      </c>
      <c r="B108">
        <v>315.75</v>
      </c>
      <c r="C108">
        <v>314.89999997615803</v>
      </c>
      <c r="D108">
        <v>-0.85000002384185702</v>
      </c>
      <c r="E108" s="1">
        <v>43249</v>
      </c>
      <c r="F108">
        <v>2.23251056671142</v>
      </c>
      <c r="G108">
        <v>-0.85000002384185702</v>
      </c>
      <c r="K108">
        <v>3.8402855523441413</v>
      </c>
      <c r="M108" s="1">
        <v>43249</v>
      </c>
      <c r="N108">
        <f t="shared" si="4"/>
        <v>321.21342942421177</v>
      </c>
      <c r="O108">
        <f t="shared" si="5"/>
        <v>308.58657052810429</v>
      </c>
      <c r="P108">
        <v>314.89999997615803</v>
      </c>
      <c r="Q108">
        <f t="shared" si="6"/>
        <v>317.98251056671143</v>
      </c>
      <c r="R108">
        <f t="shared" si="7"/>
        <v>0</v>
      </c>
    </row>
    <row r="109" spans="1:18" x14ac:dyDescent="0.3">
      <c r="A109" s="1">
        <v>43159</v>
      </c>
      <c r="B109">
        <v>312.45</v>
      </c>
      <c r="C109">
        <v>307.54999990463199</v>
      </c>
      <c r="D109">
        <v>4.9000000953674299</v>
      </c>
      <c r="E109" s="1">
        <v>43250</v>
      </c>
      <c r="F109">
        <v>-2.8796508312225302</v>
      </c>
      <c r="G109">
        <v>-4.9000000953674299</v>
      </c>
      <c r="K109">
        <v>3.9658264129345286</v>
      </c>
      <c r="M109" s="1">
        <v>43250</v>
      </c>
      <c r="N109">
        <f t="shared" si="4"/>
        <v>314.06981852749635</v>
      </c>
      <c r="O109">
        <f t="shared" si="5"/>
        <v>301.03018128176763</v>
      </c>
      <c r="P109">
        <v>307.54999990463199</v>
      </c>
      <c r="Q109">
        <f t="shared" si="6"/>
        <v>309.57034916877745</v>
      </c>
      <c r="R109">
        <f t="shared" si="7"/>
        <v>1</v>
      </c>
    </row>
    <row r="110" spans="1:18" x14ac:dyDescent="0.3">
      <c r="A110" s="1">
        <v>43160</v>
      </c>
      <c r="B110">
        <v>312.45</v>
      </c>
      <c r="C110">
        <v>309.15000004768302</v>
      </c>
      <c r="D110">
        <v>3.2999999523162802</v>
      </c>
      <c r="E110" s="1">
        <v>43251</v>
      </c>
      <c r="F110">
        <v>-5.8201880455017001</v>
      </c>
      <c r="G110">
        <v>-3.2999999523162802</v>
      </c>
      <c r="K110">
        <v>4.0248758106773073</v>
      </c>
      <c r="M110" s="1">
        <v>43251</v>
      </c>
      <c r="N110">
        <f t="shared" si="4"/>
        <v>315.76689588043649</v>
      </c>
      <c r="O110">
        <f t="shared" si="5"/>
        <v>302.53310421492955</v>
      </c>
      <c r="P110">
        <v>309.15000004768302</v>
      </c>
      <c r="Q110">
        <f t="shared" si="6"/>
        <v>306.62981195449828</v>
      </c>
      <c r="R110">
        <f t="shared" si="7"/>
        <v>1</v>
      </c>
    </row>
    <row r="111" spans="1:18" x14ac:dyDescent="0.3">
      <c r="A111" s="1">
        <v>43161</v>
      </c>
      <c r="B111">
        <v>308.14999999999998</v>
      </c>
      <c r="C111">
        <v>311.39999999999998</v>
      </c>
      <c r="D111">
        <v>3.25</v>
      </c>
      <c r="E111" s="1">
        <v>43252</v>
      </c>
      <c r="F111">
        <v>13.743191719055099</v>
      </c>
      <c r="G111">
        <v>3.25</v>
      </c>
      <c r="K111">
        <v>4.0388547039163658</v>
      </c>
      <c r="M111" s="1">
        <v>43252</v>
      </c>
      <c r="N111">
        <f t="shared" si="4"/>
        <v>318.03987713323846</v>
      </c>
      <c r="O111">
        <f t="shared" si="5"/>
        <v>304.76012286676149</v>
      </c>
      <c r="P111">
        <v>311.39999999999998</v>
      </c>
      <c r="Q111">
        <f t="shared" si="6"/>
        <v>321.8931917190551</v>
      </c>
      <c r="R111">
        <f t="shared" si="7"/>
        <v>0</v>
      </c>
    </row>
    <row r="112" spans="1:18" x14ac:dyDescent="0.3">
      <c r="A112" s="1">
        <v>43164</v>
      </c>
      <c r="B112">
        <v>303.85000000000002</v>
      </c>
      <c r="C112">
        <v>313.15000019073398</v>
      </c>
      <c r="D112">
        <v>9.3000001907348597</v>
      </c>
      <c r="E112" s="1">
        <v>43255</v>
      </c>
      <c r="F112">
        <v>15.6219425201416</v>
      </c>
      <c r="G112">
        <v>9.3000001907348597</v>
      </c>
      <c r="K112">
        <v>3.9464944167980542</v>
      </c>
      <c r="M112" s="1">
        <v>43255</v>
      </c>
      <c r="N112">
        <f t="shared" si="4"/>
        <v>319.63803701194996</v>
      </c>
      <c r="O112">
        <f t="shared" si="5"/>
        <v>306.66196336951799</v>
      </c>
      <c r="P112">
        <v>313.15000019073398</v>
      </c>
      <c r="Q112">
        <f t="shared" si="6"/>
        <v>319.47194252014162</v>
      </c>
      <c r="R112">
        <f t="shared" si="7"/>
        <v>1</v>
      </c>
    </row>
    <row r="113" spans="1:18" x14ac:dyDescent="0.3">
      <c r="A113" s="1">
        <v>43165</v>
      </c>
      <c r="B113">
        <v>310.3</v>
      </c>
      <c r="C113">
        <v>313.75000004768299</v>
      </c>
      <c r="D113">
        <v>3.45000004768371</v>
      </c>
      <c r="E113" s="1">
        <v>43256</v>
      </c>
      <c r="F113">
        <v>12.130601882934499</v>
      </c>
      <c r="G113">
        <v>3.45000004768371</v>
      </c>
      <c r="K113">
        <v>3.6764911821718598</v>
      </c>
      <c r="M113" s="1">
        <v>43256</v>
      </c>
      <c r="N113">
        <f t="shared" si="4"/>
        <v>319.79415155117351</v>
      </c>
      <c r="O113">
        <f t="shared" si="5"/>
        <v>307.70584854419246</v>
      </c>
      <c r="P113">
        <v>313.75000004768299</v>
      </c>
      <c r="Q113">
        <f t="shared" si="6"/>
        <v>322.43060188293452</v>
      </c>
      <c r="R113">
        <f t="shared" si="7"/>
        <v>0</v>
      </c>
    </row>
    <row r="114" spans="1:18" x14ac:dyDescent="0.3">
      <c r="A114" s="1">
        <v>43166</v>
      </c>
      <c r="B114">
        <v>310.45</v>
      </c>
      <c r="C114">
        <v>313.74999995231599</v>
      </c>
      <c r="D114">
        <v>3.2999999523162802</v>
      </c>
      <c r="E114" s="1">
        <v>43257</v>
      </c>
      <c r="F114">
        <v>11.4545640945434</v>
      </c>
      <c r="G114">
        <v>3.2999999523162802</v>
      </c>
      <c r="K114">
        <v>3.623663245209928</v>
      </c>
      <c r="M114" s="1">
        <v>43257</v>
      </c>
      <c r="N114">
        <f t="shared" si="4"/>
        <v>319.70730232744108</v>
      </c>
      <c r="O114">
        <f t="shared" si="5"/>
        <v>307.79269757719089</v>
      </c>
      <c r="P114">
        <v>313.74999995231599</v>
      </c>
      <c r="Q114">
        <f t="shared" si="6"/>
        <v>321.90456409454339</v>
      </c>
      <c r="R114">
        <f t="shared" si="7"/>
        <v>0</v>
      </c>
    </row>
    <row r="115" spans="1:18" x14ac:dyDescent="0.3">
      <c r="A115" s="1">
        <v>43167</v>
      </c>
      <c r="B115">
        <v>313.60000000000002</v>
      </c>
      <c r="C115">
        <v>316.85000000000002</v>
      </c>
      <c r="D115">
        <v>3.25</v>
      </c>
      <c r="E115" s="1">
        <v>43258</v>
      </c>
      <c r="F115">
        <v>9.9694604873657209</v>
      </c>
      <c r="G115">
        <v>3.25</v>
      </c>
      <c r="K115">
        <v>3.5666269903899552</v>
      </c>
      <c r="M115" s="1">
        <v>43258</v>
      </c>
      <c r="N115">
        <f t="shared" si="4"/>
        <v>322.71353477220111</v>
      </c>
      <c r="O115">
        <f t="shared" si="5"/>
        <v>310.98646522779893</v>
      </c>
      <c r="P115">
        <v>316.85000000000002</v>
      </c>
      <c r="Q115">
        <f t="shared" si="6"/>
        <v>323.56946048736575</v>
      </c>
      <c r="R115">
        <f t="shared" si="7"/>
        <v>0</v>
      </c>
    </row>
    <row r="116" spans="1:18" x14ac:dyDescent="0.3">
      <c r="A116" s="1">
        <v>43168</v>
      </c>
      <c r="B116">
        <v>317.10000000000002</v>
      </c>
      <c r="C116">
        <v>313.300000047683</v>
      </c>
      <c r="D116">
        <v>-3.7999999523162802</v>
      </c>
      <c r="E116" s="1">
        <v>43259</v>
      </c>
      <c r="F116">
        <v>2.9442541599273602</v>
      </c>
      <c r="G116">
        <v>-3.7999999523162802</v>
      </c>
      <c r="K116">
        <v>3.5696392803859918</v>
      </c>
      <c r="M116" s="1">
        <v>43259</v>
      </c>
      <c r="N116">
        <f t="shared" si="4"/>
        <v>319.16848702463756</v>
      </c>
      <c r="O116">
        <f t="shared" si="5"/>
        <v>307.43151307072844</v>
      </c>
      <c r="P116">
        <v>313.300000047683</v>
      </c>
      <c r="Q116">
        <f t="shared" si="6"/>
        <v>320.04425415992739</v>
      </c>
      <c r="R116">
        <f t="shared" si="7"/>
        <v>0</v>
      </c>
    </row>
    <row r="117" spans="1:18" x14ac:dyDescent="0.3">
      <c r="A117" s="1">
        <v>43171</v>
      </c>
      <c r="B117">
        <v>320.10000000000002</v>
      </c>
      <c r="C117">
        <v>316.14999995231602</v>
      </c>
      <c r="D117">
        <v>-3.95000004768371</v>
      </c>
      <c r="E117" s="1">
        <v>43262</v>
      </c>
      <c r="F117">
        <v>5.6826357841491699</v>
      </c>
      <c r="G117">
        <v>-3.95000004768371</v>
      </c>
      <c r="K117">
        <v>3.5661340909046553</v>
      </c>
      <c r="M117" s="1">
        <v>43262</v>
      </c>
      <c r="N117">
        <f t="shared" si="4"/>
        <v>322.01272439776329</v>
      </c>
      <c r="O117">
        <f t="shared" si="5"/>
        <v>310.28727550686875</v>
      </c>
      <c r="P117">
        <v>316.14999995231602</v>
      </c>
      <c r="Q117">
        <f t="shared" si="6"/>
        <v>325.78263578414919</v>
      </c>
      <c r="R117">
        <f t="shared" si="7"/>
        <v>0</v>
      </c>
    </row>
    <row r="118" spans="1:18" x14ac:dyDescent="0.3">
      <c r="A118" s="1">
        <v>43172</v>
      </c>
      <c r="B118">
        <v>321.5</v>
      </c>
      <c r="C118">
        <v>315.65000009536698</v>
      </c>
      <c r="D118">
        <v>-5.8499999046325604</v>
      </c>
      <c r="E118" s="1">
        <v>43263</v>
      </c>
      <c r="F118">
        <v>3.1488125324249201</v>
      </c>
      <c r="G118">
        <v>-5.8499999046325604</v>
      </c>
      <c r="K118">
        <v>3.5246836059630309</v>
      </c>
      <c r="M118" s="1">
        <v>43263</v>
      </c>
      <c r="N118">
        <f t="shared" si="4"/>
        <v>321.4445799435702</v>
      </c>
      <c r="O118">
        <f t="shared" si="5"/>
        <v>309.85542024716375</v>
      </c>
      <c r="P118">
        <v>315.65000009536698</v>
      </c>
      <c r="Q118">
        <f t="shared" si="6"/>
        <v>324.64881253242493</v>
      </c>
      <c r="R118">
        <f t="shared" si="7"/>
        <v>0</v>
      </c>
    </row>
    <row r="119" spans="1:18" x14ac:dyDescent="0.3">
      <c r="A119" s="1">
        <v>43173</v>
      </c>
      <c r="B119">
        <v>321.55</v>
      </c>
      <c r="C119">
        <v>315.64999990463201</v>
      </c>
      <c r="D119">
        <v>5.9000000953674299</v>
      </c>
      <c r="E119" s="1">
        <v>43264</v>
      </c>
      <c r="F119">
        <v>-1.78427958488464</v>
      </c>
      <c r="G119">
        <v>-5.9000000953674299</v>
      </c>
      <c r="K119">
        <v>3.4491973999704233</v>
      </c>
      <c r="M119" s="1">
        <v>43264</v>
      </c>
      <c r="N119">
        <f t="shared" si="4"/>
        <v>321.32048043018341</v>
      </c>
      <c r="O119">
        <f t="shared" si="5"/>
        <v>309.97951937908061</v>
      </c>
      <c r="P119">
        <v>315.64999990463201</v>
      </c>
      <c r="Q119">
        <f t="shared" si="6"/>
        <v>319.76572041511537</v>
      </c>
      <c r="R119">
        <f t="shared" si="7"/>
        <v>1</v>
      </c>
    </row>
    <row r="120" spans="1:18" x14ac:dyDescent="0.3">
      <c r="A120" s="1">
        <v>43174</v>
      </c>
      <c r="B120">
        <v>322.85000000000002</v>
      </c>
      <c r="C120">
        <v>310.40000019073398</v>
      </c>
      <c r="D120">
        <v>12.449999809265099</v>
      </c>
      <c r="E120" s="1">
        <v>43265</v>
      </c>
      <c r="F120">
        <v>-7.7530207633972097</v>
      </c>
      <c r="G120">
        <v>-12.449999809265099</v>
      </c>
      <c r="K120">
        <v>3.4265738731506339</v>
      </c>
      <c r="M120" s="1">
        <v>43265</v>
      </c>
      <c r="N120">
        <f t="shared" si="4"/>
        <v>316.0332876381936</v>
      </c>
      <c r="O120">
        <f t="shared" si="5"/>
        <v>304.76671274327435</v>
      </c>
      <c r="P120">
        <v>310.40000019073398</v>
      </c>
      <c r="Q120">
        <f t="shared" si="6"/>
        <v>315.09697923660281</v>
      </c>
      <c r="R120">
        <f t="shared" si="7"/>
        <v>1</v>
      </c>
    </row>
    <row r="121" spans="1:18" x14ac:dyDescent="0.3">
      <c r="A121" s="1">
        <v>43175</v>
      </c>
      <c r="B121">
        <v>322</v>
      </c>
      <c r="C121">
        <v>309.19999980926502</v>
      </c>
      <c r="D121">
        <v>12.800000190734799</v>
      </c>
      <c r="E121" s="1">
        <v>43266</v>
      </c>
      <c r="F121">
        <v>-0.252999126911163</v>
      </c>
      <c r="G121">
        <v>-12.800000190734799</v>
      </c>
      <c r="K121">
        <v>3.3839426116687656</v>
      </c>
      <c r="M121" s="1">
        <v>43266</v>
      </c>
      <c r="N121">
        <f t="shared" si="4"/>
        <v>314.76320146284849</v>
      </c>
      <c r="O121">
        <f t="shared" si="5"/>
        <v>303.63679815568156</v>
      </c>
      <c r="P121">
        <v>309.19999980926502</v>
      </c>
      <c r="Q121">
        <f t="shared" si="6"/>
        <v>321.74700087308884</v>
      </c>
      <c r="R121">
        <f t="shared" si="7"/>
        <v>0</v>
      </c>
    </row>
    <row r="122" spans="1:18" x14ac:dyDescent="0.3">
      <c r="A122" s="1">
        <v>43178</v>
      </c>
      <c r="B122">
        <v>319.85000000000002</v>
      </c>
      <c r="C122">
        <v>305.85000000000002</v>
      </c>
      <c r="D122">
        <v>-14</v>
      </c>
      <c r="E122" s="1">
        <v>43269</v>
      </c>
      <c r="F122">
        <v>5.2575225830078098</v>
      </c>
      <c r="G122">
        <v>-14</v>
      </c>
      <c r="K122">
        <v>3.4697125257944674</v>
      </c>
      <c r="M122" s="1">
        <v>43269</v>
      </c>
      <c r="N122">
        <f t="shared" si="4"/>
        <v>311.55420739240611</v>
      </c>
      <c r="O122">
        <f t="shared" si="5"/>
        <v>300.14579260759393</v>
      </c>
      <c r="P122">
        <v>305.85000000000002</v>
      </c>
      <c r="Q122">
        <f t="shared" si="6"/>
        <v>325.10752258300784</v>
      </c>
      <c r="R122">
        <f t="shared" si="7"/>
        <v>0</v>
      </c>
    </row>
    <row r="123" spans="1:18" x14ac:dyDescent="0.3">
      <c r="A123" s="1">
        <v>43179</v>
      </c>
      <c r="B123">
        <v>321.3</v>
      </c>
      <c r="C123">
        <v>301.34999923705999</v>
      </c>
      <c r="D123">
        <v>-19.9500007629394</v>
      </c>
      <c r="E123" s="1">
        <v>43270</v>
      </c>
      <c r="F123">
        <v>9.7333755493163991</v>
      </c>
      <c r="G123">
        <v>-19.9500007629394</v>
      </c>
      <c r="K123">
        <v>3.8020452875128097</v>
      </c>
      <c r="M123" s="1">
        <v>43270</v>
      </c>
      <c r="N123">
        <f t="shared" si="4"/>
        <v>307.60056168973102</v>
      </c>
      <c r="O123">
        <f t="shared" si="5"/>
        <v>295.09943678438896</v>
      </c>
      <c r="P123">
        <v>301.34999923705999</v>
      </c>
      <c r="Q123">
        <f t="shared" si="6"/>
        <v>331.03337554931642</v>
      </c>
      <c r="R123">
        <f t="shared" si="7"/>
        <v>0</v>
      </c>
    </row>
    <row r="124" spans="1:18" x14ac:dyDescent="0.3">
      <c r="A124" s="1">
        <v>43180</v>
      </c>
      <c r="B124">
        <v>321.60000000000002</v>
      </c>
      <c r="C124">
        <v>304.20000038146901</v>
      </c>
      <c r="D124">
        <v>-17.399999618530199</v>
      </c>
      <c r="E124" s="1">
        <v>43271</v>
      </c>
      <c r="F124">
        <v>3.3672459125518799</v>
      </c>
      <c r="G124">
        <v>-17.399999618530199</v>
      </c>
      <c r="K124">
        <v>3.9263440678228569</v>
      </c>
      <c r="M124" s="1">
        <v>43271</v>
      </c>
      <c r="N124">
        <f t="shared" si="4"/>
        <v>310.65491002896977</v>
      </c>
      <c r="O124">
        <f t="shared" si="5"/>
        <v>297.74509073396825</v>
      </c>
      <c r="P124">
        <v>304.20000038146901</v>
      </c>
      <c r="Q124">
        <f t="shared" si="6"/>
        <v>324.9672459125519</v>
      </c>
      <c r="R124">
        <f t="shared" si="7"/>
        <v>0</v>
      </c>
    </row>
    <row r="125" spans="1:18" x14ac:dyDescent="0.3">
      <c r="A125" s="1">
        <v>43181</v>
      </c>
      <c r="B125">
        <v>322.10000000000002</v>
      </c>
      <c r="C125">
        <v>300.74999961853001</v>
      </c>
      <c r="D125">
        <v>-21.350000381469702</v>
      </c>
      <c r="E125" s="1">
        <v>43272</v>
      </c>
      <c r="F125">
        <v>0.58833014965057295</v>
      </c>
      <c r="G125">
        <v>-21.350000381469702</v>
      </c>
      <c r="K125">
        <v>4.1729428721769253</v>
      </c>
      <c r="M125" s="1">
        <v>43272</v>
      </c>
      <c r="N125">
        <f t="shared" si="4"/>
        <v>307.61031770038886</v>
      </c>
      <c r="O125">
        <f t="shared" si="5"/>
        <v>293.88968153667116</v>
      </c>
      <c r="P125">
        <v>300.74999961853001</v>
      </c>
      <c r="Q125">
        <f t="shared" si="6"/>
        <v>322.6883301496506</v>
      </c>
      <c r="R125">
        <f t="shared" si="7"/>
        <v>0</v>
      </c>
    </row>
    <row r="126" spans="1:18" x14ac:dyDescent="0.3">
      <c r="A126" s="1">
        <v>43182</v>
      </c>
      <c r="B126">
        <v>311.5</v>
      </c>
      <c r="C126">
        <v>303.65000009536698</v>
      </c>
      <c r="D126">
        <v>-7.8499999046325604</v>
      </c>
      <c r="E126" s="1">
        <v>43273</v>
      </c>
      <c r="F126">
        <v>16.699073791503899</v>
      </c>
      <c r="G126">
        <v>-7.8499999046325604</v>
      </c>
      <c r="K126">
        <v>4.2481443226990514</v>
      </c>
      <c r="M126" s="1">
        <v>43273</v>
      </c>
      <c r="N126">
        <f t="shared" si="4"/>
        <v>310.63394936188422</v>
      </c>
      <c r="O126">
        <f t="shared" si="5"/>
        <v>296.66605082884973</v>
      </c>
      <c r="P126">
        <v>303.65000009536698</v>
      </c>
      <c r="Q126">
        <f t="shared" si="6"/>
        <v>328.19907379150391</v>
      </c>
      <c r="R126">
        <f t="shared" si="7"/>
        <v>0</v>
      </c>
    </row>
    <row r="127" spans="1:18" x14ac:dyDescent="0.3">
      <c r="A127" s="1">
        <v>43185</v>
      </c>
      <c r="B127">
        <v>314.5</v>
      </c>
      <c r="C127">
        <v>303.25</v>
      </c>
      <c r="D127">
        <v>-11.25</v>
      </c>
      <c r="E127" s="1">
        <v>43276</v>
      </c>
      <c r="F127">
        <v>21.132219314575099</v>
      </c>
      <c r="G127">
        <v>-11.25</v>
      </c>
      <c r="K127">
        <v>4.4356184411771657</v>
      </c>
      <c r="M127" s="1">
        <v>43276</v>
      </c>
      <c r="N127">
        <f t="shared" si="4"/>
        <v>310.54215671729526</v>
      </c>
      <c r="O127">
        <f t="shared" si="5"/>
        <v>295.95784328270474</v>
      </c>
      <c r="P127">
        <v>303.25</v>
      </c>
      <c r="Q127">
        <f t="shared" si="6"/>
        <v>335.63221931457508</v>
      </c>
      <c r="R127">
        <f t="shared" si="7"/>
        <v>0</v>
      </c>
    </row>
    <row r="128" spans="1:18" x14ac:dyDescent="0.3">
      <c r="A128" s="1">
        <v>43186</v>
      </c>
      <c r="B128">
        <v>315.14999999999998</v>
      </c>
      <c r="C128">
        <v>302.39999999999998</v>
      </c>
      <c r="D128">
        <v>-12.75</v>
      </c>
      <c r="E128" s="1">
        <v>43277</v>
      </c>
      <c r="F128">
        <v>10.4162292480468</v>
      </c>
      <c r="G128">
        <v>-12.75</v>
      </c>
      <c r="K128">
        <v>4.6480950806527055</v>
      </c>
      <c r="M128" s="1">
        <v>43277</v>
      </c>
      <c r="N128">
        <f t="shared" si="4"/>
        <v>310.041468312593</v>
      </c>
      <c r="O128">
        <f t="shared" si="5"/>
        <v>294.75853168740696</v>
      </c>
      <c r="P128">
        <v>302.39999999999998</v>
      </c>
      <c r="Q128">
        <f t="shared" si="6"/>
        <v>325.5662292480468</v>
      </c>
      <c r="R128">
        <f t="shared" si="7"/>
        <v>0</v>
      </c>
    </row>
    <row r="129" spans="1:18" x14ac:dyDescent="0.3">
      <c r="A129" s="1">
        <v>43187</v>
      </c>
      <c r="B129">
        <v>310.64999999999998</v>
      </c>
      <c r="C129">
        <v>301.54999961853002</v>
      </c>
      <c r="D129">
        <v>-9.1000003814697195</v>
      </c>
      <c r="E129" s="1">
        <v>43278</v>
      </c>
      <c r="F129">
        <v>5.9115514755248997</v>
      </c>
      <c r="G129">
        <v>-9.1000003814697195</v>
      </c>
      <c r="K129">
        <v>4.8718070052603153</v>
      </c>
      <c r="M129" s="1">
        <v>43278</v>
      </c>
      <c r="N129">
        <f t="shared" si="4"/>
        <v>309.55925033517798</v>
      </c>
      <c r="O129">
        <f t="shared" si="5"/>
        <v>293.54074890188207</v>
      </c>
      <c r="P129">
        <v>301.54999961853002</v>
      </c>
      <c r="Q129">
        <f t="shared" si="6"/>
        <v>316.56155147552488</v>
      </c>
      <c r="R129">
        <f t="shared" si="7"/>
        <v>0</v>
      </c>
    </row>
    <row r="130" spans="1:18" x14ac:dyDescent="0.3">
      <c r="A130" s="1">
        <v>43188</v>
      </c>
      <c r="B130">
        <v>314.45</v>
      </c>
      <c r="C130">
        <v>299.09999961852998</v>
      </c>
      <c r="D130">
        <v>15.3500003814697</v>
      </c>
      <c r="E130" s="1">
        <v>43279</v>
      </c>
      <c r="F130">
        <v>-7.3515815734863201</v>
      </c>
      <c r="G130">
        <v>-15.3500003814697</v>
      </c>
      <c r="K130">
        <v>5.168214953365986</v>
      </c>
      <c r="M130" s="1">
        <v>43279</v>
      </c>
      <c r="N130">
        <f t="shared" si="4"/>
        <v>307.59654500186366</v>
      </c>
      <c r="O130">
        <f t="shared" si="5"/>
        <v>290.6034542351963</v>
      </c>
      <c r="P130">
        <v>299.09999961852998</v>
      </c>
      <c r="Q130">
        <f t="shared" si="6"/>
        <v>307.09841842651366</v>
      </c>
      <c r="R130">
        <f t="shared" si="7"/>
        <v>1</v>
      </c>
    </row>
    <row r="131" spans="1:18" x14ac:dyDescent="0.3">
      <c r="A131" s="1">
        <v>43189</v>
      </c>
      <c r="B131">
        <v>314.55</v>
      </c>
      <c r="C131">
        <v>299.99999980926498</v>
      </c>
      <c r="D131">
        <v>14.550000190734799</v>
      </c>
      <c r="E131" s="1">
        <v>43280</v>
      </c>
      <c r="F131">
        <v>-7.4139647483825604</v>
      </c>
      <c r="G131">
        <v>-14.550000190734799</v>
      </c>
      <c r="K131">
        <v>5.4130557446023468</v>
      </c>
      <c r="M131" s="1">
        <v>43280</v>
      </c>
      <c r="N131">
        <f t="shared" ref="N131:N145" si="8">P131+1.644*K131</f>
        <v>308.89906345339125</v>
      </c>
      <c r="O131">
        <f t="shared" ref="O131:O145" si="9">P131-1.644*K131</f>
        <v>291.10093616513871</v>
      </c>
      <c r="P131">
        <v>299.99999980926498</v>
      </c>
      <c r="Q131">
        <f t="shared" ref="Q131:Q145" si="10">B131+F131</f>
        <v>307.13603525161744</v>
      </c>
      <c r="R131">
        <f t="shared" ref="R131:R137" si="11">IF(AND(D131&gt;0, AND(Q131&lt;N131, Q131&gt;O131)),1,0)</f>
        <v>1</v>
      </c>
    </row>
    <row r="132" spans="1:18" x14ac:dyDescent="0.3">
      <c r="A132" s="1">
        <v>43192</v>
      </c>
      <c r="B132">
        <v>313.45</v>
      </c>
      <c r="C132">
        <v>292.90000076293899</v>
      </c>
      <c r="D132">
        <v>20.549999237060501</v>
      </c>
      <c r="E132" s="1">
        <v>43283</v>
      </c>
      <c r="F132">
        <v>-3.88262486457824</v>
      </c>
      <c r="G132">
        <v>-20.549999237060501</v>
      </c>
      <c r="K132">
        <v>5.9440840994122688</v>
      </c>
      <c r="M132" s="1">
        <v>43283</v>
      </c>
      <c r="N132">
        <f t="shared" si="8"/>
        <v>302.67207502237278</v>
      </c>
      <c r="O132">
        <f t="shared" si="9"/>
        <v>283.12792650350519</v>
      </c>
      <c r="P132">
        <v>292.90000076293899</v>
      </c>
      <c r="Q132">
        <f t="shared" si="10"/>
        <v>309.56737513542174</v>
      </c>
      <c r="R132">
        <f t="shared" si="11"/>
        <v>0</v>
      </c>
    </row>
    <row r="133" spans="1:18" x14ac:dyDescent="0.3">
      <c r="A133" s="1">
        <v>43193</v>
      </c>
      <c r="B133">
        <v>312.8</v>
      </c>
      <c r="C133">
        <v>293.75000076293901</v>
      </c>
      <c r="D133">
        <v>19.049999237060501</v>
      </c>
      <c r="E133" s="1">
        <v>43284</v>
      </c>
      <c r="F133">
        <v>-3.3657824993133501</v>
      </c>
      <c r="G133">
        <v>-19.049999237060501</v>
      </c>
      <c r="K133">
        <v>6.3801082646402998</v>
      </c>
      <c r="M133" s="1">
        <v>43284</v>
      </c>
      <c r="N133">
        <f t="shared" si="8"/>
        <v>304.23889875000765</v>
      </c>
      <c r="O133">
        <f t="shared" si="9"/>
        <v>283.26110277587037</v>
      </c>
      <c r="P133">
        <v>293.75000076293901</v>
      </c>
      <c r="Q133">
        <f t="shared" si="10"/>
        <v>309.43421750068666</v>
      </c>
      <c r="R133">
        <f t="shared" si="11"/>
        <v>0</v>
      </c>
    </row>
    <row r="134" spans="1:18" x14ac:dyDescent="0.3">
      <c r="A134" s="1">
        <v>43194</v>
      </c>
      <c r="B134">
        <v>307.55</v>
      </c>
      <c r="C134">
        <v>292.55</v>
      </c>
      <c r="D134">
        <v>15</v>
      </c>
      <c r="E134" s="1">
        <v>43285</v>
      </c>
      <c r="F134">
        <v>-0.28569710254669101</v>
      </c>
      <c r="G134">
        <v>-15</v>
      </c>
      <c r="K134">
        <v>6.8276807025683137</v>
      </c>
      <c r="M134" s="1">
        <v>43285</v>
      </c>
      <c r="N134">
        <f t="shared" si="8"/>
        <v>303.77470707502232</v>
      </c>
      <c r="O134">
        <f t="shared" si="9"/>
        <v>281.3252929249777</v>
      </c>
      <c r="P134">
        <v>292.55</v>
      </c>
      <c r="Q134">
        <f t="shared" si="10"/>
        <v>307.26430289745332</v>
      </c>
      <c r="R134">
        <f t="shared" si="11"/>
        <v>0</v>
      </c>
    </row>
    <row r="135" spans="1:18" x14ac:dyDescent="0.3">
      <c r="A135" s="1">
        <v>43195</v>
      </c>
      <c r="B135">
        <v>312.95</v>
      </c>
      <c r="C135">
        <v>291.99999923706002</v>
      </c>
      <c r="D135">
        <v>20.9500007629394</v>
      </c>
      <c r="E135" s="1">
        <v>43286</v>
      </c>
      <c r="F135">
        <v>-2.9138300418853702</v>
      </c>
      <c r="G135">
        <v>-20.9500007629394</v>
      </c>
      <c r="K135">
        <v>7.2397791067926578</v>
      </c>
      <c r="M135" s="1">
        <v>43286</v>
      </c>
      <c r="N135">
        <f t="shared" si="8"/>
        <v>303.90219608862714</v>
      </c>
      <c r="O135">
        <f t="shared" si="9"/>
        <v>280.09780238549291</v>
      </c>
      <c r="P135">
        <v>291.99999923706002</v>
      </c>
      <c r="Q135">
        <f t="shared" si="10"/>
        <v>310.03616995811461</v>
      </c>
      <c r="R135">
        <f t="shared" si="11"/>
        <v>0</v>
      </c>
    </row>
    <row r="136" spans="1:18" x14ac:dyDescent="0.3">
      <c r="A136" s="1">
        <v>43196</v>
      </c>
      <c r="B136">
        <v>311.2</v>
      </c>
      <c r="C136">
        <v>293.59999961852998</v>
      </c>
      <c r="D136">
        <v>17.600000381469702</v>
      </c>
      <c r="E136" s="1">
        <v>43287</v>
      </c>
      <c r="F136">
        <v>-3.5308167934417698</v>
      </c>
      <c r="G136">
        <v>-17.600000381469702</v>
      </c>
      <c r="K136">
        <v>7.5754201649803328</v>
      </c>
      <c r="M136" s="1">
        <v>43287</v>
      </c>
      <c r="N136">
        <f t="shared" si="8"/>
        <v>306.05399036975763</v>
      </c>
      <c r="O136">
        <f t="shared" si="9"/>
        <v>281.14600886730233</v>
      </c>
      <c r="P136">
        <v>293.59999961852998</v>
      </c>
      <c r="Q136">
        <f t="shared" si="10"/>
        <v>307.66918320655822</v>
      </c>
      <c r="R136">
        <f t="shared" si="11"/>
        <v>0</v>
      </c>
    </row>
    <row r="137" spans="1:18" x14ac:dyDescent="0.3">
      <c r="A137" s="1">
        <v>43199</v>
      </c>
      <c r="B137">
        <v>312.95</v>
      </c>
      <c r="C137">
        <v>296.24999923706002</v>
      </c>
      <c r="D137">
        <v>-16.7000007629394</v>
      </c>
      <c r="E137" s="1">
        <v>43290</v>
      </c>
      <c r="F137">
        <v>1.3199441432952801</v>
      </c>
      <c r="G137">
        <v>-16.7000007629394</v>
      </c>
      <c r="K137">
        <v>7.8039945915589639</v>
      </c>
      <c r="M137" s="1">
        <v>43290</v>
      </c>
      <c r="N137">
        <f t="shared" si="8"/>
        <v>309.07976634558298</v>
      </c>
      <c r="O137">
        <f t="shared" si="9"/>
        <v>283.42023212853707</v>
      </c>
      <c r="P137">
        <v>296.24999923706002</v>
      </c>
      <c r="Q137">
        <f t="shared" si="10"/>
        <v>314.26994414329528</v>
      </c>
      <c r="R137">
        <f t="shared" si="11"/>
        <v>0</v>
      </c>
    </row>
    <row r="138" spans="1:18" x14ac:dyDescent="0.3">
      <c r="A138" s="1">
        <v>43200</v>
      </c>
      <c r="B138">
        <v>313.45</v>
      </c>
      <c r="C138">
        <v>296.95</v>
      </c>
      <c r="D138">
        <v>16.5</v>
      </c>
      <c r="E138" s="1">
        <v>43291</v>
      </c>
      <c r="F138">
        <v>-1.08052206039428</v>
      </c>
      <c r="G138">
        <v>-16.5</v>
      </c>
      <c r="K138">
        <v>7.9966281136996207</v>
      </c>
      <c r="M138" s="1">
        <v>43291</v>
      </c>
      <c r="N138">
        <f t="shared" si="8"/>
        <v>310.09645661892216</v>
      </c>
      <c r="O138">
        <f t="shared" si="9"/>
        <v>283.80354338107782</v>
      </c>
      <c r="P138">
        <v>296.95</v>
      </c>
      <c r="Q138">
        <f t="shared" si="10"/>
        <v>312.3694779396057</v>
      </c>
      <c r="R138">
        <f>IF(AND(D138&gt;0, AND(Q138&lt;N138, Q138&gt;O138)),1,0)</f>
        <v>0</v>
      </c>
    </row>
    <row r="139" spans="1:18" x14ac:dyDescent="0.3">
      <c r="A139" s="1">
        <v>43201</v>
      </c>
      <c r="B139">
        <v>312.45</v>
      </c>
      <c r="C139">
        <v>295.30000038146898</v>
      </c>
      <c r="D139">
        <v>-17.149999618530199</v>
      </c>
      <c r="E139" s="1">
        <v>43292</v>
      </c>
      <c r="F139">
        <v>2.08486604690551</v>
      </c>
      <c r="G139">
        <v>-17.149999618530199</v>
      </c>
      <c r="K139">
        <v>8.2204273960315799</v>
      </c>
      <c r="M139" s="1">
        <v>43292</v>
      </c>
      <c r="N139">
        <f t="shared" si="8"/>
        <v>308.81438302054488</v>
      </c>
      <c r="O139">
        <f t="shared" si="9"/>
        <v>281.78561774239307</v>
      </c>
      <c r="P139">
        <v>295.30000038146898</v>
      </c>
      <c r="Q139">
        <f t="shared" si="10"/>
        <v>314.53486604690551</v>
      </c>
      <c r="R139">
        <f t="shared" ref="R139:R145" si="12">IF(AND(D139&gt;0, AND(Q139&lt;N139, Q139&gt;O139)),1,0)</f>
        <v>0</v>
      </c>
    </row>
    <row r="140" spans="1:18" x14ac:dyDescent="0.3">
      <c r="A140" s="1">
        <v>43202</v>
      </c>
      <c r="B140">
        <v>311.75</v>
      </c>
      <c r="C140">
        <v>296</v>
      </c>
      <c r="D140">
        <v>15.75</v>
      </c>
      <c r="E140" s="1">
        <v>43293</v>
      </c>
      <c r="F140">
        <v>-11.422794342041</v>
      </c>
      <c r="G140">
        <v>-15.75</v>
      </c>
      <c r="K140">
        <v>8.4147549468686709</v>
      </c>
      <c r="M140" s="1">
        <v>43293</v>
      </c>
      <c r="N140">
        <f t="shared" si="8"/>
        <v>309.8338571326521</v>
      </c>
      <c r="O140">
        <f t="shared" si="9"/>
        <v>282.1661428673479</v>
      </c>
      <c r="P140">
        <v>296</v>
      </c>
      <c r="Q140">
        <f t="shared" si="10"/>
        <v>300.32720565795898</v>
      </c>
      <c r="R140">
        <f t="shared" si="12"/>
        <v>1</v>
      </c>
    </row>
    <row r="141" spans="1:18" x14ac:dyDescent="0.3">
      <c r="A141" s="1">
        <v>43203</v>
      </c>
      <c r="B141">
        <v>314.45</v>
      </c>
      <c r="C141">
        <v>299.09999961852998</v>
      </c>
      <c r="D141">
        <v>15.3500003814697</v>
      </c>
      <c r="E141" s="1">
        <v>43294</v>
      </c>
      <c r="F141">
        <v>-5.6273307800292898</v>
      </c>
      <c r="G141">
        <v>-15.3500003814697</v>
      </c>
      <c r="K141">
        <v>8.5288412382417356</v>
      </c>
      <c r="M141" s="1">
        <v>43294</v>
      </c>
      <c r="N141">
        <f t="shared" si="8"/>
        <v>313.12141461419941</v>
      </c>
      <c r="O141">
        <f t="shared" si="9"/>
        <v>285.07858462286055</v>
      </c>
      <c r="P141">
        <v>299.09999961852998</v>
      </c>
      <c r="Q141">
        <f t="shared" si="10"/>
        <v>308.82266921997069</v>
      </c>
      <c r="R141">
        <f t="shared" si="12"/>
        <v>1</v>
      </c>
    </row>
    <row r="142" spans="1:18" x14ac:dyDescent="0.3">
      <c r="A142" s="1">
        <v>43206</v>
      </c>
      <c r="B142">
        <v>314.3</v>
      </c>
      <c r="C142">
        <v>298.19999961853</v>
      </c>
      <c r="D142">
        <v>16.100000381469702</v>
      </c>
      <c r="E142" s="1">
        <v>43297</v>
      </c>
      <c r="F142">
        <v>-5.5834164619445801</v>
      </c>
      <c r="G142">
        <v>-16.100000381469702</v>
      </c>
      <c r="K142">
        <v>8.6408799962478984</v>
      </c>
      <c r="M142" s="1">
        <v>43297</v>
      </c>
      <c r="N142">
        <f t="shared" si="8"/>
        <v>312.40560633236157</v>
      </c>
      <c r="O142">
        <f t="shared" si="9"/>
        <v>283.99439290469843</v>
      </c>
      <c r="P142">
        <v>298.19999961853</v>
      </c>
      <c r="Q142">
        <f t="shared" si="10"/>
        <v>308.71658353805543</v>
      </c>
      <c r="R142">
        <f t="shared" si="12"/>
        <v>1</v>
      </c>
    </row>
    <row r="143" spans="1:18" x14ac:dyDescent="0.3">
      <c r="A143" s="1">
        <v>43207</v>
      </c>
      <c r="B143">
        <v>314.39999999999998</v>
      </c>
      <c r="C143">
        <v>297.35000076293898</v>
      </c>
      <c r="D143">
        <v>17.049999237060501</v>
      </c>
      <c r="E143" s="1">
        <v>43298</v>
      </c>
      <c r="F143">
        <v>-4.18770408630371</v>
      </c>
      <c r="G143">
        <v>-17.049999237060501</v>
      </c>
      <c r="K143">
        <v>8.7636146495006084</v>
      </c>
      <c r="M143" s="1">
        <v>43298</v>
      </c>
      <c r="N143">
        <f t="shared" si="8"/>
        <v>311.75738324671795</v>
      </c>
      <c r="O143">
        <f t="shared" si="9"/>
        <v>282.94261827916</v>
      </c>
      <c r="P143">
        <v>297.35000076293898</v>
      </c>
      <c r="Q143">
        <f t="shared" si="10"/>
        <v>310.21229591369627</v>
      </c>
      <c r="R143">
        <f t="shared" si="12"/>
        <v>1</v>
      </c>
    </row>
    <row r="144" spans="1:18" x14ac:dyDescent="0.3">
      <c r="A144" s="1">
        <v>43208</v>
      </c>
      <c r="B144">
        <v>317.60000000000002</v>
      </c>
      <c r="C144">
        <v>297.05000076293902</v>
      </c>
      <c r="D144">
        <v>-20.549999237060501</v>
      </c>
      <c r="E144" s="1">
        <v>43299</v>
      </c>
      <c r="F144">
        <v>1.6544204950332599</v>
      </c>
      <c r="G144">
        <v>-20.549999237060501</v>
      </c>
      <c r="K144">
        <v>8.8826883373166954</v>
      </c>
      <c r="M144" s="1">
        <v>43299</v>
      </c>
      <c r="N144">
        <f t="shared" si="8"/>
        <v>311.65314038948765</v>
      </c>
      <c r="O144">
        <f t="shared" si="9"/>
        <v>282.4468611363904</v>
      </c>
      <c r="P144">
        <v>297.05000076293902</v>
      </c>
      <c r="Q144">
        <f t="shared" si="10"/>
        <v>319.25442049503329</v>
      </c>
      <c r="R144">
        <f t="shared" si="12"/>
        <v>0</v>
      </c>
    </row>
    <row r="145" spans="1:18" x14ac:dyDescent="0.3">
      <c r="A145" s="1">
        <v>43209</v>
      </c>
      <c r="B145">
        <v>319</v>
      </c>
      <c r="C145">
        <v>296.04999923705998</v>
      </c>
      <c r="D145">
        <v>22.9500007629394</v>
      </c>
      <c r="E145" s="1">
        <v>43300</v>
      </c>
      <c r="F145">
        <v>-6.29300785064697</v>
      </c>
      <c r="G145">
        <v>-22.9500007629394</v>
      </c>
      <c r="K145">
        <v>8.9770385676581235</v>
      </c>
      <c r="M145" s="1">
        <v>43300</v>
      </c>
      <c r="N145">
        <f t="shared" si="8"/>
        <v>310.80825064228992</v>
      </c>
      <c r="O145">
        <f t="shared" si="9"/>
        <v>281.29174783183004</v>
      </c>
      <c r="P145">
        <v>296.04999923705998</v>
      </c>
      <c r="Q145">
        <f t="shared" si="10"/>
        <v>312.70699214935303</v>
      </c>
      <c r="R145">
        <f t="shared" si="12"/>
        <v>0</v>
      </c>
    </row>
    <row r="146" spans="1:18" x14ac:dyDescent="0.3">
      <c r="R146">
        <f>SUM(R2:R145)/144</f>
        <v>0.76388888888888884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vdiff_65_10_10_0.001_300_200_20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2018-07-21T02:08:58Z</dcterms:created>
  <dcterms:modified xsi:type="dcterms:W3CDTF">2018-07-21T02:08:58Z</dcterms:modified>
</cp:coreProperties>
</file>