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esktop\Demian-marketbreaker\results_vdiff\"/>
    </mc:Choice>
  </mc:AlternateContent>
  <bookViews>
    <workbookView xWindow="0" yWindow="0" windowWidth="15330" windowHeight="7635"/>
  </bookViews>
  <sheets>
    <sheet name="vdiff_65_1_100_0.001_300_200_20" sheetId="1" r:id="rId1"/>
  </sheets>
  <calcPr calcId="152511"/>
</workbook>
</file>

<file path=xl/calcChain.xml><?xml version="1.0" encoding="utf-8"?>
<calcChain xmlns="http://schemas.openxmlformats.org/spreadsheetml/2006/main">
  <c r="U13" i="1" l="1"/>
  <c r="T13" i="1"/>
  <c r="T12" i="1"/>
  <c r="T23" i="1" l="1"/>
  <c r="U23" i="1"/>
  <c r="T24" i="1"/>
  <c r="U24" i="1"/>
  <c r="V24" i="1" s="1"/>
  <c r="T25" i="1"/>
  <c r="U25" i="1"/>
  <c r="T26" i="1"/>
  <c r="U26" i="1"/>
  <c r="T27" i="1"/>
  <c r="U27" i="1"/>
  <c r="T28" i="1"/>
  <c r="V28" i="1" s="1"/>
  <c r="U28" i="1"/>
  <c r="T29" i="1"/>
  <c r="U29" i="1"/>
  <c r="T30" i="1"/>
  <c r="V30" i="1" s="1"/>
  <c r="U30" i="1"/>
  <c r="T31" i="1"/>
  <c r="U31" i="1"/>
  <c r="T32" i="1"/>
  <c r="V32" i="1" s="1"/>
  <c r="U32" i="1"/>
  <c r="T33" i="1"/>
  <c r="U33" i="1"/>
  <c r="T34" i="1"/>
  <c r="V34" i="1" s="1"/>
  <c r="U34" i="1"/>
  <c r="T35" i="1"/>
  <c r="U35" i="1"/>
  <c r="T36" i="1"/>
  <c r="U36" i="1"/>
  <c r="U22" i="1"/>
  <c r="T22" i="1"/>
  <c r="U21" i="1"/>
  <c r="T21" i="1"/>
  <c r="V21" i="1" s="1"/>
  <c r="U20" i="1"/>
  <c r="V20" i="1"/>
  <c r="T20" i="1"/>
  <c r="U19" i="1"/>
  <c r="T19" i="1"/>
  <c r="V19" i="1" s="1"/>
  <c r="U17" i="1"/>
  <c r="T17" i="1"/>
  <c r="U16" i="1"/>
  <c r="T16" i="1"/>
  <c r="T18" i="1"/>
  <c r="U18" i="1"/>
  <c r="V18" i="1" s="1"/>
  <c r="V26" i="1"/>
  <c r="U14" i="1"/>
  <c r="T14" i="1"/>
  <c r="U15" i="1"/>
  <c r="T15" i="1"/>
  <c r="U12" i="1"/>
  <c r="V12" i="1"/>
  <c r="W37" i="1"/>
  <c r="V14" i="1"/>
  <c r="V17" i="1"/>
  <c r="V23" i="1"/>
  <c r="V25" i="1"/>
  <c r="V27" i="1"/>
  <c r="V29" i="1"/>
  <c r="V31" i="1"/>
  <c r="V33" i="1"/>
  <c r="V35" i="1"/>
  <c r="V36" i="1"/>
  <c r="V22" i="1" l="1"/>
  <c r="V16" i="1"/>
  <c r="V15" i="1"/>
  <c r="V13" i="1"/>
  <c r="P2" i="1"/>
  <c r="O2" i="1"/>
  <c r="N2" i="1"/>
  <c r="L1" i="1"/>
  <c r="K1" i="1"/>
  <c r="J1" i="1"/>
  <c r="I1" i="1"/>
  <c r="H1" i="1"/>
  <c r="Q36" i="1"/>
  <c r="P36" i="1"/>
  <c r="O36" i="1"/>
  <c r="N36" i="1"/>
  <c r="Q35" i="1"/>
  <c r="P35" i="1"/>
  <c r="O35" i="1"/>
  <c r="N35" i="1"/>
  <c r="R35" i="1" s="1"/>
  <c r="Q34" i="1"/>
  <c r="P34" i="1"/>
  <c r="O34" i="1"/>
  <c r="N34" i="1"/>
  <c r="Q33" i="1"/>
  <c r="P33" i="1"/>
  <c r="O33" i="1"/>
  <c r="N33" i="1"/>
  <c r="R33" i="1" s="1"/>
  <c r="Q32" i="1"/>
  <c r="P32" i="1"/>
  <c r="O32" i="1"/>
  <c r="N32" i="1"/>
  <c r="Q31" i="1"/>
  <c r="P31" i="1"/>
  <c r="O31" i="1"/>
  <c r="N31" i="1"/>
  <c r="R31" i="1" s="1"/>
  <c r="Q30" i="1"/>
  <c r="P30" i="1"/>
  <c r="O30" i="1"/>
  <c r="N30" i="1"/>
  <c r="Q29" i="1"/>
  <c r="P29" i="1"/>
  <c r="O29" i="1"/>
  <c r="N29" i="1"/>
  <c r="R29" i="1" s="1"/>
  <c r="Q28" i="1"/>
  <c r="P28" i="1"/>
  <c r="O28" i="1"/>
  <c r="N28" i="1"/>
  <c r="Q27" i="1"/>
  <c r="P27" i="1"/>
  <c r="O27" i="1"/>
  <c r="N27" i="1"/>
  <c r="R27" i="1" s="1"/>
  <c r="Q26" i="1"/>
  <c r="P26" i="1"/>
  <c r="O26" i="1"/>
  <c r="N26" i="1"/>
  <c r="Q25" i="1"/>
  <c r="P25" i="1"/>
  <c r="O25" i="1"/>
  <c r="N25" i="1"/>
  <c r="R25" i="1" s="1"/>
  <c r="Q24" i="1"/>
  <c r="P24" i="1"/>
  <c r="O24" i="1"/>
  <c r="N24" i="1"/>
  <c r="Q23" i="1"/>
  <c r="P23" i="1"/>
  <c r="O23" i="1"/>
  <c r="N23" i="1"/>
  <c r="R23" i="1" s="1"/>
  <c r="Q22" i="1"/>
  <c r="P22" i="1"/>
  <c r="O22" i="1"/>
  <c r="N22" i="1"/>
  <c r="Q21" i="1"/>
  <c r="P21" i="1"/>
  <c r="O21" i="1"/>
  <c r="N21" i="1"/>
  <c r="R21" i="1" s="1"/>
  <c r="Q20" i="1"/>
  <c r="P20" i="1"/>
  <c r="O20" i="1"/>
  <c r="N20" i="1"/>
  <c r="Q19" i="1"/>
  <c r="P19" i="1"/>
  <c r="O19" i="1"/>
  <c r="N19" i="1"/>
  <c r="R19" i="1" s="1"/>
  <c r="Q18" i="1"/>
  <c r="P18" i="1"/>
  <c r="O18" i="1"/>
  <c r="N18" i="1"/>
  <c r="Q17" i="1"/>
  <c r="P17" i="1"/>
  <c r="O17" i="1"/>
  <c r="N17" i="1"/>
  <c r="R17" i="1" s="1"/>
  <c r="Q16" i="1"/>
  <c r="P16" i="1"/>
  <c r="O16" i="1"/>
  <c r="N16" i="1"/>
  <c r="Q15" i="1"/>
  <c r="P15" i="1"/>
  <c r="O15" i="1"/>
  <c r="N15" i="1"/>
  <c r="R15" i="1" s="1"/>
  <c r="Q14" i="1"/>
  <c r="P14" i="1"/>
  <c r="O14" i="1"/>
  <c r="N14" i="1"/>
  <c r="Q13" i="1"/>
  <c r="P13" i="1"/>
  <c r="O13" i="1"/>
  <c r="N13" i="1"/>
  <c r="R13" i="1" s="1"/>
  <c r="Q12" i="1"/>
  <c r="P12" i="1"/>
  <c r="O12" i="1"/>
  <c r="N12" i="1"/>
  <c r="Q11" i="1"/>
  <c r="P11" i="1"/>
  <c r="O11" i="1"/>
  <c r="N11" i="1"/>
  <c r="R11" i="1" s="1"/>
  <c r="Q10" i="1"/>
  <c r="P10" i="1"/>
  <c r="O10" i="1"/>
  <c r="N10" i="1"/>
  <c r="Q9" i="1"/>
  <c r="P9" i="1"/>
  <c r="O9" i="1"/>
  <c r="N9" i="1"/>
  <c r="R9" i="1" s="1"/>
  <c r="Q8" i="1"/>
  <c r="P8" i="1"/>
  <c r="O8" i="1"/>
  <c r="N8" i="1"/>
  <c r="Q7" i="1"/>
  <c r="P7" i="1"/>
  <c r="O7" i="1"/>
  <c r="N7" i="1"/>
  <c r="R7" i="1" s="1"/>
  <c r="Q6" i="1"/>
  <c r="P6" i="1"/>
  <c r="O6" i="1"/>
  <c r="N6" i="1"/>
  <c r="Q5" i="1"/>
  <c r="P5" i="1"/>
  <c r="O5" i="1"/>
  <c r="N5" i="1"/>
  <c r="R5" i="1" s="1"/>
  <c r="Q4" i="1"/>
  <c r="P4" i="1"/>
  <c r="O4" i="1"/>
  <c r="N4" i="1"/>
  <c r="Q3" i="1"/>
  <c r="P3" i="1"/>
  <c r="O3" i="1"/>
  <c r="N3" i="1"/>
  <c r="R3" i="1" s="1"/>
  <c r="Q2" i="1"/>
  <c r="R2" i="1" s="1"/>
  <c r="R4" i="1" l="1"/>
  <c r="R37" i="1" s="1"/>
  <c r="R6" i="1"/>
  <c r="R8" i="1"/>
  <c r="R10" i="1"/>
  <c r="R12" i="1"/>
  <c r="R14" i="1"/>
  <c r="R16" i="1"/>
  <c r="R18" i="1"/>
  <c r="R20" i="1"/>
  <c r="R22" i="1"/>
  <c r="R24" i="1"/>
  <c r="R26" i="1"/>
  <c r="R28" i="1"/>
  <c r="R30" i="1"/>
  <c r="R32" i="1"/>
  <c r="R34" i="1"/>
  <c r="R36" i="1"/>
</calcChain>
</file>

<file path=xl/sharedStrings.xml><?xml version="1.0" encoding="utf-8"?>
<sst xmlns="http://schemas.openxmlformats.org/spreadsheetml/2006/main" count="14" uniqueCount="14">
  <si>
    <t>date</t>
  </si>
  <si>
    <t>index1</t>
  </si>
  <si>
    <t>index2</t>
  </si>
  <si>
    <t>loss_profits</t>
  </si>
  <si>
    <t>pred_date</t>
  </si>
  <si>
    <t>prediction</t>
  </si>
  <si>
    <t>real</t>
  </si>
  <si>
    <t>BT</t>
    <phoneticPr fontId="18" type="noConversion"/>
  </si>
  <si>
    <t>BB</t>
    <phoneticPr fontId="18" type="noConversion"/>
  </si>
  <si>
    <t>실재지수</t>
    <phoneticPr fontId="18" type="noConversion"/>
  </si>
  <si>
    <t>예측지수</t>
    <phoneticPr fontId="18" type="noConversion"/>
  </si>
  <si>
    <t xml:space="preserve">하향 지수 </t>
    <phoneticPr fontId="18" type="noConversion"/>
  </si>
  <si>
    <t xml:space="preserve"> </t>
    <phoneticPr fontId="18" type="noConversion"/>
  </si>
  <si>
    <t xml:space="preserve">상향 지수 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</si>
</sst>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7"/>
  <sheetViews>
    <sheetView tabSelected="1" workbookViewId="0">
      <selection activeCell="U13" sqref="U13"/>
    </sheetView>
  </sheetViews>
  <sheetFormatPr defaultRowHeight="16.5" x14ac:dyDescent="0.3"/>
  <cols>
    <col min="1" max="1" width="10.625" customWidth="1"/>
    <col min="5" max="5" width="10.375" customWidth="1"/>
    <col min="13" max="13" width="10.625" customWidth="1"/>
  </cols>
  <sheetData>
    <row r="1" spans="1:2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>
        <f>COUNTIF(D2:D37, "&gt;0")/35</f>
        <v>0.8571428571428571</v>
      </c>
      <c r="I1">
        <f>AVERAGEIF(D2:D36, "&gt;0")</f>
        <v>13.680000034968032</v>
      </c>
      <c r="J1">
        <f>AVERAGEIF(D2:D36, "&lt;0")</f>
        <v>-10.340000152587884</v>
      </c>
      <c r="K1">
        <f>MAX(D2:D36)</f>
        <v>22.9500007629394</v>
      </c>
      <c r="L1">
        <f>MIN(D2:D36)</f>
        <v>-15.3500003814697</v>
      </c>
      <c r="N1" t="s">
        <v>7</v>
      </c>
      <c r="O1" t="s">
        <v>8</v>
      </c>
      <c r="P1" t="s">
        <v>9</v>
      </c>
      <c r="Q1" t="s">
        <v>10</v>
      </c>
      <c r="T1" t="s">
        <v>11</v>
      </c>
      <c r="U1" t="s">
        <v>13</v>
      </c>
    </row>
    <row r="2" spans="1:23" x14ac:dyDescent="0.3">
      <c r="A2" s="1">
        <v>43161</v>
      </c>
      <c r="B2">
        <v>308.14999999999998</v>
      </c>
      <c r="C2">
        <v>311.39999999999998</v>
      </c>
      <c r="D2">
        <v>3.25</v>
      </c>
      <c r="E2" s="1">
        <v>43252</v>
      </c>
      <c r="F2">
        <v>3.6174340248107901</v>
      </c>
      <c r="G2">
        <v>3.25</v>
      </c>
      <c r="K2">
        <v>4.0388874432009345</v>
      </c>
      <c r="M2" s="1">
        <v>43251</v>
      </c>
      <c r="N2">
        <f>C2+1.644*K2</f>
        <v>318.0399309566223</v>
      </c>
      <c r="O2">
        <f>C2-1.644*K2</f>
        <v>304.76006904337765</v>
      </c>
      <c r="P2">
        <f>C2</f>
        <v>311.39999999999998</v>
      </c>
      <c r="Q2">
        <f>B2+F2</f>
        <v>311.76743402481077</v>
      </c>
      <c r="R2">
        <f>IF(AND(D2&gt;0, AND(Q2&lt;N2, Q2&gt;O2)),1,0)</f>
        <v>1</v>
      </c>
      <c r="S2">
        <v>308.14999999999998</v>
      </c>
      <c r="T2" t="s">
        <v>12</v>
      </c>
      <c r="W2">
        <v>1</v>
      </c>
    </row>
    <row r="3" spans="1:23" x14ac:dyDescent="0.3">
      <c r="A3" s="1">
        <v>43164</v>
      </c>
      <c r="B3">
        <v>303.85000000000002</v>
      </c>
      <c r="C3">
        <v>313.15000019073398</v>
      </c>
      <c r="D3">
        <v>9.3000001907348597</v>
      </c>
      <c r="E3" s="1">
        <v>43255</v>
      </c>
      <c r="F3">
        <v>5.0300064086914</v>
      </c>
      <c r="G3">
        <v>9.3000001907348597</v>
      </c>
      <c r="K3">
        <v>3.9663470163169254</v>
      </c>
      <c r="M3" s="1">
        <v>43252</v>
      </c>
      <c r="N3">
        <f t="shared" ref="N3:N36" si="0">C3+1.644*K3</f>
        <v>319.67067468555899</v>
      </c>
      <c r="O3">
        <f t="shared" ref="O3:O36" si="1">C3-1.644*K3</f>
        <v>306.62932569590896</v>
      </c>
      <c r="P3">
        <f t="shared" ref="P3:P36" si="2">C3</f>
        <v>313.15000019073398</v>
      </c>
      <c r="Q3">
        <f t="shared" ref="Q3:Q36" si="3">B3+F3</f>
        <v>308.88000640869143</v>
      </c>
      <c r="R3">
        <f t="shared" ref="R3:R36" si="4">IF(AND(D3&gt;0, AND(Q3&lt;N3, Q3&gt;O3)),1,0)</f>
        <v>1</v>
      </c>
      <c r="S3">
        <v>303.85000000000002</v>
      </c>
      <c r="W3">
        <v>1</v>
      </c>
    </row>
    <row r="4" spans="1:23" x14ac:dyDescent="0.3">
      <c r="A4" s="1">
        <v>43165</v>
      </c>
      <c r="B4">
        <v>310.3</v>
      </c>
      <c r="C4">
        <v>313.75000004768299</v>
      </c>
      <c r="D4">
        <v>3.45000004768371</v>
      </c>
      <c r="E4" s="1">
        <v>43256</v>
      </c>
      <c r="F4">
        <v>4.2236261367797798</v>
      </c>
      <c r="G4">
        <v>3.45000004768371</v>
      </c>
      <c r="K4">
        <v>3.6975128074880943</v>
      </c>
      <c r="M4" s="1">
        <v>43255</v>
      </c>
      <c r="N4">
        <f t="shared" si="0"/>
        <v>319.82871110319343</v>
      </c>
      <c r="O4">
        <f t="shared" si="1"/>
        <v>307.67128899217255</v>
      </c>
      <c r="P4">
        <f t="shared" si="2"/>
        <v>313.75000004768299</v>
      </c>
      <c r="Q4">
        <f t="shared" si="3"/>
        <v>314.5236261367798</v>
      </c>
      <c r="R4">
        <f t="shared" si="4"/>
        <v>1</v>
      </c>
      <c r="S4">
        <v>310.3</v>
      </c>
      <c r="W4">
        <v>1</v>
      </c>
    </row>
    <row r="5" spans="1:23" x14ac:dyDescent="0.3">
      <c r="A5" s="1">
        <v>43166</v>
      </c>
      <c r="B5">
        <v>310.45</v>
      </c>
      <c r="C5">
        <v>313.74999995231599</v>
      </c>
      <c r="D5">
        <v>3.2999999523162802</v>
      </c>
      <c r="E5" s="1">
        <v>43257</v>
      </c>
      <c r="F5">
        <v>3.90592312812805</v>
      </c>
      <c r="G5">
        <v>3.2999999523162802</v>
      </c>
      <c r="K5">
        <v>3.6437286415787837</v>
      </c>
      <c r="M5" s="1">
        <v>43256</v>
      </c>
      <c r="N5">
        <f t="shared" si="0"/>
        <v>319.74028983907152</v>
      </c>
      <c r="O5">
        <f t="shared" si="1"/>
        <v>307.75971006556045</v>
      </c>
      <c r="P5">
        <f t="shared" si="2"/>
        <v>313.74999995231599</v>
      </c>
      <c r="Q5">
        <f t="shared" si="3"/>
        <v>314.35592312812804</v>
      </c>
      <c r="R5">
        <f t="shared" si="4"/>
        <v>1</v>
      </c>
      <c r="S5">
        <v>310.45</v>
      </c>
      <c r="W5">
        <v>1</v>
      </c>
    </row>
    <row r="6" spans="1:23" x14ac:dyDescent="0.3">
      <c r="A6" s="1">
        <v>43167</v>
      </c>
      <c r="B6">
        <v>313.60000000000002</v>
      </c>
      <c r="C6">
        <v>316.85000000000002</v>
      </c>
      <c r="D6">
        <v>-3.25</v>
      </c>
      <c r="E6" s="1">
        <v>43258</v>
      </c>
      <c r="F6">
        <v>-1.33614337444305</v>
      </c>
      <c r="G6">
        <v>3.25</v>
      </c>
      <c r="K6">
        <v>3.5918606237414945</v>
      </c>
      <c r="M6" s="1">
        <v>43257</v>
      </c>
      <c r="N6">
        <f t="shared" si="0"/>
        <v>322.75501886543105</v>
      </c>
      <c r="O6">
        <f t="shared" si="1"/>
        <v>310.94498113456899</v>
      </c>
      <c r="P6">
        <f t="shared" si="2"/>
        <v>316.85000000000002</v>
      </c>
      <c r="Q6">
        <f t="shared" si="3"/>
        <v>312.26385662555697</v>
      </c>
      <c r="R6">
        <f t="shared" si="4"/>
        <v>0</v>
      </c>
      <c r="S6">
        <v>313.60000000000002</v>
      </c>
      <c r="W6">
        <v>0</v>
      </c>
    </row>
    <row r="7" spans="1:23" x14ac:dyDescent="0.3">
      <c r="A7" s="1">
        <v>43168</v>
      </c>
      <c r="B7">
        <v>317.10000000000002</v>
      </c>
      <c r="C7">
        <v>313.300000047683</v>
      </c>
      <c r="D7">
        <v>3.7999999523162802</v>
      </c>
      <c r="E7" s="1">
        <v>43259</v>
      </c>
      <c r="F7">
        <v>-3.5926241874694802</v>
      </c>
      <c r="G7">
        <v>-3.7999999523162802</v>
      </c>
      <c r="K7">
        <v>3.5838692764084801</v>
      </c>
      <c r="M7" s="1">
        <v>43258</v>
      </c>
      <c r="N7">
        <f t="shared" si="0"/>
        <v>319.19188113809855</v>
      </c>
      <c r="O7">
        <f t="shared" si="1"/>
        <v>307.40811895726745</v>
      </c>
      <c r="P7">
        <f t="shared" si="2"/>
        <v>313.300000047683</v>
      </c>
      <c r="Q7">
        <f t="shared" si="3"/>
        <v>313.50737581253054</v>
      </c>
      <c r="R7">
        <f t="shared" si="4"/>
        <v>1</v>
      </c>
      <c r="S7">
        <v>317.10000000000002</v>
      </c>
      <c r="W7">
        <v>1</v>
      </c>
    </row>
    <row r="8" spans="1:23" x14ac:dyDescent="0.3">
      <c r="A8" s="1">
        <v>43171</v>
      </c>
      <c r="B8">
        <v>320.10000000000002</v>
      </c>
      <c r="C8">
        <v>316.14999995231602</v>
      </c>
      <c r="D8">
        <v>3.95000004768371</v>
      </c>
      <c r="E8" s="1">
        <v>43262</v>
      </c>
      <c r="F8">
        <v>-4.2047338485717702</v>
      </c>
      <c r="G8">
        <v>-3.95000004768371</v>
      </c>
      <c r="K8">
        <v>3.5935544261165111</v>
      </c>
      <c r="M8" s="1">
        <v>43259</v>
      </c>
      <c r="N8">
        <f t="shared" si="0"/>
        <v>322.05780342885157</v>
      </c>
      <c r="O8">
        <f t="shared" si="1"/>
        <v>310.24219647578047</v>
      </c>
      <c r="P8">
        <f t="shared" si="2"/>
        <v>316.14999995231602</v>
      </c>
      <c r="Q8">
        <f t="shared" si="3"/>
        <v>315.89526615142825</v>
      </c>
      <c r="R8">
        <f t="shared" si="4"/>
        <v>1</v>
      </c>
      <c r="S8">
        <v>320.10000000000002</v>
      </c>
      <c r="W8">
        <v>1</v>
      </c>
    </row>
    <row r="9" spans="1:23" x14ac:dyDescent="0.3">
      <c r="A9" s="1">
        <v>43172</v>
      </c>
      <c r="B9">
        <v>321.5</v>
      </c>
      <c r="C9">
        <v>315.65000009536698</v>
      </c>
      <c r="D9">
        <v>5.8499999046325604</v>
      </c>
      <c r="E9" s="1">
        <v>43263</v>
      </c>
      <c r="F9">
        <v>-5.3910646438598597</v>
      </c>
      <c r="G9">
        <v>-5.8499999046325604</v>
      </c>
      <c r="K9">
        <v>3.5521090024638373</v>
      </c>
      <c r="M9" s="1">
        <v>43262</v>
      </c>
      <c r="N9">
        <f t="shared" si="0"/>
        <v>321.48966729541752</v>
      </c>
      <c r="O9">
        <f t="shared" si="1"/>
        <v>309.81033289531644</v>
      </c>
      <c r="P9">
        <f t="shared" si="2"/>
        <v>315.65000009536698</v>
      </c>
      <c r="Q9">
        <f t="shared" si="3"/>
        <v>316.10893535614014</v>
      </c>
      <c r="R9">
        <f t="shared" si="4"/>
        <v>1</v>
      </c>
      <c r="S9">
        <v>321.5</v>
      </c>
      <c r="W9">
        <v>1</v>
      </c>
    </row>
    <row r="10" spans="1:23" x14ac:dyDescent="0.3">
      <c r="A10" s="1">
        <v>43173</v>
      </c>
      <c r="B10">
        <v>321.55</v>
      </c>
      <c r="C10">
        <v>315.64999990463201</v>
      </c>
      <c r="D10">
        <v>5.9000000953674299</v>
      </c>
      <c r="E10" s="1">
        <v>43264</v>
      </c>
      <c r="F10">
        <v>-3.8131151199340798</v>
      </c>
      <c r="G10">
        <v>-5.9000000953674299</v>
      </c>
      <c r="K10">
        <v>3.4760354019176276</v>
      </c>
      <c r="M10" s="1">
        <v>43263</v>
      </c>
      <c r="N10">
        <f t="shared" si="0"/>
        <v>321.36460210538456</v>
      </c>
      <c r="O10">
        <f t="shared" si="1"/>
        <v>309.93539770387946</v>
      </c>
      <c r="P10">
        <f t="shared" si="2"/>
        <v>315.64999990463201</v>
      </c>
      <c r="Q10">
        <f t="shared" si="3"/>
        <v>317.73688488006593</v>
      </c>
      <c r="R10">
        <f t="shared" si="4"/>
        <v>1</v>
      </c>
      <c r="S10">
        <v>321.55</v>
      </c>
      <c r="W10">
        <v>1</v>
      </c>
    </row>
    <row r="11" spans="1:23" x14ac:dyDescent="0.3">
      <c r="A11" s="1">
        <v>43174</v>
      </c>
      <c r="B11">
        <v>322.85000000000002</v>
      </c>
      <c r="C11">
        <v>310.40000019073398</v>
      </c>
      <c r="D11">
        <v>12.449999809265099</v>
      </c>
      <c r="E11" s="1">
        <v>43265</v>
      </c>
      <c r="F11">
        <v>-4.1033916473388601</v>
      </c>
      <c r="G11">
        <v>-12.449999809265099</v>
      </c>
      <c r="K11">
        <v>3.3944546123618511</v>
      </c>
      <c r="M11" s="1">
        <v>43264</v>
      </c>
      <c r="N11">
        <f t="shared" si="0"/>
        <v>315.98048357345687</v>
      </c>
      <c r="O11">
        <f t="shared" si="1"/>
        <v>304.81951680801109</v>
      </c>
      <c r="P11">
        <f t="shared" si="2"/>
        <v>310.40000019073398</v>
      </c>
      <c r="Q11">
        <f t="shared" si="3"/>
        <v>318.74660835266116</v>
      </c>
      <c r="R11">
        <f t="shared" si="4"/>
        <v>0</v>
      </c>
      <c r="S11">
        <v>322.85000000000002</v>
      </c>
      <c r="W11">
        <v>0</v>
      </c>
    </row>
    <row r="12" spans="1:23" x14ac:dyDescent="0.3">
      <c r="A12" s="1">
        <v>43175</v>
      </c>
      <c r="B12">
        <v>322</v>
      </c>
      <c r="C12">
        <v>309.19999980926502</v>
      </c>
      <c r="D12">
        <v>12.800000190734799</v>
      </c>
      <c r="E12" s="1">
        <v>43266</v>
      </c>
      <c r="F12">
        <v>-7.9123358726501403</v>
      </c>
      <c r="G12">
        <v>-12.800000190734799</v>
      </c>
      <c r="K12">
        <v>3.3246131932324716</v>
      </c>
      <c r="M12" s="1">
        <v>43265</v>
      </c>
      <c r="N12">
        <f t="shared" si="0"/>
        <v>314.66566389893921</v>
      </c>
      <c r="O12">
        <f t="shared" si="1"/>
        <v>303.73433571959083</v>
      </c>
      <c r="P12">
        <f t="shared" si="2"/>
        <v>309.19999980926502</v>
      </c>
      <c r="Q12">
        <f t="shared" si="3"/>
        <v>314.08766412734985</v>
      </c>
      <c r="R12">
        <f t="shared" si="4"/>
        <v>1</v>
      </c>
      <c r="S12">
        <v>322</v>
      </c>
      <c r="T12">
        <f>P12-STDEV(P11:P12)*1.644</f>
        <v>307.80501910788882</v>
      </c>
      <c r="U12">
        <f>P12+STDEV(P$11:P12)*1.644</f>
        <v>310.59498051064122</v>
      </c>
      <c r="V12">
        <f>IF(F12&lt;0,MIN(S12-0.1,(T12+U12)/2), MAX(S12+0.1, (T12+U12)/2))</f>
        <v>309.19999980926502</v>
      </c>
      <c r="W12">
        <v>1</v>
      </c>
    </row>
    <row r="13" spans="1:23" x14ac:dyDescent="0.3">
      <c r="A13" s="1">
        <v>43178</v>
      </c>
      <c r="B13">
        <v>319.85000000000002</v>
      </c>
      <c r="C13">
        <v>305.85000000000002</v>
      </c>
      <c r="D13">
        <v>14</v>
      </c>
      <c r="E13" s="1">
        <v>43269</v>
      </c>
      <c r="F13">
        <v>-2.13648033142089</v>
      </c>
      <c r="G13">
        <v>-14</v>
      </c>
      <c r="K13">
        <v>3.3019538213702435</v>
      </c>
      <c r="M13" s="1">
        <v>43266</v>
      </c>
      <c r="N13">
        <f t="shared" si="0"/>
        <v>311.27841208233269</v>
      </c>
      <c r="O13">
        <f t="shared" si="1"/>
        <v>300.42158791766735</v>
      </c>
      <c r="P13">
        <f t="shared" si="2"/>
        <v>305.85000000000002</v>
      </c>
      <c r="Q13">
        <f t="shared" si="3"/>
        <v>317.71351966857912</v>
      </c>
      <c r="R13">
        <f t="shared" si="4"/>
        <v>0</v>
      </c>
      <c r="S13">
        <v>319.85000000000002</v>
      </c>
      <c r="T13">
        <f>P12-STDEV(P$10:P12)*1.644</f>
        <v>303.56045678758596</v>
      </c>
      <c r="U13">
        <f>P12+STDEV(P$10:P12)*1.644</f>
        <v>314.83954283094408</v>
      </c>
      <c r="V13">
        <f t="shared" ref="V13:V36" si="5">IF(F13&lt;0,MIN(S13-0.1,(T13+U13)/2), MAX(S13+0.1, (T13+U13)/2))</f>
        <v>309.19999980926502</v>
      </c>
      <c r="W13">
        <v>1</v>
      </c>
    </row>
    <row r="14" spans="1:23" x14ac:dyDescent="0.3">
      <c r="A14" s="1">
        <v>43179</v>
      </c>
      <c r="B14">
        <v>321.3</v>
      </c>
      <c r="C14">
        <v>301.34999923705999</v>
      </c>
      <c r="D14">
        <v>19.9500007629394</v>
      </c>
      <c r="E14" s="1">
        <v>43270</v>
      </c>
      <c r="F14">
        <v>-1.84334444999694</v>
      </c>
      <c r="G14">
        <v>-19.9500007629394</v>
      </c>
      <c r="K14">
        <v>3.4426154245774345</v>
      </c>
      <c r="M14" s="1">
        <v>43269</v>
      </c>
      <c r="N14">
        <f t="shared" si="0"/>
        <v>307.00965899506531</v>
      </c>
      <c r="O14">
        <f t="shared" si="1"/>
        <v>295.69033947905467</v>
      </c>
      <c r="P14">
        <f t="shared" si="2"/>
        <v>301.34999923705999</v>
      </c>
      <c r="Q14">
        <f t="shared" si="3"/>
        <v>319.45665555000306</v>
      </c>
      <c r="R14">
        <f t="shared" si="4"/>
        <v>0</v>
      </c>
      <c r="S14">
        <v>321.3</v>
      </c>
      <c r="T14">
        <f>P12-STDEV(P$9:P12)*1.644</f>
        <v>303.58928524047758</v>
      </c>
      <c r="U14">
        <f>P12+STDEV(P$9:P12)*1.644</f>
        <v>314.81071437805247</v>
      </c>
      <c r="V14">
        <f t="shared" si="5"/>
        <v>309.19999980926502</v>
      </c>
      <c r="W14">
        <v>1</v>
      </c>
    </row>
    <row r="15" spans="1:23" x14ac:dyDescent="0.3">
      <c r="A15" s="1">
        <v>43180</v>
      </c>
      <c r="B15">
        <v>321.60000000000002</v>
      </c>
      <c r="C15">
        <v>304.20000038146901</v>
      </c>
      <c r="D15">
        <v>17.399999618530199</v>
      </c>
      <c r="E15" s="1">
        <v>43271</v>
      </c>
      <c r="F15">
        <v>-6.7394866943359304</v>
      </c>
      <c r="G15">
        <v>-17.399999618530199</v>
      </c>
      <c r="K15">
        <v>3.7405120355990746</v>
      </c>
      <c r="M15" s="1">
        <v>43270</v>
      </c>
      <c r="N15">
        <f t="shared" si="0"/>
        <v>310.3494021679939</v>
      </c>
      <c r="O15">
        <f t="shared" si="1"/>
        <v>298.05059859494412</v>
      </c>
      <c r="P15">
        <f t="shared" si="2"/>
        <v>304.20000038146901</v>
      </c>
      <c r="Q15">
        <f t="shared" si="3"/>
        <v>314.86051330566409</v>
      </c>
      <c r="R15">
        <f t="shared" si="4"/>
        <v>0</v>
      </c>
      <c r="S15">
        <v>321.60000000000002</v>
      </c>
      <c r="T15">
        <f>P$12-STDEV(P8:P$12)*1.644</f>
        <v>303.72724503668996</v>
      </c>
      <c r="U15">
        <f>P$12+STDEV(P8:P$12)*1.644</f>
        <v>314.67275458184008</v>
      </c>
      <c r="V15">
        <f t="shared" si="5"/>
        <v>309.19999980926502</v>
      </c>
      <c r="W15">
        <v>1</v>
      </c>
    </row>
    <row r="16" spans="1:23" x14ac:dyDescent="0.3">
      <c r="A16" s="1">
        <v>43181</v>
      </c>
      <c r="B16">
        <v>322.10000000000002</v>
      </c>
      <c r="C16">
        <v>300.74999961853001</v>
      </c>
      <c r="D16">
        <v>21.350000381469702</v>
      </c>
      <c r="E16" s="1">
        <v>43272</v>
      </c>
      <c r="F16">
        <v>-20.684108734130799</v>
      </c>
      <c r="G16">
        <v>-21.350000381469702</v>
      </c>
      <c r="K16">
        <v>3.8529362554370836</v>
      </c>
      <c r="M16" s="1">
        <v>43271</v>
      </c>
      <c r="N16">
        <f t="shared" si="0"/>
        <v>307.08422682246857</v>
      </c>
      <c r="O16">
        <f t="shared" si="1"/>
        <v>294.41577241459146</v>
      </c>
      <c r="P16">
        <f t="shared" si="2"/>
        <v>300.74999961853001</v>
      </c>
      <c r="Q16">
        <f t="shared" si="3"/>
        <v>301.41589126586922</v>
      </c>
      <c r="R16">
        <f t="shared" si="4"/>
        <v>1</v>
      </c>
      <c r="S16">
        <v>322.10000000000002</v>
      </c>
      <c r="T16">
        <f>P$12-STDEV(P7:P$12)*1.644</f>
        <v>304.30446241766805</v>
      </c>
      <c r="U16">
        <f>P$12+STDEV(P8:P$12)*1.644</f>
        <v>314.67275458184008</v>
      </c>
      <c r="V16">
        <f t="shared" si="5"/>
        <v>309.48860849975404</v>
      </c>
      <c r="W16">
        <v>1</v>
      </c>
    </row>
    <row r="17" spans="1:23" x14ac:dyDescent="0.3">
      <c r="A17" s="1">
        <v>43182</v>
      </c>
      <c r="B17">
        <v>311.5</v>
      </c>
      <c r="C17">
        <v>303.65000009536698</v>
      </c>
      <c r="D17">
        <v>7.8499999046325604</v>
      </c>
      <c r="E17" s="1">
        <v>43273</v>
      </c>
      <c r="F17">
        <v>-5.95436286926269</v>
      </c>
      <c r="G17">
        <v>-7.8499999046325604</v>
      </c>
      <c r="K17">
        <v>4.0838499640469337</v>
      </c>
      <c r="M17" s="1">
        <v>43272</v>
      </c>
      <c r="N17">
        <f t="shared" si="0"/>
        <v>310.36384943626013</v>
      </c>
      <c r="O17">
        <f t="shared" si="1"/>
        <v>296.93615075447383</v>
      </c>
      <c r="P17">
        <f t="shared" si="2"/>
        <v>303.65000009536698</v>
      </c>
      <c r="Q17">
        <f t="shared" si="3"/>
        <v>305.5456371307373</v>
      </c>
      <c r="R17">
        <f t="shared" si="4"/>
        <v>1</v>
      </c>
      <c r="S17">
        <v>311.5</v>
      </c>
      <c r="T17">
        <f>P$12-STDEV(P5:P$12)*1.644</f>
        <v>304.60836058737118</v>
      </c>
      <c r="U17">
        <f>P$12+STDEV(P5:P$12)*1.644</f>
        <v>313.79163903115887</v>
      </c>
      <c r="V17">
        <f t="shared" si="5"/>
        <v>309.19999980926502</v>
      </c>
      <c r="W17">
        <v>1</v>
      </c>
    </row>
    <row r="18" spans="1:23" x14ac:dyDescent="0.3">
      <c r="A18" s="1">
        <v>43185</v>
      </c>
      <c r="B18">
        <v>314.5</v>
      </c>
      <c r="C18">
        <v>303.25</v>
      </c>
      <c r="D18">
        <v>-11.25</v>
      </c>
      <c r="E18" s="1">
        <v>43276</v>
      </c>
      <c r="F18">
        <v>14.004316329956</v>
      </c>
      <c r="G18">
        <v>-11.25</v>
      </c>
      <c r="K18">
        <v>4.2709527344159843</v>
      </c>
      <c r="M18" s="1">
        <v>43273</v>
      </c>
      <c r="N18">
        <f t="shared" si="0"/>
        <v>310.27144629537986</v>
      </c>
      <c r="O18">
        <f t="shared" si="1"/>
        <v>296.22855370462014</v>
      </c>
      <c r="P18">
        <f t="shared" si="2"/>
        <v>303.25</v>
      </c>
      <c r="Q18">
        <f t="shared" si="3"/>
        <v>328.504316329956</v>
      </c>
      <c r="R18">
        <f t="shared" si="4"/>
        <v>0</v>
      </c>
      <c r="S18">
        <v>314.5</v>
      </c>
      <c r="T18">
        <f>P$12-STDEV(P9:P$12)*1.644</f>
        <v>303.58928524047758</v>
      </c>
      <c r="U18">
        <f>P$12+STDEV(P10:P$12)*1.644</f>
        <v>314.83954283094408</v>
      </c>
      <c r="V18">
        <f t="shared" si="5"/>
        <v>314.60000000000002</v>
      </c>
      <c r="W18">
        <v>0</v>
      </c>
    </row>
    <row r="19" spans="1:23" x14ac:dyDescent="0.3">
      <c r="A19" s="1">
        <v>43186</v>
      </c>
      <c r="B19">
        <v>315.14999999999998</v>
      </c>
      <c r="C19">
        <v>302.39999999999998</v>
      </c>
      <c r="D19">
        <v>-12.75</v>
      </c>
      <c r="E19" s="1">
        <v>43277</v>
      </c>
      <c r="F19">
        <v>13.1368417739868</v>
      </c>
      <c r="G19">
        <v>-12.75</v>
      </c>
      <c r="K19">
        <v>4.4690734821058298</v>
      </c>
      <c r="M19" s="1">
        <v>43276</v>
      </c>
      <c r="N19">
        <f t="shared" si="0"/>
        <v>309.74715680458195</v>
      </c>
      <c r="O19">
        <f t="shared" si="1"/>
        <v>295.05284319541801</v>
      </c>
      <c r="P19">
        <f t="shared" si="2"/>
        <v>302.39999999999998</v>
      </c>
      <c r="Q19">
        <f t="shared" si="3"/>
        <v>328.28684177398679</v>
      </c>
      <c r="R19">
        <f t="shared" si="4"/>
        <v>0</v>
      </c>
      <c r="S19">
        <v>315.14999999999998</v>
      </c>
      <c r="T19">
        <f>P$12-STDEV(P4:P$12)*1.644</f>
        <v>304.90442165809276</v>
      </c>
      <c r="U19">
        <f>P$12+STDEV(P4:P$12)*1.644</f>
        <v>313.49557796043729</v>
      </c>
      <c r="V19">
        <f t="shared" si="5"/>
        <v>315.25</v>
      </c>
      <c r="W19">
        <v>0</v>
      </c>
    </row>
    <row r="20" spans="1:23" x14ac:dyDescent="0.3">
      <c r="A20" s="1">
        <v>43187</v>
      </c>
      <c r="B20">
        <v>310.64999999999998</v>
      </c>
      <c r="C20">
        <v>301.54999961853002</v>
      </c>
      <c r="D20">
        <v>-9.1000003814697195</v>
      </c>
      <c r="E20" s="1">
        <v>43278</v>
      </c>
      <c r="F20">
        <v>13.6367273330688</v>
      </c>
      <c r="G20">
        <v>-9.1000003814697195</v>
      </c>
      <c r="K20">
        <v>4.6798890776220485</v>
      </c>
      <c r="M20" s="1">
        <v>43277</v>
      </c>
      <c r="N20">
        <f t="shared" si="0"/>
        <v>309.24373726214066</v>
      </c>
      <c r="O20">
        <f t="shared" si="1"/>
        <v>293.85626197491939</v>
      </c>
      <c r="P20">
        <f t="shared" si="2"/>
        <v>301.54999961853002</v>
      </c>
      <c r="Q20">
        <f t="shared" si="3"/>
        <v>324.28672733306877</v>
      </c>
      <c r="R20">
        <f t="shared" si="4"/>
        <v>0</v>
      </c>
      <c r="S20">
        <v>310.64999999999998</v>
      </c>
      <c r="T20">
        <f>P$12-STDEV(P3:P$12)*1.644</f>
        <v>305.13351301854453</v>
      </c>
      <c r="U20">
        <f>P$12+STDEV(P3:P$12)*1.644</f>
        <v>313.26648659998551</v>
      </c>
      <c r="V20">
        <f t="shared" si="5"/>
        <v>310.75</v>
      </c>
      <c r="W20">
        <v>0</v>
      </c>
    </row>
    <row r="21" spans="1:23" x14ac:dyDescent="0.3">
      <c r="A21" s="1">
        <v>43188</v>
      </c>
      <c r="B21">
        <v>314.45</v>
      </c>
      <c r="C21">
        <v>299.09999961852998</v>
      </c>
      <c r="D21">
        <v>-15.3500003814697</v>
      </c>
      <c r="E21" s="1">
        <v>43279</v>
      </c>
      <c r="F21">
        <v>3.3534090518951398</v>
      </c>
      <c r="G21">
        <v>-15.3500003814697</v>
      </c>
      <c r="K21">
        <v>4.8980467309781917</v>
      </c>
      <c r="M21" s="1">
        <v>43278</v>
      </c>
      <c r="N21">
        <f t="shared" si="0"/>
        <v>307.15238844425812</v>
      </c>
      <c r="O21">
        <f t="shared" si="1"/>
        <v>291.04761079280183</v>
      </c>
      <c r="P21">
        <f t="shared" si="2"/>
        <v>299.09999961852998</v>
      </c>
      <c r="Q21">
        <f t="shared" si="3"/>
        <v>317.80340905189513</v>
      </c>
      <c r="R21">
        <f t="shared" si="4"/>
        <v>0</v>
      </c>
      <c r="S21">
        <v>314.45</v>
      </c>
      <c r="T21">
        <f>P$12-STDEV(P2:P$12)*1.644</f>
        <v>305.16511457445893</v>
      </c>
      <c r="U21">
        <f>P$12+STDEV(P2:P$12)*1.644</f>
        <v>313.23488504407112</v>
      </c>
      <c r="V21">
        <f t="shared" si="5"/>
        <v>314.55</v>
      </c>
      <c r="W21">
        <v>0</v>
      </c>
    </row>
    <row r="22" spans="1:23" x14ac:dyDescent="0.3">
      <c r="A22" s="1">
        <v>43189</v>
      </c>
      <c r="B22">
        <v>314.55</v>
      </c>
      <c r="C22">
        <v>299.99999980926498</v>
      </c>
      <c r="D22">
        <v>14.550000190734799</v>
      </c>
      <c r="E22" s="1">
        <v>43280</v>
      </c>
      <c r="F22">
        <v>-2.1182363033294598</v>
      </c>
      <c r="G22">
        <v>-14.550000190734799</v>
      </c>
      <c r="K22">
        <v>5.2059053699768523</v>
      </c>
      <c r="M22" s="1">
        <v>43279</v>
      </c>
      <c r="N22">
        <f t="shared" si="0"/>
        <v>308.55850823750694</v>
      </c>
      <c r="O22">
        <f t="shared" si="1"/>
        <v>291.44149138102301</v>
      </c>
      <c r="P22">
        <f t="shared" si="2"/>
        <v>299.99999980926498</v>
      </c>
      <c r="Q22">
        <f t="shared" si="3"/>
        <v>312.43176369667054</v>
      </c>
      <c r="R22">
        <f t="shared" si="4"/>
        <v>0</v>
      </c>
      <c r="S22">
        <v>314.55</v>
      </c>
      <c r="T22">
        <f>P$12-STDEV(P$12:P$23)*1.644</f>
        <v>302.67366319996063</v>
      </c>
      <c r="U22">
        <f>P$12+STDEV(P$2:P$12)*1.644</f>
        <v>313.23488504407112</v>
      </c>
      <c r="V22">
        <f t="shared" si="5"/>
        <v>307.95427412201587</v>
      </c>
      <c r="W22">
        <v>1</v>
      </c>
    </row>
    <row r="23" spans="1:23" x14ac:dyDescent="0.3">
      <c r="A23" s="1">
        <v>43192</v>
      </c>
      <c r="B23">
        <v>313.45</v>
      </c>
      <c r="C23">
        <v>292.90000076293899</v>
      </c>
      <c r="D23">
        <v>20.549999237060501</v>
      </c>
      <c r="E23" s="1">
        <v>43283</v>
      </c>
      <c r="F23">
        <v>-8.0779447555541992</v>
      </c>
      <c r="G23">
        <v>-20.549999237060501</v>
      </c>
      <c r="K23">
        <v>5.4514220533587503</v>
      </c>
      <c r="M23" s="1">
        <v>43280</v>
      </c>
      <c r="N23">
        <f t="shared" si="0"/>
        <v>301.86213861866077</v>
      </c>
      <c r="O23">
        <f t="shared" si="1"/>
        <v>283.93786290721721</v>
      </c>
      <c r="P23">
        <f t="shared" si="2"/>
        <v>292.90000076293899</v>
      </c>
      <c r="Q23">
        <f t="shared" si="3"/>
        <v>305.37205524444579</v>
      </c>
      <c r="R23">
        <f t="shared" si="4"/>
        <v>0</v>
      </c>
      <c r="S23">
        <v>313.45</v>
      </c>
      <c r="T23">
        <f t="shared" ref="T23:T36" si="6">P$12-STDEV(P$12:P$23)*1.644</f>
        <v>302.67366319996063</v>
      </c>
      <c r="U23">
        <f t="shared" ref="U23:U36" si="7">P$12+STDEV(P$2:P$12)*1.644</f>
        <v>313.23488504407112</v>
      </c>
      <c r="V23">
        <f t="shared" si="5"/>
        <v>307.95427412201587</v>
      </c>
      <c r="W23">
        <v>1</v>
      </c>
    </row>
    <row r="24" spans="1:23" x14ac:dyDescent="0.3">
      <c r="A24" s="1">
        <v>43193</v>
      </c>
      <c r="B24">
        <v>312.8</v>
      </c>
      <c r="C24">
        <v>293.75000076293901</v>
      </c>
      <c r="D24">
        <v>19.049999237060501</v>
      </c>
      <c r="E24" s="1">
        <v>43284</v>
      </c>
      <c r="F24">
        <v>-8.2626934051513601</v>
      </c>
      <c r="G24">
        <v>-19.049999237060501</v>
      </c>
      <c r="K24">
        <v>5.9894175506599829</v>
      </c>
      <c r="M24" s="1">
        <v>43283</v>
      </c>
      <c r="N24">
        <f t="shared" si="0"/>
        <v>303.59660321622403</v>
      </c>
      <c r="O24">
        <f t="shared" si="1"/>
        <v>283.90339830965399</v>
      </c>
      <c r="P24">
        <f t="shared" si="2"/>
        <v>293.75000076293901</v>
      </c>
      <c r="Q24">
        <f t="shared" si="3"/>
        <v>304.53730659484864</v>
      </c>
      <c r="R24">
        <f t="shared" si="4"/>
        <v>0</v>
      </c>
      <c r="S24">
        <v>312.8</v>
      </c>
      <c r="T24">
        <f t="shared" si="6"/>
        <v>302.67366319996063</v>
      </c>
      <c r="U24">
        <f t="shared" si="7"/>
        <v>313.23488504407112</v>
      </c>
      <c r="V24">
        <f t="shared" si="5"/>
        <v>307.95427412201587</v>
      </c>
      <c r="W24">
        <v>1</v>
      </c>
    </row>
    <row r="25" spans="1:23" x14ac:dyDescent="0.3">
      <c r="A25" s="1">
        <v>43194</v>
      </c>
      <c r="B25">
        <v>307.55</v>
      </c>
      <c r="C25">
        <v>292.55</v>
      </c>
      <c r="D25">
        <v>15</v>
      </c>
      <c r="E25" s="1">
        <v>43285</v>
      </c>
      <c r="F25">
        <v>-5.9392766952514604</v>
      </c>
      <c r="G25">
        <v>-15</v>
      </c>
      <c r="K25">
        <v>6.429470533889539</v>
      </c>
      <c r="M25" s="1">
        <v>43284</v>
      </c>
      <c r="N25">
        <f t="shared" si="0"/>
        <v>303.12004955771442</v>
      </c>
      <c r="O25">
        <f t="shared" si="1"/>
        <v>281.9799504422856</v>
      </c>
      <c r="P25">
        <f t="shared" si="2"/>
        <v>292.55</v>
      </c>
      <c r="Q25">
        <f t="shared" si="3"/>
        <v>301.61072330474855</v>
      </c>
      <c r="R25">
        <f t="shared" si="4"/>
        <v>1</v>
      </c>
      <c r="S25">
        <v>307.55</v>
      </c>
      <c r="T25">
        <f t="shared" si="6"/>
        <v>302.67366319996063</v>
      </c>
      <c r="U25">
        <f t="shared" si="7"/>
        <v>313.23488504407112</v>
      </c>
      <c r="V25">
        <f t="shared" si="5"/>
        <v>307.45</v>
      </c>
      <c r="W25">
        <v>1</v>
      </c>
    </row>
    <row r="26" spans="1:23" x14ac:dyDescent="0.3">
      <c r="A26" s="1">
        <v>43195</v>
      </c>
      <c r="B26">
        <v>312.95</v>
      </c>
      <c r="C26">
        <v>291.99999923706002</v>
      </c>
      <c r="D26">
        <v>20.9500007629394</v>
      </c>
      <c r="E26" s="1">
        <v>43286</v>
      </c>
      <c r="F26">
        <v>-7.3347015380859304</v>
      </c>
      <c r="G26">
        <v>-20.9500007629394</v>
      </c>
      <c r="K26">
        <v>6.8578537935600625</v>
      </c>
      <c r="M26" s="1">
        <v>43285</v>
      </c>
      <c r="N26">
        <f t="shared" si="0"/>
        <v>303.27431087367279</v>
      </c>
      <c r="O26">
        <f t="shared" si="1"/>
        <v>280.72568760044726</v>
      </c>
      <c r="P26">
        <f t="shared" si="2"/>
        <v>291.99999923706002</v>
      </c>
      <c r="Q26">
        <f t="shared" si="3"/>
        <v>305.61529846191405</v>
      </c>
      <c r="R26">
        <f t="shared" si="4"/>
        <v>0</v>
      </c>
      <c r="S26">
        <v>312.95</v>
      </c>
      <c r="T26">
        <f t="shared" si="6"/>
        <v>302.67366319996063</v>
      </c>
      <c r="U26">
        <f t="shared" si="7"/>
        <v>313.23488504407112</v>
      </c>
      <c r="V26">
        <f t="shared" si="5"/>
        <v>307.95427412201587</v>
      </c>
      <c r="W26">
        <v>1</v>
      </c>
    </row>
    <row r="27" spans="1:23" x14ac:dyDescent="0.3">
      <c r="A27" s="1">
        <v>43196</v>
      </c>
      <c r="B27">
        <v>311.2</v>
      </c>
      <c r="C27">
        <v>293.59999961852998</v>
      </c>
      <c r="D27">
        <v>17.600000381469702</v>
      </c>
      <c r="E27" s="1">
        <v>43287</v>
      </c>
      <c r="F27">
        <v>-7.6459732055664</v>
      </c>
      <c r="G27">
        <v>-17.600000381469702</v>
      </c>
      <c r="K27">
        <v>7.2946155392443126</v>
      </c>
      <c r="M27" s="1">
        <v>43286</v>
      </c>
      <c r="N27">
        <f t="shared" si="0"/>
        <v>305.59234756504765</v>
      </c>
      <c r="O27">
        <f t="shared" si="1"/>
        <v>281.60765167201231</v>
      </c>
      <c r="P27">
        <f t="shared" si="2"/>
        <v>293.59999961852998</v>
      </c>
      <c r="Q27">
        <f t="shared" si="3"/>
        <v>303.55402679443358</v>
      </c>
      <c r="R27">
        <f t="shared" si="4"/>
        <v>1</v>
      </c>
      <c r="S27">
        <v>311.2</v>
      </c>
      <c r="T27">
        <f t="shared" si="6"/>
        <v>302.67366319996063</v>
      </c>
      <c r="U27">
        <f t="shared" si="7"/>
        <v>313.23488504407112</v>
      </c>
      <c r="V27">
        <f t="shared" si="5"/>
        <v>307.95427412201587</v>
      </c>
      <c r="W27">
        <v>1</v>
      </c>
    </row>
    <row r="28" spans="1:23" x14ac:dyDescent="0.3">
      <c r="A28" s="1">
        <v>43199</v>
      </c>
      <c r="B28">
        <v>312.95</v>
      </c>
      <c r="C28">
        <v>296.24999923706002</v>
      </c>
      <c r="D28">
        <v>16.7000007629394</v>
      </c>
      <c r="E28" s="1">
        <v>43290</v>
      </c>
      <c r="F28">
        <v>-7.0136842727661097</v>
      </c>
      <c r="G28">
        <v>-16.7000007629394</v>
      </c>
      <c r="K28">
        <v>7.634292099820688</v>
      </c>
      <c r="M28" s="1">
        <v>43287</v>
      </c>
      <c r="N28">
        <f t="shared" si="0"/>
        <v>308.80077544916526</v>
      </c>
      <c r="O28">
        <f t="shared" si="1"/>
        <v>283.69922302495479</v>
      </c>
      <c r="P28">
        <f t="shared" si="2"/>
        <v>296.24999923706002</v>
      </c>
      <c r="Q28">
        <f t="shared" si="3"/>
        <v>305.93631572723388</v>
      </c>
      <c r="R28">
        <f t="shared" si="4"/>
        <v>1</v>
      </c>
      <c r="S28">
        <v>312.95</v>
      </c>
      <c r="T28">
        <f t="shared" si="6"/>
        <v>302.67366319996063</v>
      </c>
      <c r="U28">
        <f t="shared" si="7"/>
        <v>313.23488504407112</v>
      </c>
      <c r="V28">
        <f t="shared" si="5"/>
        <v>307.95427412201587</v>
      </c>
      <c r="W28">
        <v>1</v>
      </c>
    </row>
    <row r="29" spans="1:23" x14ac:dyDescent="0.3">
      <c r="A29" s="1">
        <v>43200</v>
      </c>
      <c r="B29">
        <v>313.45</v>
      </c>
      <c r="C29">
        <v>296.95</v>
      </c>
      <c r="D29">
        <v>16.5</v>
      </c>
      <c r="E29" s="1">
        <v>43291</v>
      </c>
      <c r="F29">
        <v>-9.7974977493286097</v>
      </c>
      <c r="G29">
        <v>-16.5</v>
      </c>
      <c r="K29">
        <v>7.8618244481701653</v>
      </c>
      <c r="M29" s="1">
        <v>43290</v>
      </c>
      <c r="N29">
        <f t="shared" si="0"/>
        <v>309.87483939279173</v>
      </c>
      <c r="O29">
        <f t="shared" si="1"/>
        <v>284.02516060720825</v>
      </c>
      <c r="P29">
        <f t="shared" si="2"/>
        <v>296.95</v>
      </c>
      <c r="Q29">
        <f t="shared" si="3"/>
        <v>303.65250225067138</v>
      </c>
      <c r="R29">
        <f t="shared" si="4"/>
        <v>1</v>
      </c>
      <c r="S29">
        <v>313.45</v>
      </c>
      <c r="T29">
        <f t="shared" si="6"/>
        <v>302.67366319996063</v>
      </c>
      <c r="U29">
        <f t="shared" si="7"/>
        <v>313.23488504407112</v>
      </c>
      <c r="V29">
        <f t="shared" si="5"/>
        <v>307.95427412201587</v>
      </c>
      <c r="W29">
        <v>1</v>
      </c>
    </row>
    <row r="30" spans="1:23" x14ac:dyDescent="0.3">
      <c r="A30" s="1">
        <v>43201</v>
      </c>
      <c r="B30">
        <v>312.45</v>
      </c>
      <c r="C30">
        <v>295.30000038146898</v>
      </c>
      <c r="D30">
        <v>17.149999618530199</v>
      </c>
      <c r="E30" s="1">
        <v>43292</v>
      </c>
      <c r="F30">
        <v>-12.250732421875</v>
      </c>
      <c r="G30">
        <v>-17.149999618530199</v>
      </c>
      <c r="K30">
        <v>8.0530036500961248</v>
      </c>
      <c r="M30" s="1">
        <v>43291</v>
      </c>
      <c r="N30">
        <f t="shared" si="0"/>
        <v>308.53913838222701</v>
      </c>
      <c r="O30">
        <f t="shared" si="1"/>
        <v>282.06086238071094</v>
      </c>
      <c r="P30">
        <f t="shared" si="2"/>
        <v>295.30000038146898</v>
      </c>
      <c r="Q30">
        <f t="shared" si="3"/>
        <v>300.19926757812499</v>
      </c>
      <c r="R30">
        <f t="shared" si="4"/>
        <v>1</v>
      </c>
      <c r="S30">
        <v>312.45</v>
      </c>
      <c r="T30">
        <f t="shared" si="6"/>
        <v>302.67366319996063</v>
      </c>
      <c r="U30">
        <f t="shared" si="7"/>
        <v>313.23488504407112</v>
      </c>
      <c r="V30">
        <f t="shared" si="5"/>
        <v>307.95427412201587</v>
      </c>
      <c r="W30">
        <v>1</v>
      </c>
    </row>
    <row r="31" spans="1:23" x14ac:dyDescent="0.3">
      <c r="A31" s="1">
        <v>43202</v>
      </c>
      <c r="B31">
        <v>311.75</v>
      </c>
      <c r="C31">
        <v>296</v>
      </c>
      <c r="D31">
        <v>15.75</v>
      </c>
      <c r="E31" s="1">
        <v>43293</v>
      </c>
      <c r="F31">
        <v>-11.1144361495971</v>
      </c>
      <c r="G31">
        <v>-15.75</v>
      </c>
      <c r="K31">
        <v>8.2815882006412274</v>
      </c>
      <c r="M31" s="1">
        <v>43292</v>
      </c>
      <c r="N31">
        <f t="shared" si="0"/>
        <v>309.61493100185419</v>
      </c>
      <c r="O31">
        <f t="shared" si="1"/>
        <v>282.38506899814581</v>
      </c>
      <c r="P31">
        <f t="shared" si="2"/>
        <v>296</v>
      </c>
      <c r="Q31">
        <f t="shared" si="3"/>
        <v>300.63556385040289</v>
      </c>
      <c r="R31">
        <f t="shared" si="4"/>
        <v>1</v>
      </c>
      <c r="S31">
        <v>311.75</v>
      </c>
      <c r="T31">
        <f t="shared" si="6"/>
        <v>302.67366319996063</v>
      </c>
      <c r="U31">
        <f t="shared" si="7"/>
        <v>313.23488504407112</v>
      </c>
      <c r="V31">
        <f t="shared" si="5"/>
        <v>307.95427412201587</v>
      </c>
      <c r="W31">
        <v>1</v>
      </c>
    </row>
    <row r="32" spans="1:23" x14ac:dyDescent="0.3">
      <c r="A32" s="1">
        <v>43203</v>
      </c>
      <c r="B32">
        <v>314.45</v>
      </c>
      <c r="C32">
        <v>299.09999961852998</v>
      </c>
      <c r="D32">
        <v>15.3500003814697</v>
      </c>
      <c r="E32" s="1">
        <v>43294</v>
      </c>
      <c r="F32">
        <v>-16.100505828857401</v>
      </c>
      <c r="G32">
        <v>-15.3500003814697</v>
      </c>
      <c r="K32">
        <v>8.4787483910566728</v>
      </c>
      <c r="M32" s="1">
        <v>43293</v>
      </c>
      <c r="N32">
        <f t="shared" si="0"/>
        <v>313.03906197342712</v>
      </c>
      <c r="O32">
        <f t="shared" si="1"/>
        <v>285.16093726363283</v>
      </c>
      <c r="P32">
        <f t="shared" si="2"/>
        <v>299.09999961852998</v>
      </c>
      <c r="Q32">
        <f t="shared" si="3"/>
        <v>298.34949417114257</v>
      </c>
      <c r="R32">
        <f t="shared" si="4"/>
        <v>1</v>
      </c>
      <c r="S32">
        <v>314.45</v>
      </c>
      <c r="T32">
        <f t="shared" si="6"/>
        <v>302.67366319996063</v>
      </c>
      <c r="U32">
        <f t="shared" si="7"/>
        <v>313.23488504407112</v>
      </c>
      <c r="V32">
        <f t="shared" si="5"/>
        <v>307.95427412201587</v>
      </c>
      <c r="W32">
        <v>1</v>
      </c>
    </row>
    <row r="33" spans="1:23" x14ac:dyDescent="0.3">
      <c r="A33" s="1">
        <v>43206</v>
      </c>
      <c r="B33">
        <v>314.3</v>
      </c>
      <c r="C33">
        <v>298.19999961853</v>
      </c>
      <c r="D33">
        <v>16.100000381469702</v>
      </c>
      <c r="E33" s="1">
        <v>43297</v>
      </c>
      <c r="F33">
        <v>-13.038256645202599</v>
      </c>
      <c r="G33">
        <v>-16.100000381469702</v>
      </c>
      <c r="K33">
        <v>8.5792699337504121</v>
      </c>
      <c r="M33" s="1">
        <v>43294</v>
      </c>
      <c r="N33">
        <f t="shared" si="0"/>
        <v>312.30431938961567</v>
      </c>
      <c r="O33">
        <f t="shared" si="1"/>
        <v>284.09567984744433</v>
      </c>
      <c r="P33">
        <f t="shared" si="2"/>
        <v>298.19999961853</v>
      </c>
      <c r="Q33">
        <f t="shared" si="3"/>
        <v>301.26174335479743</v>
      </c>
      <c r="R33">
        <f t="shared" si="4"/>
        <v>1</v>
      </c>
      <c r="S33">
        <v>314.3</v>
      </c>
      <c r="T33">
        <f t="shared" si="6"/>
        <v>302.67366319996063</v>
      </c>
      <c r="U33">
        <f t="shared" si="7"/>
        <v>313.23488504407112</v>
      </c>
      <c r="V33">
        <f t="shared" si="5"/>
        <v>307.95427412201587</v>
      </c>
      <c r="W33">
        <v>1</v>
      </c>
    </row>
    <row r="34" spans="1:23" x14ac:dyDescent="0.3">
      <c r="A34" s="1">
        <v>43207</v>
      </c>
      <c r="B34">
        <v>314.39999999999998</v>
      </c>
      <c r="C34">
        <v>297.35000076293898</v>
      </c>
      <c r="D34">
        <v>17.049999237060501</v>
      </c>
      <c r="E34" s="1">
        <v>43298</v>
      </c>
      <c r="F34">
        <v>-12.9799299240112</v>
      </c>
      <c r="G34">
        <v>-17.049999237060501</v>
      </c>
      <c r="K34">
        <v>8.6916496730172845</v>
      </c>
      <c r="M34" s="1">
        <v>43297</v>
      </c>
      <c r="N34">
        <f t="shared" si="0"/>
        <v>311.6390728253794</v>
      </c>
      <c r="O34">
        <f t="shared" si="1"/>
        <v>283.06092870049855</v>
      </c>
      <c r="P34">
        <f t="shared" si="2"/>
        <v>297.35000076293898</v>
      </c>
      <c r="Q34">
        <f t="shared" si="3"/>
        <v>301.4200700759888</v>
      </c>
      <c r="R34">
        <f t="shared" si="4"/>
        <v>1</v>
      </c>
      <c r="S34">
        <v>314.39999999999998</v>
      </c>
      <c r="T34">
        <f t="shared" si="6"/>
        <v>302.67366319996063</v>
      </c>
      <c r="U34">
        <f t="shared" si="7"/>
        <v>313.23488504407112</v>
      </c>
      <c r="V34">
        <f t="shared" si="5"/>
        <v>307.95427412201587</v>
      </c>
      <c r="W34">
        <v>1</v>
      </c>
    </row>
    <row r="35" spans="1:23" x14ac:dyDescent="0.3">
      <c r="A35" s="1">
        <v>43208</v>
      </c>
      <c r="B35">
        <v>317.60000000000002</v>
      </c>
      <c r="C35">
        <v>297.05000076293902</v>
      </c>
      <c r="D35">
        <v>20.549999237060501</v>
      </c>
      <c r="E35" s="1">
        <v>43299</v>
      </c>
      <c r="F35">
        <v>-13.7100467681884</v>
      </c>
      <c r="G35">
        <v>-20.549999237060501</v>
      </c>
      <c r="K35">
        <v>8.8127259245453562</v>
      </c>
      <c r="M35" s="1">
        <v>43298</v>
      </c>
      <c r="N35">
        <f t="shared" si="0"/>
        <v>311.53812218289158</v>
      </c>
      <c r="O35">
        <f t="shared" si="1"/>
        <v>282.56187934298646</v>
      </c>
      <c r="P35">
        <f t="shared" si="2"/>
        <v>297.05000076293902</v>
      </c>
      <c r="Q35">
        <f t="shared" si="3"/>
        <v>303.8899532318116</v>
      </c>
      <c r="R35">
        <f t="shared" si="4"/>
        <v>1</v>
      </c>
      <c r="S35">
        <v>317.60000000000002</v>
      </c>
      <c r="T35">
        <f t="shared" si="6"/>
        <v>302.67366319996063</v>
      </c>
      <c r="U35">
        <f t="shared" si="7"/>
        <v>313.23488504407112</v>
      </c>
      <c r="V35">
        <f t="shared" si="5"/>
        <v>307.95427412201587</v>
      </c>
      <c r="W35">
        <v>1</v>
      </c>
    </row>
    <row r="36" spans="1:23" x14ac:dyDescent="0.3">
      <c r="A36" s="1">
        <v>43209</v>
      </c>
      <c r="B36">
        <v>319</v>
      </c>
      <c r="C36">
        <v>296.04999923705998</v>
      </c>
      <c r="D36">
        <v>22.9500007629394</v>
      </c>
      <c r="E36" s="1">
        <v>43300</v>
      </c>
      <c r="F36">
        <v>-14.816309928894</v>
      </c>
      <c r="G36">
        <v>-22.9500007629394</v>
      </c>
      <c r="K36">
        <v>8.8939108518347858</v>
      </c>
      <c r="M36" s="1">
        <v>43299</v>
      </c>
      <c r="N36">
        <f t="shared" si="0"/>
        <v>310.67158867747639</v>
      </c>
      <c r="O36">
        <f t="shared" si="1"/>
        <v>281.42840979664356</v>
      </c>
      <c r="P36">
        <f t="shared" si="2"/>
        <v>296.04999923705998</v>
      </c>
      <c r="Q36">
        <f t="shared" si="3"/>
        <v>304.18369007110601</v>
      </c>
      <c r="R36">
        <f t="shared" si="4"/>
        <v>1</v>
      </c>
      <c r="S36">
        <v>319</v>
      </c>
      <c r="T36">
        <f t="shared" si="6"/>
        <v>302.67366319996063</v>
      </c>
      <c r="U36">
        <f t="shared" si="7"/>
        <v>313.23488504407112</v>
      </c>
      <c r="V36">
        <f t="shared" si="5"/>
        <v>307.95427412201587</v>
      </c>
      <c r="W36">
        <v>1</v>
      </c>
    </row>
    <row r="37" spans="1:23" x14ac:dyDescent="0.3">
      <c r="M37" s="1"/>
      <c r="R37">
        <f>SUM(R2:R36)/35</f>
        <v>0.62857142857142856</v>
      </c>
      <c r="W37">
        <f>SUM(W2:W36)/35</f>
        <v>0.82857142857142863</v>
      </c>
    </row>
  </sheetData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vdiff_65_1_100_0.001_300_200_20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2018-07-24T22:18:36Z</dcterms:created>
  <dcterms:modified xsi:type="dcterms:W3CDTF">2018-07-27T22:33:58Z</dcterms:modified>
</cp:coreProperties>
</file>