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10_10_0.001_300_200_20" sheetId="1" r:id="rId1"/>
  </sheets>
  <calcPr calcId="0"/>
</workbook>
</file>

<file path=xl/calcChain.xml><?xml version="1.0" encoding="utf-8"?>
<calcChain xmlns="http://schemas.openxmlformats.org/spreadsheetml/2006/main">
  <c r="Q1" i="1" l="1"/>
  <c r="L80" i="1"/>
  <c r="M80" i="1"/>
  <c r="L3" i="1"/>
  <c r="M3" i="1"/>
  <c r="L4" i="1"/>
  <c r="M4" i="1"/>
  <c r="L5" i="1"/>
  <c r="M5" i="1"/>
  <c r="L6" i="1"/>
  <c r="P6" i="1" s="1"/>
  <c r="M6" i="1"/>
  <c r="L7" i="1"/>
  <c r="M7" i="1"/>
  <c r="L8" i="1"/>
  <c r="M8" i="1"/>
  <c r="L9" i="1"/>
  <c r="M9" i="1"/>
  <c r="L10" i="1"/>
  <c r="P10" i="1" s="1"/>
  <c r="M10" i="1"/>
  <c r="L11" i="1"/>
  <c r="M11" i="1"/>
  <c r="L12" i="1"/>
  <c r="M12" i="1"/>
  <c r="L13" i="1"/>
  <c r="M13" i="1"/>
  <c r="L14" i="1"/>
  <c r="P14" i="1" s="1"/>
  <c r="M14" i="1"/>
  <c r="L15" i="1"/>
  <c r="M15" i="1"/>
  <c r="L16" i="1"/>
  <c r="M16" i="1"/>
  <c r="L17" i="1"/>
  <c r="M17" i="1"/>
  <c r="L18" i="1"/>
  <c r="P18" i="1" s="1"/>
  <c r="M18" i="1"/>
  <c r="L19" i="1"/>
  <c r="M19" i="1"/>
  <c r="L20" i="1"/>
  <c r="M20" i="1"/>
  <c r="L21" i="1"/>
  <c r="M21" i="1"/>
  <c r="L22" i="1"/>
  <c r="P22" i="1" s="1"/>
  <c r="M22" i="1"/>
  <c r="L23" i="1"/>
  <c r="M23" i="1"/>
  <c r="L24" i="1"/>
  <c r="M24" i="1"/>
  <c r="L25" i="1"/>
  <c r="M25" i="1"/>
  <c r="L26" i="1"/>
  <c r="P26" i="1" s="1"/>
  <c r="M26" i="1"/>
  <c r="L27" i="1"/>
  <c r="M27" i="1"/>
  <c r="L28" i="1"/>
  <c r="M28" i="1"/>
  <c r="L29" i="1"/>
  <c r="M29" i="1"/>
  <c r="L30" i="1"/>
  <c r="P30" i="1" s="1"/>
  <c r="M30" i="1"/>
  <c r="L31" i="1"/>
  <c r="M31" i="1"/>
  <c r="L32" i="1"/>
  <c r="M32" i="1"/>
  <c r="L33" i="1"/>
  <c r="M33" i="1"/>
  <c r="L34" i="1"/>
  <c r="P34" i="1" s="1"/>
  <c r="M34" i="1"/>
  <c r="L35" i="1"/>
  <c r="M35" i="1"/>
  <c r="L36" i="1"/>
  <c r="M36" i="1"/>
  <c r="L37" i="1"/>
  <c r="M37" i="1"/>
  <c r="L38" i="1"/>
  <c r="P38" i="1" s="1"/>
  <c r="M38" i="1"/>
  <c r="L39" i="1"/>
  <c r="M39" i="1"/>
  <c r="L40" i="1"/>
  <c r="M40" i="1"/>
  <c r="L41" i="1"/>
  <c r="M41" i="1"/>
  <c r="L42" i="1"/>
  <c r="P42" i="1" s="1"/>
  <c r="M42" i="1"/>
  <c r="L43" i="1"/>
  <c r="M43" i="1"/>
  <c r="L44" i="1"/>
  <c r="M44" i="1"/>
  <c r="L45" i="1"/>
  <c r="M45" i="1"/>
  <c r="L46" i="1"/>
  <c r="P46" i="1" s="1"/>
  <c r="M46" i="1"/>
  <c r="L47" i="1"/>
  <c r="M47" i="1"/>
  <c r="L48" i="1"/>
  <c r="M48" i="1"/>
  <c r="L49" i="1"/>
  <c r="M49" i="1"/>
  <c r="L50" i="1"/>
  <c r="P50" i="1" s="1"/>
  <c r="M50" i="1"/>
  <c r="L51" i="1"/>
  <c r="M51" i="1"/>
  <c r="L52" i="1"/>
  <c r="M52" i="1"/>
  <c r="L53" i="1"/>
  <c r="M53" i="1"/>
  <c r="L54" i="1"/>
  <c r="P54" i="1" s="1"/>
  <c r="M54" i="1"/>
  <c r="L55" i="1"/>
  <c r="M55" i="1"/>
  <c r="L56" i="1"/>
  <c r="M56" i="1"/>
  <c r="L57" i="1"/>
  <c r="M57" i="1"/>
  <c r="L58" i="1"/>
  <c r="P58" i="1" s="1"/>
  <c r="M58" i="1"/>
  <c r="L59" i="1"/>
  <c r="M59" i="1"/>
  <c r="L60" i="1"/>
  <c r="M60" i="1"/>
  <c r="L61" i="1"/>
  <c r="M61" i="1"/>
  <c r="L62" i="1"/>
  <c r="P62" i="1" s="1"/>
  <c r="M62" i="1"/>
  <c r="L63" i="1"/>
  <c r="M63" i="1"/>
  <c r="L64" i="1"/>
  <c r="M64" i="1"/>
  <c r="L65" i="1"/>
  <c r="M65" i="1"/>
  <c r="L66" i="1"/>
  <c r="P66" i="1" s="1"/>
  <c r="M66" i="1"/>
  <c r="L67" i="1"/>
  <c r="M67" i="1"/>
  <c r="L68" i="1"/>
  <c r="M68" i="1"/>
  <c r="L69" i="1"/>
  <c r="M69" i="1"/>
  <c r="L70" i="1"/>
  <c r="P70" i="1" s="1"/>
  <c r="M70" i="1"/>
  <c r="L71" i="1"/>
  <c r="M71" i="1"/>
  <c r="L72" i="1"/>
  <c r="M72" i="1"/>
  <c r="L73" i="1"/>
  <c r="M73" i="1"/>
  <c r="L74" i="1"/>
  <c r="P74" i="1" s="1"/>
  <c r="M74" i="1"/>
  <c r="L75" i="1"/>
  <c r="M75" i="1"/>
  <c r="L76" i="1"/>
  <c r="M76" i="1"/>
  <c r="L77" i="1"/>
  <c r="M77" i="1"/>
  <c r="L78" i="1"/>
  <c r="P78" i="1" s="1"/>
  <c r="M78" i="1"/>
  <c r="L79" i="1"/>
  <c r="M79" i="1"/>
  <c r="M2" i="1"/>
  <c r="L2" i="1"/>
  <c r="O3" i="1"/>
  <c r="P3" i="1" s="1"/>
  <c r="O4" i="1"/>
  <c r="P4" i="1" s="1"/>
  <c r="O5" i="1"/>
  <c r="P5" i="1" s="1"/>
  <c r="O6" i="1"/>
  <c r="O7" i="1"/>
  <c r="P7" i="1" s="1"/>
  <c r="O8" i="1"/>
  <c r="P8" i="1" s="1"/>
  <c r="O9" i="1"/>
  <c r="P9" i="1" s="1"/>
  <c r="O10" i="1"/>
  <c r="O11" i="1"/>
  <c r="P11" i="1" s="1"/>
  <c r="O12" i="1"/>
  <c r="P12" i="1" s="1"/>
  <c r="O13" i="1"/>
  <c r="P13" i="1" s="1"/>
  <c r="O14" i="1"/>
  <c r="O15" i="1"/>
  <c r="P15" i="1" s="1"/>
  <c r="O16" i="1"/>
  <c r="P16" i="1" s="1"/>
  <c r="O17" i="1"/>
  <c r="P17" i="1" s="1"/>
  <c r="O18" i="1"/>
  <c r="O19" i="1"/>
  <c r="P19" i="1" s="1"/>
  <c r="O20" i="1"/>
  <c r="P20" i="1" s="1"/>
  <c r="O21" i="1"/>
  <c r="P21" i="1" s="1"/>
  <c r="O22" i="1"/>
  <c r="O23" i="1"/>
  <c r="P23" i="1" s="1"/>
  <c r="O24" i="1"/>
  <c r="P24" i="1" s="1"/>
  <c r="O25" i="1"/>
  <c r="P25" i="1" s="1"/>
  <c r="O26" i="1"/>
  <c r="O27" i="1"/>
  <c r="P27" i="1" s="1"/>
  <c r="O28" i="1"/>
  <c r="P28" i="1" s="1"/>
  <c r="O29" i="1"/>
  <c r="P29" i="1" s="1"/>
  <c r="O30" i="1"/>
  <c r="O31" i="1"/>
  <c r="P31" i="1" s="1"/>
  <c r="O32" i="1"/>
  <c r="P32" i="1" s="1"/>
  <c r="O33" i="1"/>
  <c r="P33" i="1" s="1"/>
  <c r="O34" i="1"/>
  <c r="O35" i="1"/>
  <c r="P35" i="1" s="1"/>
  <c r="O36" i="1"/>
  <c r="P36" i="1" s="1"/>
  <c r="O37" i="1"/>
  <c r="P37" i="1" s="1"/>
  <c r="O38" i="1"/>
  <c r="O39" i="1"/>
  <c r="P39" i="1" s="1"/>
  <c r="O40" i="1"/>
  <c r="P40" i="1" s="1"/>
  <c r="O41" i="1"/>
  <c r="P41" i="1" s="1"/>
  <c r="O42" i="1"/>
  <c r="O43" i="1"/>
  <c r="P43" i="1" s="1"/>
  <c r="O44" i="1"/>
  <c r="P44" i="1" s="1"/>
  <c r="O45" i="1"/>
  <c r="P45" i="1" s="1"/>
  <c r="O46" i="1"/>
  <c r="O47" i="1"/>
  <c r="P47" i="1" s="1"/>
  <c r="O48" i="1"/>
  <c r="P48" i="1" s="1"/>
  <c r="O49" i="1"/>
  <c r="P49" i="1" s="1"/>
  <c r="O50" i="1"/>
  <c r="O51" i="1"/>
  <c r="P51" i="1" s="1"/>
  <c r="O52" i="1"/>
  <c r="P52" i="1" s="1"/>
  <c r="O53" i="1"/>
  <c r="P53" i="1" s="1"/>
  <c r="O54" i="1"/>
  <c r="O55" i="1"/>
  <c r="P55" i="1" s="1"/>
  <c r="O56" i="1"/>
  <c r="P56" i="1" s="1"/>
  <c r="O57" i="1"/>
  <c r="P57" i="1" s="1"/>
  <c r="O58" i="1"/>
  <c r="O59" i="1"/>
  <c r="P59" i="1" s="1"/>
  <c r="O60" i="1"/>
  <c r="P60" i="1" s="1"/>
  <c r="O61" i="1"/>
  <c r="P61" i="1" s="1"/>
  <c r="O62" i="1"/>
  <c r="O63" i="1"/>
  <c r="P63" i="1" s="1"/>
  <c r="O64" i="1"/>
  <c r="P64" i="1" s="1"/>
  <c r="O65" i="1"/>
  <c r="P65" i="1" s="1"/>
  <c r="O66" i="1"/>
  <c r="O67" i="1"/>
  <c r="P67" i="1" s="1"/>
  <c r="O68" i="1"/>
  <c r="P68" i="1" s="1"/>
  <c r="O69" i="1"/>
  <c r="P69" i="1" s="1"/>
  <c r="O70" i="1"/>
  <c r="O71" i="1"/>
  <c r="P71" i="1" s="1"/>
  <c r="O72" i="1"/>
  <c r="P72" i="1" s="1"/>
  <c r="O73" i="1"/>
  <c r="P73" i="1" s="1"/>
  <c r="O74" i="1"/>
  <c r="O75" i="1"/>
  <c r="P75" i="1" s="1"/>
  <c r="O76" i="1"/>
  <c r="P76" i="1" s="1"/>
  <c r="O77" i="1"/>
  <c r="P77" i="1" s="1"/>
  <c r="O78" i="1"/>
  <c r="O79" i="1"/>
  <c r="P79" i="1" s="1"/>
  <c r="O80" i="1"/>
  <c r="P80" i="1" s="1"/>
  <c r="O2" i="1"/>
  <c r="P2" i="1" s="1"/>
</calcChain>
</file>

<file path=xl/sharedStrings.xml><?xml version="1.0" encoding="utf-8"?>
<sst xmlns="http://schemas.openxmlformats.org/spreadsheetml/2006/main" count="12" uniqueCount="11">
  <si>
    <t>date</t>
  </si>
  <si>
    <t>index1</t>
  </si>
  <si>
    <t>index2</t>
  </si>
  <si>
    <t>loss_profits</t>
  </si>
  <si>
    <t>pred_date</t>
  </si>
  <si>
    <t>prediction</t>
  </si>
  <si>
    <t>real</t>
  </si>
  <si>
    <t>BT</t>
  </si>
  <si>
    <t>BB</t>
  </si>
  <si>
    <t>pred</t>
  </si>
  <si>
    <t>구간+방향성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</si>
</sst>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"/>
  <sheetViews>
    <sheetView tabSelected="1" workbookViewId="0">
      <selection activeCell="S7" sqref="S7"/>
    </sheetView>
  </sheetViews>
  <sheetFormatPr defaultRowHeight="16.5" x14ac:dyDescent="0.3"/>
  <cols>
    <col min="11" max="11" width="10.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0.73417721499999999</v>
      </c>
      <c r="L1" t="s">
        <v>7</v>
      </c>
      <c r="M1" t="s">
        <v>8</v>
      </c>
      <c r="N1" t="s">
        <v>6</v>
      </c>
      <c r="O1" t="s">
        <v>9</v>
      </c>
      <c r="P1" t="s">
        <v>10</v>
      </c>
      <c r="Q1">
        <f>SUM(P2:P80)/79</f>
        <v>0.39240506329113922</v>
      </c>
    </row>
    <row r="2" spans="1:17" x14ac:dyDescent="0.3">
      <c r="A2" s="1">
        <v>43101</v>
      </c>
      <c r="B2">
        <v>325.64999999999998</v>
      </c>
      <c r="C2">
        <v>313.45000019073399</v>
      </c>
      <c r="D2">
        <v>12.199999809265099</v>
      </c>
      <c r="E2" s="1">
        <v>43192</v>
      </c>
      <c r="F2">
        <v>-8.1688585281371999</v>
      </c>
      <c r="G2">
        <v>-12.199999809265099</v>
      </c>
      <c r="J2">
        <v>8.6280935470000006</v>
      </c>
      <c r="K2" s="1">
        <v>43192</v>
      </c>
      <c r="L2">
        <f>C2+1.644*J2</f>
        <v>327.63458598200197</v>
      </c>
      <c r="M2">
        <f>C2-1.644*J2</f>
        <v>299.26541439946601</v>
      </c>
      <c r="N2">
        <v>313.45000019999998</v>
      </c>
      <c r="O2">
        <f>F2+C2</f>
        <v>305.28114166259678</v>
      </c>
      <c r="P2">
        <f>IF(AND(D2&gt;0, AND(O2&lt;L2, O2&gt;M2)),1,0)</f>
        <v>1</v>
      </c>
    </row>
    <row r="3" spans="1:17" x14ac:dyDescent="0.3">
      <c r="A3" s="1">
        <v>43102</v>
      </c>
      <c r="B3">
        <v>326.5</v>
      </c>
      <c r="C3">
        <v>312.80000019073401</v>
      </c>
      <c r="D3">
        <v>13.699999809265099</v>
      </c>
      <c r="E3" s="1">
        <v>43193</v>
      </c>
      <c r="F3">
        <v>-4.9780364036559996</v>
      </c>
      <c r="G3">
        <v>-13.699999809265099</v>
      </c>
      <c r="J3">
        <v>8.6568513090000003</v>
      </c>
      <c r="K3" s="1">
        <v>43193</v>
      </c>
      <c r="L3">
        <f t="shared" ref="L3:L66" si="0">C3+1.644*J3</f>
        <v>327.03186374273002</v>
      </c>
      <c r="M3">
        <f t="shared" ref="M3:M66" si="1">C3-1.644*J3</f>
        <v>298.568136638738</v>
      </c>
      <c r="N3">
        <v>312.8000002</v>
      </c>
      <c r="O3">
        <f t="shared" ref="O3:O66" si="2">F3+C3</f>
        <v>307.821963787078</v>
      </c>
      <c r="P3">
        <f t="shared" ref="P3:P66" si="3">IF(AND(D3&gt;0, AND(O3&lt;L3, O3&gt;M3)),1,0)</f>
        <v>1</v>
      </c>
    </row>
    <row r="4" spans="1:17" x14ac:dyDescent="0.3">
      <c r="A4" s="1">
        <v>43103</v>
      </c>
      <c r="B4">
        <v>327.7</v>
      </c>
      <c r="C4">
        <v>307.55000038146898</v>
      </c>
      <c r="D4">
        <v>20.149999618530199</v>
      </c>
      <c r="E4" s="1">
        <v>43194</v>
      </c>
      <c r="F4">
        <v>-1.31050741672515</v>
      </c>
      <c r="G4">
        <v>-20.149999618530199</v>
      </c>
      <c r="J4">
        <v>8.7644975800000005</v>
      </c>
      <c r="K4" s="1">
        <v>43194</v>
      </c>
      <c r="L4">
        <f t="shared" si="0"/>
        <v>321.958834402989</v>
      </c>
      <c r="M4">
        <f t="shared" si="1"/>
        <v>293.14116635994895</v>
      </c>
      <c r="N4">
        <v>307.55000039999999</v>
      </c>
      <c r="O4">
        <f t="shared" si="2"/>
        <v>306.23949296474382</v>
      </c>
      <c r="P4">
        <f t="shared" si="3"/>
        <v>1</v>
      </c>
    </row>
    <row r="5" spans="1:17" x14ac:dyDescent="0.3">
      <c r="A5" s="1">
        <v>43104</v>
      </c>
      <c r="B5">
        <v>325</v>
      </c>
      <c r="C5">
        <v>312.94999980926502</v>
      </c>
      <c r="D5">
        <v>-12.050000190734799</v>
      </c>
      <c r="E5" s="1">
        <v>43195</v>
      </c>
      <c r="F5">
        <v>2.9153683185577299</v>
      </c>
      <c r="G5">
        <v>-12.050000190734799</v>
      </c>
      <c r="J5">
        <v>8.7557156819999999</v>
      </c>
      <c r="K5" s="1">
        <v>43195</v>
      </c>
      <c r="L5">
        <f t="shared" si="0"/>
        <v>327.34439639047304</v>
      </c>
      <c r="M5">
        <f t="shared" si="1"/>
        <v>298.55560322805701</v>
      </c>
      <c r="N5">
        <v>312.9499998</v>
      </c>
      <c r="O5">
        <f t="shared" si="2"/>
        <v>315.86536812782276</v>
      </c>
      <c r="P5">
        <f t="shared" si="3"/>
        <v>0</v>
      </c>
    </row>
    <row r="6" spans="1:17" x14ac:dyDescent="0.3">
      <c r="A6" s="1">
        <v>43105</v>
      </c>
      <c r="B6">
        <v>328.95</v>
      </c>
      <c r="C6">
        <v>311.2</v>
      </c>
      <c r="D6">
        <v>17.75</v>
      </c>
      <c r="E6" s="1">
        <v>43196</v>
      </c>
      <c r="F6">
        <v>-8.4144086837768501</v>
      </c>
      <c r="G6">
        <v>-17.75</v>
      </c>
      <c r="J6">
        <v>8.7961091469999992</v>
      </c>
      <c r="K6" s="1">
        <v>43196</v>
      </c>
      <c r="L6">
        <f t="shared" si="0"/>
        <v>325.66080343766799</v>
      </c>
      <c r="M6">
        <f t="shared" si="1"/>
        <v>296.73919656233198</v>
      </c>
      <c r="N6">
        <v>311.2</v>
      </c>
      <c r="O6">
        <f t="shared" si="2"/>
        <v>302.78559131622313</v>
      </c>
      <c r="P6">
        <f t="shared" si="3"/>
        <v>1</v>
      </c>
    </row>
    <row r="7" spans="1:17" x14ac:dyDescent="0.3">
      <c r="A7" s="1">
        <v>43108</v>
      </c>
      <c r="B7">
        <v>331.25</v>
      </c>
      <c r="C7">
        <v>312.950000762939</v>
      </c>
      <c r="D7">
        <v>-18.299999237060501</v>
      </c>
      <c r="E7" s="1">
        <v>43199</v>
      </c>
      <c r="F7">
        <v>4.9030179977416903</v>
      </c>
      <c r="G7">
        <v>-18.299999237060501</v>
      </c>
      <c r="J7">
        <v>8.7566729799999994</v>
      </c>
      <c r="K7" s="1">
        <v>43199</v>
      </c>
      <c r="L7">
        <f t="shared" si="0"/>
        <v>327.345971142059</v>
      </c>
      <c r="M7">
        <f t="shared" si="1"/>
        <v>298.554030383819</v>
      </c>
      <c r="N7">
        <v>312.9500008</v>
      </c>
      <c r="O7">
        <f t="shared" si="2"/>
        <v>317.8530187606807</v>
      </c>
      <c r="P7">
        <f t="shared" si="3"/>
        <v>0</v>
      </c>
    </row>
    <row r="8" spans="1:17" x14ac:dyDescent="0.3">
      <c r="A8" s="1">
        <v>43109</v>
      </c>
      <c r="B8">
        <v>330.45</v>
      </c>
      <c r="C8">
        <v>313.45</v>
      </c>
      <c r="D8">
        <v>17</v>
      </c>
      <c r="E8" s="1">
        <v>43200</v>
      </c>
      <c r="F8">
        <v>-2.8492562770843501</v>
      </c>
      <c r="G8">
        <v>-17</v>
      </c>
      <c r="J8">
        <v>8.6603822919999995</v>
      </c>
      <c r="K8" s="1">
        <v>43200</v>
      </c>
      <c r="L8">
        <f t="shared" si="0"/>
        <v>327.68766848804796</v>
      </c>
      <c r="M8">
        <f t="shared" si="1"/>
        <v>299.21233151195202</v>
      </c>
      <c r="N8">
        <v>313.45</v>
      </c>
      <c r="O8">
        <f t="shared" si="2"/>
        <v>310.60074372291564</v>
      </c>
      <c r="P8">
        <f t="shared" si="3"/>
        <v>1</v>
      </c>
    </row>
    <row r="9" spans="1:17" x14ac:dyDescent="0.3">
      <c r="A9" s="1">
        <v>43110</v>
      </c>
      <c r="B9">
        <v>327.85</v>
      </c>
      <c r="C9">
        <v>312.45000038146901</v>
      </c>
      <c r="D9">
        <v>15.399999618530201</v>
      </c>
      <c r="E9" s="1">
        <v>43201</v>
      </c>
      <c r="F9">
        <v>-0.151143074035644</v>
      </c>
      <c r="G9">
        <v>-15.399999618530201</v>
      </c>
      <c r="J9">
        <v>8.5822216900000008</v>
      </c>
      <c r="K9" s="1">
        <v>43201</v>
      </c>
      <c r="L9">
        <f t="shared" si="0"/>
        <v>326.55917283982899</v>
      </c>
      <c r="M9">
        <f t="shared" si="1"/>
        <v>298.34082792310903</v>
      </c>
      <c r="N9">
        <v>312.45000040000002</v>
      </c>
      <c r="O9">
        <f t="shared" si="2"/>
        <v>312.29885730743337</v>
      </c>
      <c r="P9">
        <f t="shared" si="3"/>
        <v>1</v>
      </c>
    </row>
    <row r="10" spans="1:17" x14ac:dyDescent="0.3">
      <c r="A10" s="1">
        <v>43111</v>
      </c>
      <c r="B10">
        <v>326.5</v>
      </c>
      <c r="C10">
        <v>311.75</v>
      </c>
      <c r="D10">
        <v>-14.75</v>
      </c>
      <c r="E10" s="1">
        <v>43202</v>
      </c>
      <c r="F10">
        <v>4.5017209053039497</v>
      </c>
      <c r="G10">
        <v>-14.75</v>
      </c>
      <c r="J10">
        <v>8.5521052080000004</v>
      </c>
      <c r="K10" s="1">
        <v>43202</v>
      </c>
      <c r="L10">
        <f t="shared" si="0"/>
        <v>325.80966096195198</v>
      </c>
      <c r="M10">
        <f t="shared" si="1"/>
        <v>297.69033903804802</v>
      </c>
      <c r="N10">
        <v>311.75</v>
      </c>
      <c r="O10">
        <f t="shared" si="2"/>
        <v>316.25172090530396</v>
      </c>
      <c r="P10">
        <f t="shared" si="3"/>
        <v>0</v>
      </c>
    </row>
    <row r="11" spans="1:17" x14ac:dyDescent="0.3">
      <c r="A11" s="1">
        <v>43112</v>
      </c>
      <c r="B11">
        <v>326.85000000000002</v>
      </c>
      <c r="C11">
        <v>314.45000038146901</v>
      </c>
      <c r="D11">
        <v>12.399999618530201</v>
      </c>
      <c r="E11" s="1">
        <v>43203</v>
      </c>
      <c r="F11">
        <v>-6.4348702430725098</v>
      </c>
      <c r="G11">
        <v>-12.399999618530201</v>
      </c>
      <c r="J11">
        <v>8.5101672700000002</v>
      </c>
      <c r="K11" s="1">
        <v>43203</v>
      </c>
      <c r="L11">
        <f t="shared" si="0"/>
        <v>328.44071537334901</v>
      </c>
      <c r="M11">
        <f t="shared" si="1"/>
        <v>300.45928538958901</v>
      </c>
      <c r="N11">
        <v>314.45000040000002</v>
      </c>
      <c r="O11">
        <f t="shared" si="2"/>
        <v>308.0151301383965</v>
      </c>
      <c r="P11">
        <f t="shared" si="3"/>
        <v>1</v>
      </c>
    </row>
    <row r="12" spans="1:17" x14ac:dyDescent="0.3">
      <c r="A12" s="1">
        <v>43115</v>
      </c>
      <c r="B12">
        <v>327.3</v>
      </c>
      <c r="C12">
        <v>314.3</v>
      </c>
      <c r="D12">
        <v>13</v>
      </c>
      <c r="E12" s="1">
        <v>43206</v>
      </c>
      <c r="F12">
        <v>-9.9945964813232404</v>
      </c>
      <c r="G12">
        <v>-13</v>
      </c>
      <c r="J12">
        <v>8.4597351540000005</v>
      </c>
      <c r="K12" s="1">
        <v>43206</v>
      </c>
      <c r="L12">
        <f t="shared" si="0"/>
        <v>328.20780459317604</v>
      </c>
      <c r="M12">
        <f t="shared" si="1"/>
        <v>300.39219540682399</v>
      </c>
      <c r="N12">
        <v>314.3</v>
      </c>
      <c r="O12">
        <f t="shared" si="2"/>
        <v>304.30540351867677</v>
      </c>
      <c r="P12">
        <f t="shared" si="3"/>
        <v>1</v>
      </c>
    </row>
    <row r="13" spans="1:17" x14ac:dyDescent="0.3">
      <c r="A13" s="1">
        <v>43116</v>
      </c>
      <c r="B13">
        <v>330.5</v>
      </c>
      <c r="C13">
        <v>314.39999961852999</v>
      </c>
      <c r="D13">
        <v>16.100000381469702</v>
      </c>
      <c r="E13" s="1">
        <v>43207</v>
      </c>
      <c r="F13">
        <v>-5.3613438606262198</v>
      </c>
      <c r="G13">
        <v>-16.100000381469702</v>
      </c>
      <c r="J13">
        <v>8.3965315020000002</v>
      </c>
      <c r="K13" s="1">
        <v>43207</v>
      </c>
      <c r="L13">
        <f t="shared" si="0"/>
        <v>328.20389740781798</v>
      </c>
      <c r="M13">
        <f t="shared" si="1"/>
        <v>300.596101829242</v>
      </c>
      <c r="N13">
        <v>314.3999996</v>
      </c>
      <c r="O13">
        <f t="shared" si="2"/>
        <v>309.03865575790377</v>
      </c>
      <c r="P13">
        <f t="shared" si="3"/>
        <v>1</v>
      </c>
    </row>
    <row r="14" spans="1:17" x14ac:dyDescent="0.3">
      <c r="A14" s="1">
        <v>43117</v>
      </c>
      <c r="B14">
        <v>329.2</v>
      </c>
      <c r="C14">
        <v>317.59999961852998</v>
      </c>
      <c r="D14">
        <v>11.6000003814697</v>
      </c>
      <c r="E14" s="1">
        <v>43208</v>
      </c>
      <c r="F14">
        <v>-3.3232975006103498</v>
      </c>
      <c r="G14">
        <v>-11.6000003814697</v>
      </c>
      <c r="J14">
        <v>8.2515834459999997</v>
      </c>
      <c r="K14" s="1">
        <v>43208</v>
      </c>
      <c r="L14">
        <f t="shared" si="0"/>
        <v>331.16560280375398</v>
      </c>
      <c r="M14">
        <f t="shared" si="1"/>
        <v>304.03439643330597</v>
      </c>
      <c r="N14">
        <v>317.59999959999999</v>
      </c>
      <c r="O14">
        <f t="shared" si="2"/>
        <v>314.27670211791963</v>
      </c>
      <c r="P14">
        <f t="shared" si="3"/>
        <v>1</v>
      </c>
    </row>
    <row r="15" spans="1:17" x14ac:dyDescent="0.3">
      <c r="A15" s="1">
        <v>43118</v>
      </c>
      <c r="B15">
        <v>329.4</v>
      </c>
      <c r="C15">
        <v>319.00000038146902</v>
      </c>
      <c r="D15">
        <v>10.399999618530201</v>
      </c>
      <c r="E15" s="1">
        <v>43209</v>
      </c>
      <c r="F15">
        <v>-3.7410356998443599</v>
      </c>
      <c r="G15">
        <v>-10.399999618530201</v>
      </c>
      <c r="J15">
        <v>8.1308038979999999</v>
      </c>
      <c r="K15" s="1">
        <v>43209</v>
      </c>
      <c r="L15">
        <f t="shared" si="0"/>
        <v>332.367041989781</v>
      </c>
      <c r="M15">
        <f t="shared" si="1"/>
        <v>305.63295877315704</v>
      </c>
      <c r="N15">
        <v>319.00000039999998</v>
      </c>
      <c r="O15">
        <f t="shared" si="2"/>
        <v>315.25896468162466</v>
      </c>
      <c r="P15">
        <f t="shared" si="3"/>
        <v>1</v>
      </c>
    </row>
    <row r="16" spans="1:17" x14ac:dyDescent="0.3">
      <c r="A16" s="1">
        <v>43119</v>
      </c>
      <c r="B16">
        <v>329.6</v>
      </c>
      <c r="C16">
        <v>316.90000019073398</v>
      </c>
      <c r="D16">
        <v>-12.699999809265099</v>
      </c>
      <c r="E16" s="1">
        <v>43210</v>
      </c>
      <c r="F16">
        <v>0.28421917557716297</v>
      </c>
      <c r="G16">
        <v>-12.699999809265099</v>
      </c>
      <c r="J16">
        <v>7.9990242699999996</v>
      </c>
      <c r="K16" s="1">
        <v>43210</v>
      </c>
      <c r="L16">
        <f t="shared" si="0"/>
        <v>330.05039609061396</v>
      </c>
      <c r="M16">
        <f t="shared" si="1"/>
        <v>303.74960429085399</v>
      </c>
      <c r="N16">
        <v>316.90000020000002</v>
      </c>
      <c r="O16">
        <f t="shared" si="2"/>
        <v>317.18421936631114</v>
      </c>
      <c r="P16">
        <f t="shared" si="3"/>
        <v>0</v>
      </c>
    </row>
    <row r="17" spans="1:16" x14ac:dyDescent="0.3">
      <c r="A17" s="1">
        <v>43122</v>
      </c>
      <c r="B17">
        <v>326.25</v>
      </c>
      <c r="C17">
        <v>317.10000038146899</v>
      </c>
      <c r="D17">
        <v>-9.1499996185302699</v>
      </c>
      <c r="E17" s="1">
        <v>43213</v>
      </c>
      <c r="F17">
        <v>2.7421600818634002</v>
      </c>
      <c r="G17">
        <v>-9.1499996185302699</v>
      </c>
      <c r="J17">
        <v>7.8555101440000001</v>
      </c>
      <c r="K17" s="1">
        <v>43213</v>
      </c>
      <c r="L17">
        <f t="shared" si="0"/>
        <v>330.01445905820498</v>
      </c>
      <c r="M17">
        <f t="shared" si="1"/>
        <v>304.185541704733</v>
      </c>
      <c r="N17">
        <v>317.1000004</v>
      </c>
      <c r="O17">
        <f t="shared" si="2"/>
        <v>319.84216046333239</v>
      </c>
      <c r="P17">
        <f t="shared" si="3"/>
        <v>0</v>
      </c>
    </row>
    <row r="18" spans="1:16" x14ac:dyDescent="0.3">
      <c r="A18" s="1">
        <v>43123</v>
      </c>
      <c r="B18">
        <v>331.25</v>
      </c>
      <c r="C18">
        <v>315.35000038146899</v>
      </c>
      <c r="D18">
        <v>15.899999618530201</v>
      </c>
      <c r="E18" s="1">
        <v>43214</v>
      </c>
      <c r="F18">
        <v>-2.7042598724365199</v>
      </c>
      <c r="G18">
        <v>-15.899999618530201</v>
      </c>
      <c r="J18">
        <v>7.7795058299999997</v>
      </c>
      <c r="K18" s="1">
        <v>43214</v>
      </c>
      <c r="L18">
        <f t="shared" si="0"/>
        <v>328.13950796598897</v>
      </c>
      <c r="M18">
        <f t="shared" si="1"/>
        <v>302.56049279694901</v>
      </c>
      <c r="N18">
        <v>315.3500004</v>
      </c>
      <c r="O18">
        <f t="shared" si="2"/>
        <v>312.64574050903246</v>
      </c>
      <c r="P18">
        <f t="shared" si="3"/>
        <v>1</v>
      </c>
    </row>
    <row r="19" spans="1:16" x14ac:dyDescent="0.3">
      <c r="A19" s="1">
        <v>43124</v>
      </c>
      <c r="B19">
        <v>331.6</v>
      </c>
      <c r="C19">
        <v>312.95000038146901</v>
      </c>
      <c r="D19">
        <v>18.649999618530199</v>
      </c>
      <c r="E19" s="1">
        <v>43215</v>
      </c>
      <c r="F19">
        <v>-1.8905824422836299</v>
      </c>
      <c r="G19">
        <v>-18.649999618530199</v>
      </c>
      <c r="J19">
        <v>7.5940152489999999</v>
      </c>
      <c r="K19" s="1">
        <v>43215</v>
      </c>
      <c r="L19">
        <f t="shared" si="0"/>
        <v>325.43456145082502</v>
      </c>
      <c r="M19">
        <f t="shared" si="1"/>
        <v>300.46543931211301</v>
      </c>
      <c r="N19">
        <v>312.95000040000002</v>
      </c>
      <c r="O19">
        <f t="shared" si="2"/>
        <v>311.05941793918538</v>
      </c>
      <c r="P19">
        <f t="shared" si="3"/>
        <v>1</v>
      </c>
    </row>
    <row r="20" spans="1:16" x14ac:dyDescent="0.3">
      <c r="A20" s="1">
        <v>43125</v>
      </c>
      <c r="B20">
        <v>334.3</v>
      </c>
      <c r="C20">
        <v>317.44999961853</v>
      </c>
      <c r="D20">
        <v>-16.850000381469702</v>
      </c>
      <c r="E20" s="1">
        <v>43216</v>
      </c>
      <c r="F20">
        <v>0.83789849281311002</v>
      </c>
      <c r="G20">
        <v>-16.850000381469702</v>
      </c>
      <c r="J20">
        <v>7.3689394520000002</v>
      </c>
      <c r="K20" s="1">
        <v>43216</v>
      </c>
      <c r="L20">
        <f t="shared" si="0"/>
        <v>329.56453607761802</v>
      </c>
      <c r="M20">
        <f t="shared" si="1"/>
        <v>305.33546315944199</v>
      </c>
      <c r="N20">
        <v>317.44999960000001</v>
      </c>
      <c r="O20">
        <f t="shared" si="2"/>
        <v>318.28789811134311</v>
      </c>
      <c r="P20">
        <f t="shared" si="3"/>
        <v>0</v>
      </c>
    </row>
    <row r="21" spans="1:16" x14ac:dyDescent="0.3">
      <c r="A21" s="1">
        <v>43126</v>
      </c>
      <c r="B21">
        <v>335.95</v>
      </c>
      <c r="C21">
        <v>320.14999980926501</v>
      </c>
      <c r="D21">
        <v>15.800000190734799</v>
      </c>
      <c r="E21" s="1">
        <v>43217</v>
      </c>
      <c r="F21">
        <v>-5.35211133956909</v>
      </c>
      <c r="G21">
        <v>-15.800000190734799</v>
      </c>
      <c r="J21">
        <v>7.0473106510000001</v>
      </c>
      <c r="K21" s="1">
        <v>43217</v>
      </c>
      <c r="L21">
        <f t="shared" si="0"/>
        <v>331.73577851950904</v>
      </c>
      <c r="M21">
        <f t="shared" si="1"/>
        <v>308.56422109902098</v>
      </c>
      <c r="N21">
        <v>320.14999979999999</v>
      </c>
      <c r="O21">
        <f t="shared" si="2"/>
        <v>314.79788846969592</v>
      </c>
      <c r="P21">
        <f t="shared" si="3"/>
        <v>1</v>
      </c>
    </row>
    <row r="22" spans="1:16" x14ac:dyDescent="0.3">
      <c r="A22" s="1">
        <v>43129</v>
      </c>
      <c r="B22">
        <v>338.5</v>
      </c>
      <c r="C22">
        <v>321.64999961852999</v>
      </c>
      <c r="D22">
        <v>-16.850000381469702</v>
      </c>
      <c r="E22" s="1">
        <v>43220</v>
      </c>
      <c r="F22">
        <v>1.0447537899017301</v>
      </c>
      <c r="G22">
        <v>-16.850000381469702</v>
      </c>
      <c r="J22">
        <v>6.6476251959999999</v>
      </c>
      <c r="K22" s="1">
        <v>43220</v>
      </c>
      <c r="L22">
        <f t="shared" si="0"/>
        <v>332.57869544075396</v>
      </c>
      <c r="M22">
        <f t="shared" si="1"/>
        <v>310.72130379630602</v>
      </c>
      <c r="N22">
        <v>321.6499996</v>
      </c>
      <c r="O22">
        <f t="shared" si="2"/>
        <v>322.69475340843172</v>
      </c>
      <c r="P22">
        <f t="shared" si="3"/>
        <v>0</v>
      </c>
    </row>
    <row r="23" spans="1:16" x14ac:dyDescent="0.3">
      <c r="A23" s="1">
        <v>43130</v>
      </c>
      <c r="B23">
        <v>333.9</v>
      </c>
      <c r="C23">
        <v>321.64999999999998</v>
      </c>
      <c r="D23">
        <v>-12.25</v>
      </c>
      <c r="E23" s="1">
        <v>43221</v>
      </c>
      <c r="F23">
        <v>3.8422601222991899</v>
      </c>
      <c r="G23">
        <v>-12.25</v>
      </c>
      <c r="J23">
        <v>6.0792921560000002</v>
      </c>
      <c r="K23" s="1">
        <v>43221</v>
      </c>
      <c r="L23">
        <f t="shared" si="0"/>
        <v>331.644356304464</v>
      </c>
      <c r="M23">
        <f t="shared" si="1"/>
        <v>311.65564369553596</v>
      </c>
      <c r="N23">
        <v>321.64999999999998</v>
      </c>
      <c r="O23">
        <f t="shared" si="2"/>
        <v>325.49226012229917</v>
      </c>
      <c r="P23">
        <f t="shared" si="3"/>
        <v>0</v>
      </c>
    </row>
    <row r="24" spans="1:16" x14ac:dyDescent="0.3">
      <c r="A24" s="1">
        <v>43131</v>
      </c>
      <c r="B24">
        <v>334.45</v>
      </c>
      <c r="C24">
        <v>319.750000190734</v>
      </c>
      <c r="D24">
        <v>-14.699999809265099</v>
      </c>
      <c r="E24" s="1">
        <v>43222</v>
      </c>
      <c r="F24">
        <v>9.6665182113647408</v>
      </c>
      <c r="G24">
        <v>-14.699999809265099</v>
      </c>
      <c r="J24">
        <v>5.6741901239999999</v>
      </c>
      <c r="K24" s="1">
        <v>43222</v>
      </c>
      <c r="L24">
        <f t="shared" si="0"/>
        <v>329.07836875458997</v>
      </c>
      <c r="M24">
        <f t="shared" si="1"/>
        <v>310.42163162687802</v>
      </c>
      <c r="N24">
        <v>319.75000019999999</v>
      </c>
      <c r="O24">
        <f t="shared" si="2"/>
        <v>329.41651840209875</v>
      </c>
      <c r="P24">
        <f t="shared" si="3"/>
        <v>0</v>
      </c>
    </row>
    <row r="25" spans="1:16" x14ac:dyDescent="0.3">
      <c r="A25" s="1">
        <v>43132</v>
      </c>
      <c r="B25">
        <v>333.65</v>
      </c>
      <c r="C25">
        <v>318.00000038146902</v>
      </c>
      <c r="D25">
        <v>-15.649999618530201</v>
      </c>
      <c r="E25" s="1">
        <v>43223</v>
      </c>
      <c r="F25">
        <v>3.58040118217468</v>
      </c>
      <c r="G25">
        <v>-15.649999618530201</v>
      </c>
      <c r="J25">
        <v>5.1814572679999999</v>
      </c>
      <c r="K25" s="1">
        <v>43223</v>
      </c>
      <c r="L25">
        <f t="shared" si="0"/>
        <v>326.51831613006101</v>
      </c>
      <c r="M25">
        <f t="shared" si="1"/>
        <v>309.48168463287703</v>
      </c>
      <c r="N25">
        <v>318.00000039999998</v>
      </c>
      <c r="O25">
        <f t="shared" si="2"/>
        <v>321.5804015636437</v>
      </c>
      <c r="P25">
        <f t="shared" si="3"/>
        <v>0</v>
      </c>
    </row>
    <row r="26" spans="1:16" x14ac:dyDescent="0.3">
      <c r="A26" s="1">
        <v>43133</v>
      </c>
      <c r="B26">
        <v>327.39999999999998</v>
      </c>
      <c r="C26">
        <v>316.45000019073399</v>
      </c>
      <c r="D26">
        <v>-10.949999809265099</v>
      </c>
      <c r="E26" s="1">
        <v>43224</v>
      </c>
      <c r="F26">
        <v>15.226380348205501</v>
      </c>
      <c r="G26">
        <v>-10.949999809265099</v>
      </c>
      <c r="J26">
        <v>4.6627915770000001</v>
      </c>
      <c r="K26" s="1">
        <v>43224</v>
      </c>
      <c r="L26">
        <f t="shared" si="0"/>
        <v>324.11562954332197</v>
      </c>
      <c r="M26">
        <f t="shared" si="1"/>
        <v>308.784370838146</v>
      </c>
      <c r="N26">
        <v>316.45000019999998</v>
      </c>
      <c r="O26">
        <f t="shared" si="2"/>
        <v>331.6763805389395</v>
      </c>
      <c r="P26">
        <f t="shared" si="3"/>
        <v>0</v>
      </c>
    </row>
    <row r="27" spans="1:16" x14ac:dyDescent="0.3">
      <c r="A27" s="1">
        <v>43136</v>
      </c>
      <c r="B27">
        <v>323</v>
      </c>
      <c r="C27">
        <v>316.44999980926502</v>
      </c>
      <c r="D27">
        <v>-6.5500001907348597</v>
      </c>
      <c r="E27" s="1">
        <v>43227</v>
      </c>
      <c r="F27">
        <v>24.160068511962798</v>
      </c>
      <c r="G27">
        <v>-6.5500001907348597</v>
      </c>
      <c r="J27">
        <v>4.4127221250000002</v>
      </c>
      <c r="K27" s="1">
        <v>43227</v>
      </c>
      <c r="L27">
        <f t="shared" si="0"/>
        <v>323.70451498276503</v>
      </c>
      <c r="M27">
        <f t="shared" si="1"/>
        <v>309.19548463576501</v>
      </c>
      <c r="N27">
        <v>316.4499998</v>
      </c>
      <c r="O27">
        <f t="shared" si="2"/>
        <v>340.6100683212278</v>
      </c>
      <c r="P27">
        <f t="shared" si="3"/>
        <v>0</v>
      </c>
    </row>
    <row r="28" spans="1:16" x14ac:dyDescent="0.3">
      <c r="A28" s="1">
        <v>43137</v>
      </c>
      <c r="B28">
        <v>317.64999999999998</v>
      </c>
      <c r="C28">
        <v>314.05000009536701</v>
      </c>
      <c r="D28">
        <v>-3.5999999046325599</v>
      </c>
      <c r="E28" s="1">
        <v>43228</v>
      </c>
      <c r="F28">
        <v>22.6218166351318</v>
      </c>
      <c r="G28">
        <v>-3.5999999046325599</v>
      </c>
      <c r="J28">
        <v>4.3025482369999999</v>
      </c>
      <c r="K28" s="1">
        <v>43228</v>
      </c>
      <c r="L28">
        <f t="shared" si="0"/>
        <v>321.12338939699504</v>
      </c>
      <c r="M28">
        <f t="shared" si="1"/>
        <v>306.97661079373898</v>
      </c>
      <c r="N28">
        <v>314.05000009999998</v>
      </c>
      <c r="O28">
        <f t="shared" si="2"/>
        <v>336.67181673049879</v>
      </c>
      <c r="P28">
        <f t="shared" si="3"/>
        <v>0</v>
      </c>
    </row>
    <row r="29" spans="1:16" x14ac:dyDescent="0.3">
      <c r="A29" s="1">
        <v>43138</v>
      </c>
      <c r="B29">
        <v>309.5</v>
      </c>
      <c r="C29">
        <v>314.05000019073401</v>
      </c>
      <c r="D29">
        <v>4.5500001907348597</v>
      </c>
      <c r="E29" s="1">
        <v>43229</v>
      </c>
      <c r="F29">
        <v>18.501806259155199</v>
      </c>
      <c r="G29">
        <v>4.5500001907348597</v>
      </c>
      <c r="J29">
        <v>4.2908593279999998</v>
      </c>
      <c r="K29" s="1">
        <v>43229</v>
      </c>
      <c r="L29">
        <f t="shared" si="0"/>
        <v>321.104172925966</v>
      </c>
      <c r="M29">
        <f t="shared" si="1"/>
        <v>306.99582745550202</v>
      </c>
      <c r="N29">
        <v>314.0500002</v>
      </c>
      <c r="O29">
        <f t="shared" si="2"/>
        <v>332.55180644988923</v>
      </c>
      <c r="P29">
        <f t="shared" si="3"/>
        <v>0</v>
      </c>
    </row>
    <row r="30" spans="1:16" x14ac:dyDescent="0.3">
      <c r="A30" s="1">
        <v>43139</v>
      </c>
      <c r="B30">
        <v>312.5</v>
      </c>
      <c r="C30">
        <v>315.849999904632</v>
      </c>
      <c r="D30">
        <v>3.3499999046325599</v>
      </c>
      <c r="E30" s="1">
        <v>43230</v>
      </c>
      <c r="F30">
        <v>16.919561386108398</v>
      </c>
      <c r="G30">
        <v>3.3499999046325599</v>
      </c>
      <c r="J30">
        <v>4.238423697</v>
      </c>
      <c r="K30" s="1">
        <v>43230</v>
      </c>
      <c r="L30">
        <f t="shared" si="0"/>
        <v>322.8179684625</v>
      </c>
      <c r="M30">
        <f t="shared" si="1"/>
        <v>308.88203134676399</v>
      </c>
      <c r="N30">
        <v>315.8499999</v>
      </c>
      <c r="O30">
        <f t="shared" si="2"/>
        <v>332.7695612907404</v>
      </c>
      <c r="P30">
        <f t="shared" si="3"/>
        <v>0</v>
      </c>
    </row>
    <row r="31" spans="1:16" x14ac:dyDescent="0.3">
      <c r="A31" s="1">
        <v>43140</v>
      </c>
      <c r="B31">
        <v>303.85000000000002</v>
      </c>
      <c r="C31">
        <v>317.65000019073398</v>
      </c>
      <c r="D31">
        <v>13.800000190734799</v>
      </c>
      <c r="E31" s="1">
        <v>43231</v>
      </c>
      <c r="F31">
        <v>17.1640605926513</v>
      </c>
      <c r="G31">
        <v>13.800000190734799</v>
      </c>
      <c r="J31">
        <v>4.2388697669999997</v>
      </c>
      <c r="K31" s="1">
        <v>43231</v>
      </c>
      <c r="L31">
        <f t="shared" si="0"/>
        <v>324.61870208768198</v>
      </c>
      <c r="M31">
        <f t="shared" si="1"/>
        <v>310.68129829378597</v>
      </c>
      <c r="N31">
        <v>317.65000020000002</v>
      </c>
      <c r="O31">
        <f t="shared" si="2"/>
        <v>334.81406078338529</v>
      </c>
      <c r="P31">
        <f t="shared" si="3"/>
        <v>0</v>
      </c>
    </row>
    <row r="32" spans="1:16" x14ac:dyDescent="0.3">
      <c r="A32" s="1">
        <v>43143</v>
      </c>
      <c r="B32">
        <v>308.10000000000002</v>
      </c>
      <c r="C32">
        <v>316.85000000000002</v>
      </c>
      <c r="D32">
        <v>8.75</v>
      </c>
      <c r="E32" s="1">
        <v>43234</v>
      </c>
      <c r="F32">
        <v>16.020664215087798</v>
      </c>
      <c r="G32">
        <v>8.75</v>
      </c>
      <c r="J32">
        <v>4.0040682250000001</v>
      </c>
      <c r="K32" s="1">
        <v>43234</v>
      </c>
      <c r="L32">
        <f t="shared" si="0"/>
        <v>323.43268816190005</v>
      </c>
      <c r="M32">
        <f t="shared" si="1"/>
        <v>310.2673118381</v>
      </c>
      <c r="N32">
        <v>316.85000000000002</v>
      </c>
      <c r="O32">
        <f t="shared" si="2"/>
        <v>332.8706642150878</v>
      </c>
      <c r="P32">
        <f t="shared" si="3"/>
        <v>0</v>
      </c>
    </row>
    <row r="33" spans="1:16" x14ac:dyDescent="0.3">
      <c r="A33" s="1">
        <v>43144</v>
      </c>
      <c r="B33">
        <v>311.39999999999998</v>
      </c>
      <c r="C33">
        <v>313.74999990463198</v>
      </c>
      <c r="D33">
        <v>2.3499999046325599</v>
      </c>
      <c r="E33" s="1">
        <v>43235</v>
      </c>
      <c r="F33">
        <v>16.032781600952099</v>
      </c>
      <c r="G33">
        <v>2.3499999046325599</v>
      </c>
      <c r="J33">
        <v>3.907273118</v>
      </c>
      <c r="K33" s="1">
        <v>43235</v>
      </c>
      <c r="L33">
        <f t="shared" si="0"/>
        <v>320.17355691062397</v>
      </c>
      <c r="M33">
        <f t="shared" si="1"/>
        <v>307.32644289863998</v>
      </c>
      <c r="N33">
        <v>313.74999989999998</v>
      </c>
      <c r="O33">
        <f t="shared" si="2"/>
        <v>329.78278150558407</v>
      </c>
      <c r="P33">
        <f t="shared" si="3"/>
        <v>0</v>
      </c>
    </row>
    <row r="34" spans="1:16" x14ac:dyDescent="0.3">
      <c r="A34" s="1">
        <v>43145</v>
      </c>
      <c r="B34">
        <v>314.3</v>
      </c>
      <c r="C34">
        <v>314.90000002384102</v>
      </c>
      <c r="D34">
        <v>0.60000002384185702</v>
      </c>
      <c r="E34" s="1">
        <v>43236</v>
      </c>
      <c r="F34">
        <v>18.5603122711181</v>
      </c>
      <c r="G34">
        <v>0.60000002384185702</v>
      </c>
      <c r="J34">
        <v>3.8761523590000002</v>
      </c>
      <c r="K34" s="1">
        <v>43236</v>
      </c>
      <c r="L34">
        <f t="shared" si="0"/>
        <v>321.272394502037</v>
      </c>
      <c r="M34">
        <f t="shared" si="1"/>
        <v>308.52760554564503</v>
      </c>
      <c r="N34">
        <v>314.89999999999998</v>
      </c>
      <c r="O34">
        <f t="shared" si="2"/>
        <v>333.46031229495912</v>
      </c>
      <c r="P34">
        <f t="shared" si="3"/>
        <v>0</v>
      </c>
    </row>
    <row r="35" spans="1:16" x14ac:dyDescent="0.3">
      <c r="A35" s="1">
        <v>43146</v>
      </c>
      <c r="B35">
        <v>314.3</v>
      </c>
      <c r="C35">
        <v>313.40000002384102</v>
      </c>
      <c r="D35">
        <v>-0.89999997615814198</v>
      </c>
      <c r="E35" s="1">
        <v>43237</v>
      </c>
      <c r="F35">
        <v>12.126252174377401</v>
      </c>
      <c r="G35">
        <v>-0.89999997615814198</v>
      </c>
      <c r="J35">
        <v>3.881752782</v>
      </c>
      <c r="K35" s="1">
        <v>43237</v>
      </c>
      <c r="L35">
        <f t="shared" si="0"/>
        <v>319.78160159744903</v>
      </c>
      <c r="M35">
        <f t="shared" si="1"/>
        <v>307.01839845023301</v>
      </c>
      <c r="N35">
        <v>313.39999999999998</v>
      </c>
      <c r="O35">
        <f t="shared" si="2"/>
        <v>325.5262521982184</v>
      </c>
      <c r="P35">
        <f t="shared" si="3"/>
        <v>0</v>
      </c>
    </row>
    <row r="36" spans="1:16" x14ac:dyDescent="0.3">
      <c r="A36" s="1">
        <v>43147</v>
      </c>
      <c r="B36">
        <v>314.3</v>
      </c>
      <c r="C36">
        <v>314.74999998807903</v>
      </c>
      <c r="D36">
        <v>0.44999998807907099</v>
      </c>
      <c r="E36" s="1">
        <v>43238</v>
      </c>
      <c r="F36">
        <v>22.767580032348601</v>
      </c>
      <c r="G36">
        <v>0.44999998807907099</v>
      </c>
      <c r="J36">
        <v>3.8801642030000001</v>
      </c>
      <c r="K36" s="1">
        <v>43238</v>
      </c>
      <c r="L36">
        <f t="shared" si="0"/>
        <v>321.12898993781101</v>
      </c>
      <c r="M36">
        <f t="shared" si="1"/>
        <v>308.37101003834704</v>
      </c>
      <c r="N36">
        <v>314.75</v>
      </c>
      <c r="O36">
        <f t="shared" si="2"/>
        <v>337.5175800204276</v>
      </c>
      <c r="P36">
        <f t="shared" si="3"/>
        <v>0</v>
      </c>
    </row>
    <row r="37" spans="1:16" x14ac:dyDescent="0.3">
      <c r="A37" s="1">
        <v>43150</v>
      </c>
      <c r="B37">
        <v>316.25</v>
      </c>
      <c r="C37">
        <v>315.10000002384101</v>
      </c>
      <c r="D37">
        <v>-1.1499999761581401</v>
      </c>
      <c r="E37" s="1">
        <v>43241</v>
      </c>
      <c r="F37">
        <v>14.6666507720947</v>
      </c>
      <c r="G37">
        <v>-1.1499999761581401</v>
      </c>
      <c r="J37">
        <v>3.8778638559999998</v>
      </c>
      <c r="K37" s="1">
        <v>43241</v>
      </c>
      <c r="L37">
        <f t="shared" si="0"/>
        <v>321.47520820310501</v>
      </c>
      <c r="M37">
        <f t="shared" si="1"/>
        <v>308.724791844577</v>
      </c>
      <c r="N37">
        <v>315.10000000000002</v>
      </c>
      <c r="O37">
        <f t="shared" si="2"/>
        <v>329.76665079593573</v>
      </c>
      <c r="P37">
        <f t="shared" si="3"/>
        <v>0</v>
      </c>
    </row>
    <row r="38" spans="1:16" x14ac:dyDescent="0.3">
      <c r="A38" s="1">
        <v>43151</v>
      </c>
      <c r="B38">
        <v>312</v>
      </c>
      <c r="C38">
        <v>315.099999904632</v>
      </c>
      <c r="D38">
        <v>3.0999999046325599</v>
      </c>
      <c r="E38" s="1">
        <v>43242</v>
      </c>
      <c r="F38">
        <v>14.889960289001399</v>
      </c>
      <c r="G38">
        <v>3.0999999046325599</v>
      </c>
      <c r="J38">
        <v>3.876710992</v>
      </c>
      <c r="K38" s="1">
        <v>43242</v>
      </c>
      <c r="L38">
        <f t="shared" si="0"/>
        <v>321.47331277548</v>
      </c>
      <c r="M38">
        <f t="shared" si="1"/>
        <v>308.726687033784</v>
      </c>
      <c r="N38">
        <v>315.0999999</v>
      </c>
      <c r="O38">
        <f t="shared" si="2"/>
        <v>329.98996019363341</v>
      </c>
      <c r="P38">
        <f t="shared" si="3"/>
        <v>0</v>
      </c>
    </row>
    <row r="39" spans="1:16" x14ac:dyDescent="0.3">
      <c r="A39" s="1">
        <v>43152</v>
      </c>
      <c r="B39">
        <v>314.05</v>
      </c>
      <c r="C39">
        <v>317.14999990463201</v>
      </c>
      <c r="D39">
        <v>3.0999999046325599</v>
      </c>
      <c r="E39" s="1">
        <v>43243</v>
      </c>
      <c r="F39">
        <v>10.505091667175201</v>
      </c>
      <c r="G39">
        <v>3.0999999046325599</v>
      </c>
      <c r="J39">
        <v>3.8587321879999998</v>
      </c>
      <c r="K39" s="1">
        <v>43243</v>
      </c>
      <c r="L39">
        <f t="shared" si="0"/>
        <v>323.493755621704</v>
      </c>
      <c r="M39">
        <f t="shared" si="1"/>
        <v>310.80624418756003</v>
      </c>
      <c r="N39">
        <v>317.14999990000001</v>
      </c>
      <c r="O39">
        <f t="shared" si="2"/>
        <v>327.65509157180719</v>
      </c>
      <c r="P39">
        <f t="shared" si="3"/>
        <v>0</v>
      </c>
    </row>
    <row r="40" spans="1:16" x14ac:dyDescent="0.3">
      <c r="A40" s="1">
        <v>43153</v>
      </c>
      <c r="B40">
        <v>311.85000000000002</v>
      </c>
      <c r="C40">
        <v>316.54999980926499</v>
      </c>
      <c r="D40">
        <v>4.6999998092651296</v>
      </c>
      <c r="E40" s="1">
        <v>43244</v>
      </c>
      <c r="F40">
        <v>16.363294601440401</v>
      </c>
      <c r="G40">
        <v>4.6999998092651296</v>
      </c>
      <c r="J40">
        <v>3.8566324220000001</v>
      </c>
      <c r="K40" s="1">
        <v>43244</v>
      </c>
      <c r="L40">
        <f t="shared" si="0"/>
        <v>322.89030351103298</v>
      </c>
      <c r="M40">
        <f t="shared" si="1"/>
        <v>310.209696107497</v>
      </c>
      <c r="N40">
        <v>316.54999980000002</v>
      </c>
      <c r="O40">
        <f t="shared" si="2"/>
        <v>332.91329441070536</v>
      </c>
      <c r="P40">
        <f t="shared" si="3"/>
        <v>0</v>
      </c>
    </row>
    <row r="41" spans="1:16" x14ac:dyDescent="0.3">
      <c r="A41" s="1">
        <v>43154</v>
      </c>
      <c r="B41">
        <v>316.95</v>
      </c>
      <c r="C41">
        <v>317.29999999403901</v>
      </c>
      <c r="D41">
        <v>0.34999999403953502</v>
      </c>
      <c r="E41" s="1">
        <v>43245</v>
      </c>
      <c r="F41">
        <v>9.6598577499389595</v>
      </c>
      <c r="G41">
        <v>0.34999999403953502</v>
      </c>
      <c r="J41">
        <v>3.8349211269999999</v>
      </c>
      <c r="K41" s="1">
        <v>43245</v>
      </c>
      <c r="L41">
        <f t="shared" si="0"/>
        <v>323.60461032682701</v>
      </c>
      <c r="M41">
        <f t="shared" si="1"/>
        <v>310.99538966125101</v>
      </c>
      <c r="N41">
        <v>317.3</v>
      </c>
      <c r="O41">
        <f t="shared" si="2"/>
        <v>326.95985774397798</v>
      </c>
      <c r="P41">
        <f t="shared" si="3"/>
        <v>0</v>
      </c>
    </row>
    <row r="42" spans="1:16" x14ac:dyDescent="0.3">
      <c r="A42" s="1">
        <v>43157</v>
      </c>
      <c r="B42">
        <v>317.10000000000002</v>
      </c>
      <c r="C42">
        <v>318.10000000000002</v>
      </c>
      <c r="D42">
        <v>1</v>
      </c>
      <c r="E42" s="1">
        <v>43248</v>
      </c>
      <c r="F42">
        <v>6.3997383117675701</v>
      </c>
      <c r="G42">
        <v>1</v>
      </c>
      <c r="J42">
        <v>3.8436959100000001</v>
      </c>
      <c r="K42" s="1">
        <v>43248</v>
      </c>
      <c r="L42">
        <f t="shared" si="0"/>
        <v>324.41903607604002</v>
      </c>
      <c r="M42">
        <f t="shared" si="1"/>
        <v>311.78096392396003</v>
      </c>
      <c r="N42">
        <v>318.10000000000002</v>
      </c>
      <c r="O42">
        <f t="shared" si="2"/>
        <v>324.4997383117676</v>
      </c>
      <c r="P42">
        <f t="shared" si="3"/>
        <v>0</v>
      </c>
    </row>
    <row r="43" spans="1:16" x14ac:dyDescent="0.3">
      <c r="A43" s="1">
        <v>43158</v>
      </c>
      <c r="B43">
        <v>315.75</v>
      </c>
      <c r="C43">
        <v>314.89999997615803</v>
      </c>
      <c r="D43">
        <v>-0.85000002384185702</v>
      </c>
      <c r="E43" s="1">
        <v>43249</v>
      </c>
      <c r="F43">
        <v>3.8894362449645898</v>
      </c>
      <c r="G43">
        <v>-0.85000002384185702</v>
      </c>
      <c r="J43">
        <v>3.8402855520000001</v>
      </c>
      <c r="K43" s="1">
        <v>43249</v>
      </c>
      <c r="L43">
        <f t="shared" si="0"/>
        <v>321.21342942364601</v>
      </c>
      <c r="M43">
        <f t="shared" si="1"/>
        <v>308.58657052867005</v>
      </c>
      <c r="N43">
        <v>314.89999999999998</v>
      </c>
      <c r="O43">
        <f t="shared" si="2"/>
        <v>318.78943622112263</v>
      </c>
      <c r="P43">
        <f t="shared" si="3"/>
        <v>0</v>
      </c>
    </row>
    <row r="44" spans="1:16" x14ac:dyDescent="0.3">
      <c r="A44" s="1">
        <v>43159</v>
      </c>
      <c r="B44">
        <v>312.45</v>
      </c>
      <c r="C44">
        <v>307.54999990463199</v>
      </c>
      <c r="D44">
        <v>-4.9000000953674299</v>
      </c>
      <c r="E44" s="1">
        <v>43250</v>
      </c>
      <c r="F44">
        <v>6.7434363365173304</v>
      </c>
      <c r="G44">
        <v>-4.9000000953674299</v>
      </c>
      <c r="J44">
        <v>3.9658264129999998</v>
      </c>
      <c r="K44" s="1">
        <v>43250</v>
      </c>
      <c r="L44">
        <f t="shared" si="0"/>
        <v>314.06981852760401</v>
      </c>
      <c r="M44">
        <f t="shared" si="1"/>
        <v>301.03018128165996</v>
      </c>
      <c r="N44">
        <v>307.54999989999999</v>
      </c>
      <c r="O44">
        <f t="shared" si="2"/>
        <v>314.29343624114932</v>
      </c>
      <c r="P44">
        <f t="shared" si="3"/>
        <v>0</v>
      </c>
    </row>
    <row r="45" spans="1:16" x14ac:dyDescent="0.3">
      <c r="A45" s="1">
        <v>43160</v>
      </c>
      <c r="B45">
        <v>312.45</v>
      </c>
      <c r="C45">
        <v>309.15000004768302</v>
      </c>
      <c r="D45">
        <v>-3.2999999523162802</v>
      </c>
      <c r="E45" s="1">
        <v>43251</v>
      </c>
      <c r="F45">
        <v>3.3193814754486</v>
      </c>
      <c r="G45">
        <v>-3.2999999523162802</v>
      </c>
      <c r="J45">
        <v>4.0248758110000002</v>
      </c>
      <c r="K45" s="1">
        <v>43251</v>
      </c>
      <c r="L45">
        <f t="shared" si="0"/>
        <v>315.76689588096701</v>
      </c>
      <c r="M45">
        <f t="shared" si="1"/>
        <v>302.53310421439903</v>
      </c>
      <c r="N45">
        <v>309.14999999999998</v>
      </c>
      <c r="O45">
        <f t="shared" si="2"/>
        <v>312.46938152313163</v>
      </c>
      <c r="P45">
        <f t="shared" si="3"/>
        <v>0</v>
      </c>
    </row>
    <row r="46" spans="1:16" x14ac:dyDescent="0.3">
      <c r="A46" s="1">
        <v>43161</v>
      </c>
      <c r="B46">
        <v>308.14999999999998</v>
      </c>
      <c r="C46">
        <v>311.39999999999998</v>
      </c>
      <c r="D46">
        <v>3.25</v>
      </c>
      <c r="E46" s="1">
        <v>43252</v>
      </c>
      <c r="F46">
        <v>6.9053058624267498</v>
      </c>
      <c r="G46">
        <v>3.25</v>
      </c>
      <c r="J46">
        <v>4.0388547040000002</v>
      </c>
      <c r="K46" s="1">
        <v>43252</v>
      </c>
      <c r="L46">
        <f t="shared" si="0"/>
        <v>318.03987713337597</v>
      </c>
      <c r="M46">
        <f t="shared" si="1"/>
        <v>304.76012286662399</v>
      </c>
      <c r="N46">
        <v>311.39999999999998</v>
      </c>
      <c r="O46">
        <f t="shared" si="2"/>
        <v>318.30530586242674</v>
      </c>
      <c r="P46">
        <f t="shared" si="3"/>
        <v>0</v>
      </c>
    </row>
    <row r="47" spans="1:16" x14ac:dyDescent="0.3">
      <c r="A47" s="1">
        <v>43164</v>
      </c>
      <c r="B47">
        <v>303.85000000000002</v>
      </c>
      <c r="C47">
        <v>313.15000019073398</v>
      </c>
      <c r="D47">
        <v>9.3000001907348597</v>
      </c>
      <c r="E47" s="1">
        <v>43255</v>
      </c>
      <c r="F47">
        <v>3.92645907402038</v>
      </c>
      <c r="G47">
        <v>9.3000001907348597</v>
      </c>
      <c r="J47">
        <v>3.9464944169999998</v>
      </c>
      <c r="K47" s="1">
        <v>43255</v>
      </c>
      <c r="L47">
        <f t="shared" si="0"/>
        <v>319.63803701228198</v>
      </c>
      <c r="M47">
        <f t="shared" si="1"/>
        <v>306.66196336918597</v>
      </c>
      <c r="N47">
        <v>313.15000020000002</v>
      </c>
      <c r="O47">
        <f t="shared" si="2"/>
        <v>317.07645926475436</v>
      </c>
      <c r="P47">
        <f t="shared" si="3"/>
        <v>1</v>
      </c>
    </row>
    <row r="48" spans="1:16" x14ac:dyDescent="0.3">
      <c r="A48" s="1">
        <v>43165</v>
      </c>
      <c r="B48">
        <v>310.3</v>
      </c>
      <c r="C48">
        <v>313.75000004768299</v>
      </c>
      <c r="D48">
        <v>3.45000004768371</v>
      </c>
      <c r="E48" s="1">
        <v>43256</v>
      </c>
      <c r="F48">
        <v>6.2760124206542898</v>
      </c>
      <c r="G48">
        <v>3.45000004768371</v>
      </c>
      <c r="J48">
        <v>3.6764911819999999</v>
      </c>
      <c r="K48" s="1">
        <v>43256</v>
      </c>
      <c r="L48">
        <f t="shared" si="0"/>
        <v>319.794151550891</v>
      </c>
      <c r="M48">
        <f t="shared" si="1"/>
        <v>307.70584854447497</v>
      </c>
      <c r="N48">
        <v>313.75</v>
      </c>
      <c r="O48">
        <f t="shared" si="2"/>
        <v>320.02601246833729</v>
      </c>
      <c r="P48">
        <f t="shared" si="3"/>
        <v>0</v>
      </c>
    </row>
    <row r="49" spans="1:16" x14ac:dyDescent="0.3">
      <c r="A49" s="1">
        <v>43166</v>
      </c>
      <c r="B49">
        <v>310.45</v>
      </c>
      <c r="C49">
        <v>313.74999995231599</v>
      </c>
      <c r="D49">
        <v>3.2999999523162802</v>
      </c>
      <c r="E49" s="1">
        <v>43257</v>
      </c>
      <c r="F49">
        <v>6.17401027679443</v>
      </c>
      <c r="G49">
        <v>3.2999999523162802</v>
      </c>
      <c r="J49">
        <v>3.6236632449999999</v>
      </c>
      <c r="K49" s="1">
        <v>43257</v>
      </c>
      <c r="L49">
        <f t="shared" si="0"/>
        <v>319.70730232709599</v>
      </c>
      <c r="M49">
        <f t="shared" si="1"/>
        <v>307.79269757753599</v>
      </c>
      <c r="N49">
        <v>313.75</v>
      </c>
      <c r="O49">
        <f t="shared" si="2"/>
        <v>319.92401022911042</v>
      </c>
      <c r="P49">
        <f t="shared" si="3"/>
        <v>0</v>
      </c>
    </row>
    <row r="50" spans="1:16" x14ac:dyDescent="0.3">
      <c r="A50" s="1">
        <v>43167</v>
      </c>
      <c r="B50">
        <v>313.60000000000002</v>
      </c>
      <c r="C50">
        <v>316.85000000000002</v>
      </c>
      <c r="D50">
        <v>3.25</v>
      </c>
      <c r="E50" s="1">
        <v>43258</v>
      </c>
      <c r="F50">
        <v>7.5449018478393501</v>
      </c>
      <c r="G50">
        <v>3.25</v>
      </c>
      <c r="J50">
        <v>3.5666269900000001</v>
      </c>
      <c r="K50" s="1">
        <v>43258</v>
      </c>
      <c r="L50">
        <f t="shared" si="0"/>
        <v>322.71353477156003</v>
      </c>
      <c r="M50">
        <f t="shared" si="1"/>
        <v>310.98646522844001</v>
      </c>
      <c r="N50">
        <v>316.85000000000002</v>
      </c>
      <c r="O50">
        <f t="shared" si="2"/>
        <v>324.39490184783938</v>
      </c>
      <c r="P50">
        <f t="shared" si="3"/>
        <v>0</v>
      </c>
    </row>
    <row r="51" spans="1:16" x14ac:dyDescent="0.3">
      <c r="A51" s="1">
        <v>43168</v>
      </c>
      <c r="B51">
        <v>317.10000000000002</v>
      </c>
      <c r="C51">
        <v>313.300000047683</v>
      </c>
      <c r="D51">
        <v>-3.7999999523162802</v>
      </c>
      <c r="E51" s="1">
        <v>43259</v>
      </c>
      <c r="F51">
        <v>0.99089205265045099</v>
      </c>
      <c r="G51">
        <v>-3.7999999523162802</v>
      </c>
      <c r="J51">
        <v>3.5696392800000001</v>
      </c>
      <c r="K51" s="1">
        <v>43259</v>
      </c>
      <c r="L51">
        <f t="shared" si="0"/>
        <v>319.16848702400301</v>
      </c>
      <c r="M51">
        <f t="shared" si="1"/>
        <v>307.43151307136299</v>
      </c>
      <c r="N51">
        <v>313.3</v>
      </c>
      <c r="O51">
        <f t="shared" si="2"/>
        <v>314.29089210033345</v>
      </c>
      <c r="P51">
        <f t="shared" si="3"/>
        <v>0</v>
      </c>
    </row>
    <row r="52" spans="1:16" x14ac:dyDescent="0.3">
      <c r="A52" s="1">
        <v>43171</v>
      </c>
      <c r="B52">
        <v>320.10000000000002</v>
      </c>
      <c r="C52">
        <v>316.14999995231602</v>
      </c>
      <c r="D52">
        <v>-3.95000004768371</v>
      </c>
      <c r="E52" s="1">
        <v>43262</v>
      </c>
      <c r="F52">
        <v>2.6340563297271702</v>
      </c>
      <c r="G52">
        <v>-3.95000004768371</v>
      </c>
      <c r="J52">
        <v>3.5661340909999999</v>
      </c>
      <c r="K52" s="1">
        <v>43262</v>
      </c>
      <c r="L52">
        <f t="shared" si="0"/>
        <v>322.01272439792001</v>
      </c>
      <c r="M52">
        <f t="shared" si="1"/>
        <v>310.28727550671204</v>
      </c>
      <c r="N52">
        <v>316.14999999999998</v>
      </c>
      <c r="O52">
        <f t="shared" si="2"/>
        <v>318.7840562820432</v>
      </c>
      <c r="P52">
        <f t="shared" si="3"/>
        <v>0</v>
      </c>
    </row>
    <row r="53" spans="1:16" x14ac:dyDescent="0.3">
      <c r="A53" s="1">
        <v>43172</v>
      </c>
      <c r="B53">
        <v>321.5</v>
      </c>
      <c r="C53">
        <v>315.65000009536698</v>
      </c>
      <c r="D53">
        <v>5.8499999046325604</v>
      </c>
      <c r="E53" s="1">
        <v>43263</v>
      </c>
      <c r="F53">
        <v>-3.28635573387146</v>
      </c>
      <c r="G53">
        <v>-5.8499999046325604</v>
      </c>
      <c r="J53">
        <v>3.524683606</v>
      </c>
      <c r="K53" s="1">
        <v>43263</v>
      </c>
      <c r="L53">
        <f t="shared" si="0"/>
        <v>321.44457994363097</v>
      </c>
      <c r="M53">
        <f t="shared" si="1"/>
        <v>309.85542024710298</v>
      </c>
      <c r="N53">
        <v>315.6500001</v>
      </c>
      <c r="O53">
        <f t="shared" si="2"/>
        <v>312.36364436149552</v>
      </c>
      <c r="P53">
        <f t="shared" si="3"/>
        <v>1</v>
      </c>
    </row>
    <row r="54" spans="1:16" x14ac:dyDescent="0.3">
      <c r="A54" s="1">
        <v>43173</v>
      </c>
      <c r="B54">
        <v>321.55</v>
      </c>
      <c r="C54">
        <v>315.64999990463201</v>
      </c>
      <c r="D54">
        <v>-5.9000000953674299</v>
      </c>
      <c r="E54" s="1">
        <v>43264</v>
      </c>
      <c r="F54">
        <v>3.4161705970764098</v>
      </c>
      <c r="G54">
        <v>-5.9000000953674299</v>
      </c>
      <c r="J54">
        <v>3.4491974000000001</v>
      </c>
      <c r="K54" s="1">
        <v>43264</v>
      </c>
      <c r="L54">
        <f t="shared" si="0"/>
        <v>321.32048043023201</v>
      </c>
      <c r="M54">
        <f t="shared" si="1"/>
        <v>309.97951937903201</v>
      </c>
      <c r="N54">
        <v>315.64999990000001</v>
      </c>
      <c r="O54">
        <f t="shared" si="2"/>
        <v>319.06617050170843</v>
      </c>
      <c r="P54">
        <f t="shared" si="3"/>
        <v>0</v>
      </c>
    </row>
    <row r="55" spans="1:16" x14ac:dyDescent="0.3">
      <c r="A55" s="1">
        <v>43174</v>
      </c>
      <c r="B55">
        <v>322.85000000000002</v>
      </c>
      <c r="C55">
        <v>310.40000019073398</v>
      </c>
      <c r="D55">
        <v>12.449999809265099</v>
      </c>
      <c r="E55" s="1">
        <v>43265</v>
      </c>
      <c r="F55">
        <v>-0.77662289142608598</v>
      </c>
      <c r="G55">
        <v>-12.449999809265099</v>
      </c>
      <c r="J55">
        <v>3.4265738730000002</v>
      </c>
      <c r="K55" s="1">
        <v>43265</v>
      </c>
      <c r="L55">
        <f t="shared" si="0"/>
        <v>316.03328763794599</v>
      </c>
      <c r="M55">
        <f t="shared" si="1"/>
        <v>304.76671274352196</v>
      </c>
      <c r="N55">
        <v>310.40000020000002</v>
      </c>
      <c r="O55">
        <f t="shared" si="2"/>
        <v>309.62337729930789</v>
      </c>
      <c r="P55">
        <f t="shared" si="3"/>
        <v>1</v>
      </c>
    </row>
    <row r="56" spans="1:16" x14ac:dyDescent="0.3">
      <c r="A56" s="1">
        <v>43175</v>
      </c>
      <c r="B56">
        <v>322</v>
      </c>
      <c r="C56">
        <v>309.19999980926502</v>
      </c>
      <c r="D56">
        <v>-12.800000190734799</v>
      </c>
      <c r="E56" s="1">
        <v>43266</v>
      </c>
      <c r="F56">
        <v>3.8726265430450399</v>
      </c>
      <c r="G56">
        <v>-12.800000190734799</v>
      </c>
      <c r="J56">
        <v>3.3839426119999998</v>
      </c>
      <c r="K56" s="1">
        <v>43266</v>
      </c>
      <c r="L56">
        <f t="shared" si="0"/>
        <v>314.76320146339305</v>
      </c>
      <c r="M56">
        <f t="shared" si="1"/>
        <v>303.636798155137</v>
      </c>
      <c r="N56">
        <v>309.1999998</v>
      </c>
      <c r="O56">
        <f t="shared" si="2"/>
        <v>313.07262635231007</v>
      </c>
      <c r="P56">
        <f t="shared" si="3"/>
        <v>0</v>
      </c>
    </row>
    <row r="57" spans="1:16" x14ac:dyDescent="0.3">
      <c r="A57" s="1">
        <v>43178</v>
      </c>
      <c r="B57">
        <v>319.85000000000002</v>
      </c>
      <c r="C57">
        <v>305.85000000000002</v>
      </c>
      <c r="D57">
        <v>-14</v>
      </c>
      <c r="E57" s="1">
        <v>43269</v>
      </c>
      <c r="F57">
        <v>9.4647598266601491</v>
      </c>
      <c r="G57">
        <v>-14</v>
      </c>
      <c r="J57">
        <v>3.4697125259999999</v>
      </c>
      <c r="K57" s="1">
        <v>43269</v>
      </c>
      <c r="L57">
        <f t="shared" si="0"/>
        <v>311.55420739274405</v>
      </c>
      <c r="M57">
        <f t="shared" si="1"/>
        <v>300.145792607256</v>
      </c>
      <c r="N57">
        <v>305.85000000000002</v>
      </c>
      <c r="O57">
        <f t="shared" si="2"/>
        <v>315.31475982666018</v>
      </c>
      <c r="P57">
        <f t="shared" si="3"/>
        <v>0</v>
      </c>
    </row>
    <row r="58" spans="1:16" x14ac:dyDescent="0.3">
      <c r="A58" s="1">
        <v>43179</v>
      </c>
      <c r="B58">
        <v>321.3</v>
      </c>
      <c r="C58">
        <v>301.34999923705999</v>
      </c>
      <c r="D58">
        <v>-19.9500007629394</v>
      </c>
      <c r="E58" s="1">
        <v>43270</v>
      </c>
      <c r="F58">
        <v>7.00250244140625</v>
      </c>
      <c r="G58">
        <v>-19.9500007629394</v>
      </c>
      <c r="J58">
        <v>3.802045288</v>
      </c>
      <c r="K58" s="1">
        <v>43270</v>
      </c>
      <c r="L58">
        <f t="shared" si="0"/>
        <v>307.600561690532</v>
      </c>
      <c r="M58">
        <f t="shared" si="1"/>
        <v>295.09943678358798</v>
      </c>
      <c r="N58">
        <v>301.34999920000001</v>
      </c>
      <c r="O58">
        <f t="shared" si="2"/>
        <v>308.35250167846624</v>
      </c>
      <c r="P58">
        <f t="shared" si="3"/>
        <v>0</v>
      </c>
    </row>
    <row r="59" spans="1:16" x14ac:dyDescent="0.3">
      <c r="A59" s="1">
        <v>43180</v>
      </c>
      <c r="B59">
        <v>321.60000000000002</v>
      </c>
      <c r="C59">
        <v>304.20000038146901</v>
      </c>
      <c r="D59">
        <v>17.399999618530199</v>
      </c>
      <c r="E59" s="1">
        <v>43271</v>
      </c>
      <c r="F59">
        <v>-3.5396780967712398</v>
      </c>
      <c r="G59">
        <v>-17.399999618530199</v>
      </c>
      <c r="J59">
        <v>3.9263440680000001</v>
      </c>
      <c r="K59" s="1">
        <v>43271</v>
      </c>
      <c r="L59">
        <f t="shared" si="0"/>
        <v>310.65491002926103</v>
      </c>
      <c r="M59">
        <f t="shared" si="1"/>
        <v>297.74509073367699</v>
      </c>
      <c r="N59">
        <v>304.20000040000002</v>
      </c>
      <c r="O59">
        <f t="shared" si="2"/>
        <v>300.66032228469777</v>
      </c>
      <c r="P59">
        <f t="shared" si="3"/>
        <v>1</v>
      </c>
    </row>
    <row r="60" spans="1:16" x14ac:dyDescent="0.3">
      <c r="A60" s="1">
        <v>43181</v>
      </c>
      <c r="B60">
        <v>322.10000000000002</v>
      </c>
      <c r="C60">
        <v>300.74999961853001</v>
      </c>
      <c r="D60">
        <v>-21.350000381469702</v>
      </c>
      <c r="E60" s="1">
        <v>43272</v>
      </c>
      <c r="F60">
        <v>1.3707193136215201</v>
      </c>
      <c r="G60">
        <v>-21.350000381469702</v>
      </c>
      <c r="J60">
        <v>4.1729428720000001</v>
      </c>
      <c r="K60" s="1">
        <v>43272</v>
      </c>
      <c r="L60">
        <f t="shared" si="0"/>
        <v>307.61031770009799</v>
      </c>
      <c r="M60">
        <f t="shared" si="1"/>
        <v>293.88968153696203</v>
      </c>
      <c r="N60">
        <v>300.74999960000002</v>
      </c>
      <c r="O60">
        <f t="shared" si="2"/>
        <v>302.12071893215153</v>
      </c>
      <c r="P60">
        <f t="shared" si="3"/>
        <v>0</v>
      </c>
    </row>
    <row r="61" spans="1:16" x14ac:dyDescent="0.3">
      <c r="A61" s="1">
        <v>43182</v>
      </c>
      <c r="B61">
        <v>311.5</v>
      </c>
      <c r="C61">
        <v>303.65000009536698</v>
      </c>
      <c r="D61">
        <v>-7.8499999046325604</v>
      </c>
      <c r="E61" s="1">
        <v>43273</v>
      </c>
      <c r="F61">
        <v>14.331773757934499</v>
      </c>
      <c r="G61">
        <v>-7.8499999046325604</v>
      </c>
      <c r="J61">
        <v>4.248144323</v>
      </c>
      <c r="K61" s="1">
        <v>43273</v>
      </c>
      <c r="L61">
        <f t="shared" si="0"/>
        <v>310.63394936237898</v>
      </c>
      <c r="M61">
        <f t="shared" si="1"/>
        <v>296.66605082835497</v>
      </c>
      <c r="N61">
        <v>303.6500001</v>
      </c>
      <c r="O61">
        <f t="shared" si="2"/>
        <v>317.98177385330149</v>
      </c>
      <c r="P61">
        <f t="shared" si="3"/>
        <v>0</v>
      </c>
    </row>
    <row r="62" spans="1:16" x14ac:dyDescent="0.3">
      <c r="A62" s="1">
        <v>43185</v>
      </c>
      <c r="B62">
        <v>314.5</v>
      </c>
      <c r="C62">
        <v>303.25</v>
      </c>
      <c r="D62">
        <v>-11.25</v>
      </c>
      <c r="E62" s="1">
        <v>43276</v>
      </c>
      <c r="F62">
        <v>17.461826324462798</v>
      </c>
      <c r="G62">
        <v>-11.25</v>
      </c>
      <c r="J62">
        <v>4.4356184409999999</v>
      </c>
      <c r="K62" s="1">
        <v>43276</v>
      </c>
      <c r="L62">
        <f t="shared" si="0"/>
        <v>310.54215671700399</v>
      </c>
      <c r="M62">
        <f t="shared" si="1"/>
        <v>295.95784328299601</v>
      </c>
      <c r="N62">
        <v>303.25</v>
      </c>
      <c r="O62">
        <f t="shared" si="2"/>
        <v>320.71182632446278</v>
      </c>
      <c r="P62">
        <f t="shared" si="3"/>
        <v>0</v>
      </c>
    </row>
    <row r="63" spans="1:16" x14ac:dyDescent="0.3">
      <c r="A63" s="1">
        <v>43186</v>
      </c>
      <c r="B63">
        <v>315.14999999999998</v>
      </c>
      <c r="C63">
        <v>302.39999999999998</v>
      </c>
      <c r="D63">
        <v>-12.75</v>
      </c>
      <c r="E63" s="1">
        <v>43277</v>
      </c>
      <c r="F63">
        <v>9.7991743087768501</v>
      </c>
      <c r="G63">
        <v>-12.75</v>
      </c>
      <c r="J63">
        <v>4.6480950810000001</v>
      </c>
      <c r="K63" s="1">
        <v>43277</v>
      </c>
      <c r="L63">
        <f t="shared" si="0"/>
        <v>310.04146831316399</v>
      </c>
      <c r="M63">
        <f t="shared" si="1"/>
        <v>294.75853168683597</v>
      </c>
      <c r="N63">
        <v>302.39999999999998</v>
      </c>
      <c r="O63">
        <f t="shared" si="2"/>
        <v>312.19917430877683</v>
      </c>
      <c r="P63">
        <f t="shared" si="3"/>
        <v>0</v>
      </c>
    </row>
    <row r="64" spans="1:16" x14ac:dyDescent="0.3">
      <c r="A64" s="1">
        <v>43187</v>
      </c>
      <c r="B64">
        <v>310.64999999999998</v>
      </c>
      <c r="C64">
        <v>301.54999961853002</v>
      </c>
      <c r="D64">
        <v>-9.1000003814697195</v>
      </c>
      <c r="E64" s="1">
        <v>43278</v>
      </c>
      <c r="F64">
        <v>5.6844754219055096</v>
      </c>
      <c r="G64">
        <v>-9.1000003814697195</v>
      </c>
      <c r="J64">
        <v>4.871807005</v>
      </c>
      <c r="K64" s="1">
        <v>43278</v>
      </c>
      <c r="L64">
        <f t="shared" si="0"/>
        <v>309.55925033475</v>
      </c>
      <c r="M64">
        <f t="shared" si="1"/>
        <v>293.54074890231004</v>
      </c>
      <c r="N64">
        <v>301.54999959999998</v>
      </c>
      <c r="O64">
        <f t="shared" si="2"/>
        <v>307.23447504043554</v>
      </c>
      <c r="P64">
        <f t="shared" si="3"/>
        <v>0</v>
      </c>
    </row>
    <row r="65" spans="1:16" x14ac:dyDescent="0.3">
      <c r="A65" s="1">
        <v>43188</v>
      </c>
      <c r="B65">
        <v>314.45</v>
      </c>
      <c r="C65">
        <v>299.09999961852998</v>
      </c>
      <c r="D65">
        <v>15.3500003814697</v>
      </c>
      <c r="E65" s="1">
        <v>43279</v>
      </c>
      <c r="F65">
        <v>-5.7422747611999503</v>
      </c>
      <c r="G65">
        <v>-15.3500003814697</v>
      </c>
      <c r="J65">
        <v>5.1682149529999997</v>
      </c>
      <c r="K65" s="1">
        <v>43279</v>
      </c>
      <c r="L65">
        <f t="shared" si="0"/>
        <v>307.59654500126197</v>
      </c>
      <c r="M65">
        <f t="shared" si="1"/>
        <v>290.60345423579798</v>
      </c>
      <c r="N65">
        <v>299.09999959999999</v>
      </c>
      <c r="O65">
        <f t="shared" si="2"/>
        <v>293.35772485733003</v>
      </c>
      <c r="P65">
        <f t="shared" si="3"/>
        <v>1</v>
      </c>
    </row>
    <row r="66" spans="1:16" x14ac:dyDescent="0.3">
      <c r="A66" s="1">
        <v>43189</v>
      </c>
      <c r="B66">
        <v>314.55</v>
      </c>
      <c r="C66">
        <v>299.99999980926498</v>
      </c>
      <c r="D66">
        <v>14.550000190734799</v>
      </c>
      <c r="E66" s="1">
        <v>43280</v>
      </c>
      <c r="F66">
        <v>-3.1593816280364901</v>
      </c>
      <c r="G66">
        <v>-14.550000190734799</v>
      </c>
      <c r="J66">
        <v>5.4130557450000003</v>
      </c>
      <c r="K66" s="1">
        <v>43280</v>
      </c>
      <c r="L66">
        <f t="shared" si="0"/>
        <v>308.89906345404495</v>
      </c>
      <c r="M66">
        <f t="shared" si="1"/>
        <v>291.10093616448501</v>
      </c>
      <c r="N66">
        <v>299.99999980000001</v>
      </c>
      <c r="O66">
        <f t="shared" si="2"/>
        <v>296.84061818122848</v>
      </c>
      <c r="P66">
        <f t="shared" si="3"/>
        <v>1</v>
      </c>
    </row>
    <row r="67" spans="1:16" x14ac:dyDescent="0.3">
      <c r="A67" s="1">
        <v>43192</v>
      </c>
      <c r="B67">
        <v>313.45</v>
      </c>
      <c r="C67">
        <v>292.90000076293899</v>
      </c>
      <c r="D67">
        <v>20.549999237060501</v>
      </c>
      <c r="E67" s="1">
        <v>43283</v>
      </c>
      <c r="F67">
        <v>-4.3566441535949698</v>
      </c>
      <c r="G67">
        <v>-20.549999237060501</v>
      </c>
      <c r="J67">
        <v>5.9440840990000003</v>
      </c>
      <c r="K67" s="1">
        <v>43283</v>
      </c>
      <c r="L67">
        <f t="shared" ref="L67:L79" si="4">C67+1.644*J67</f>
        <v>302.67207502169498</v>
      </c>
      <c r="M67">
        <f t="shared" ref="M67:M79" si="5">C67-1.644*J67</f>
        <v>283.12792650418299</v>
      </c>
      <c r="N67">
        <v>292.90000079999999</v>
      </c>
      <c r="O67">
        <f t="shared" ref="O67:O80" si="6">F67+C67</f>
        <v>288.54335660934402</v>
      </c>
      <c r="P67">
        <f t="shared" ref="P67:P80" si="7">IF(AND(D67&gt;0, AND(O67&lt;L67, O67&gt;M67)),1,0)</f>
        <v>1</v>
      </c>
    </row>
    <row r="68" spans="1:16" x14ac:dyDescent="0.3">
      <c r="A68" s="1">
        <v>43193</v>
      </c>
      <c r="B68">
        <v>312.8</v>
      </c>
      <c r="C68">
        <v>293.75000076293901</v>
      </c>
      <c r="D68">
        <v>19.049999237060501</v>
      </c>
      <c r="E68" s="1">
        <v>43284</v>
      </c>
      <c r="F68">
        <v>-1.7092982530593801</v>
      </c>
      <c r="G68">
        <v>-19.049999237060501</v>
      </c>
      <c r="J68">
        <v>6.3801082649999996</v>
      </c>
      <c r="K68" s="1">
        <v>43284</v>
      </c>
      <c r="L68">
        <f t="shared" si="4"/>
        <v>304.23889875059899</v>
      </c>
      <c r="M68">
        <f t="shared" si="5"/>
        <v>283.26110277527903</v>
      </c>
      <c r="N68">
        <v>293.75000080000001</v>
      </c>
      <c r="O68">
        <f t="shared" si="6"/>
        <v>292.04070250987962</v>
      </c>
      <c r="P68">
        <f t="shared" si="7"/>
        <v>1</v>
      </c>
    </row>
    <row r="69" spans="1:16" x14ac:dyDescent="0.3">
      <c r="A69" s="1">
        <v>43194</v>
      </c>
      <c r="B69">
        <v>307.55</v>
      </c>
      <c r="C69">
        <v>292.55</v>
      </c>
      <c r="D69">
        <v>15</v>
      </c>
      <c r="E69" s="1">
        <v>43285</v>
      </c>
      <c r="F69">
        <v>-1.38409352302551</v>
      </c>
      <c r="G69">
        <v>-15</v>
      </c>
      <c r="J69">
        <v>6.8276807030000004</v>
      </c>
      <c r="K69" s="1">
        <v>43285</v>
      </c>
      <c r="L69">
        <f t="shared" si="4"/>
        <v>303.77470707573201</v>
      </c>
      <c r="M69">
        <f t="shared" si="5"/>
        <v>281.32529292426801</v>
      </c>
      <c r="N69">
        <v>292.55</v>
      </c>
      <c r="O69">
        <f t="shared" si="6"/>
        <v>291.1659064769745</v>
      </c>
      <c r="P69">
        <f t="shared" si="7"/>
        <v>1</v>
      </c>
    </row>
    <row r="70" spans="1:16" x14ac:dyDescent="0.3">
      <c r="A70" s="1">
        <v>43195</v>
      </c>
      <c r="B70">
        <v>312.95</v>
      </c>
      <c r="C70">
        <v>291.99999923706002</v>
      </c>
      <c r="D70">
        <v>-20.9500007629394</v>
      </c>
      <c r="E70" s="1">
        <v>43286</v>
      </c>
      <c r="F70">
        <v>7.8972414135932895E-2</v>
      </c>
      <c r="G70">
        <v>-20.9500007629394</v>
      </c>
      <c r="J70">
        <v>7.2397791070000004</v>
      </c>
      <c r="K70" s="1">
        <v>43286</v>
      </c>
      <c r="L70">
        <f t="shared" si="4"/>
        <v>303.90219608896803</v>
      </c>
      <c r="M70">
        <f t="shared" si="5"/>
        <v>280.09780238515202</v>
      </c>
      <c r="N70">
        <v>291.99999919999999</v>
      </c>
      <c r="O70">
        <f t="shared" si="6"/>
        <v>292.07897165119596</v>
      </c>
      <c r="P70">
        <f t="shared" si="7"/>
        <v>0</v>
      </c>
    </row>
    <row r="71" spans="1:16" x14ac:dyDescent="0.3">
      <c r="A71" s="1">
        <v>43196</v>
      </c>
      <c r="B71">
        <v>311.2</v>
      </c>
      <c r="C71">
        <v>293.59999961852998</v>
      </c>
      <c r="D71">
        <v>17.600000381469702</v>
      </c>
      <c r="E71" s="1">
        <v>43287</v>
      </c>
      <c r="F71">
        <v>-1.7116355895996</v>
      </c>
      <c r="G71">
        <v>-17.600000381469702</v>
      </c>
      <c r="J71">
        <v>7.5754201649999997</v>
      </c>
      <c r="K71" s="1">
        <v>43287</v>
      </c>
      <c r="L71">
        <f t="shared" si="4"/>
        <v>306.05399036978997</v>
      </c>
      <c r="M71">
        <f t="shared" si="5"/>
        <v>281.14600886726998</v>
      </c>
      <c r="N71">
        <v>293.59999959999999</v>
      </c>
      <c r="O71">
        <f t="shared" si="6"/>
        <v>291.88836402893037</v>
      </c>
      <c r="P71">
        <f t="shared" si="7"/>
        <v>1</v>
      </c>
    </row>
    <row r="72" spans="1:16" x14ac:dyDescent="0.3">
      <c r="A72" s="1">
        <v>43199</v>
      </c>
      <c r="B72">
        <v>312.95</v>
      </c>
      <c r="C72">
        <v>296.24999923706002</v>
      </c>
      <c r="D72">
        <v>16.7000007629394</v>
      </c>
      <c r="E72" s="1">
        <v>43290</v>
      </c>
      <c r="F72">
        <v>-1.16573929786682</v>
      </c>
      <c r="G72">
        <v>-16.7000007629394</v>
      </c>
      <c r="J72">
        <v>7.8039945919999996</v>
      </c>
      <c r="K72" s="1">
        <v>43290</v>
      </c>
      <c r="L72">
        <f t="shared" si="4"/>
        <v>309.07976634630802</v>
      </c>
      <c r="M72">
        <f t="shared" si="5"/>
        <v>283.42023212781203</v>
      </c>
      <c r="N72">
        <v>296.24999919999999</v>
      </c>
      <c r="O72">
        <f t="shared" si="6"/>
        <v>295.0842599391932</v>
      </c>
      <c r="P72">
        <f t="shared" si="7"/>
        <v>1</v>
      </c>
    </row>
    <row r="73" spans="1:16" x14ac:dyDescent="0.3">
      <c r="A73" s="1">
        <v>43200</v>
      </c>
      <c r="B73">
        <v>313.45</v>
      </c>
      <c r="C73">
        <v>296.95</v>
      </c>
      <c r="D73">
        <v>-16.5</v>
      </c>
      <c r="E73" s="1">
        <v>43291</v>
      </c>
      <c r="F73">
        <v>0.49430093169212302</v>
      </c>
      <c r="G73">
        <v>-16.5</v>
      </c>
      <c r="J73">
        <v>7.996628114</v>
      </c>
      <c r="K73" s="1">
        <v>43291</v>
      </c>
      <c r="L73">
        <f t="shared" si="4"/>
        <v>310.09645661941602</v>
      </c>
      <c r="M73">
        <f t="shared" si="5"/>
        <v>283.80354338058396</v>
      </c>
      <c r="N73">
        <v>296.95</v>
      </c>
      <c r="O73">
        <f t="shared" si="6"/>
        <v>297.44430093169211</v>
      </c>
      <c r="P73">
        <f t="shared" si="7"/>
        <v>0</v>
      </c>
    </row>
    <row r="74" spans="1:16" x14ac:dyDescent="0.3">
      <c r="A74" s="1">
        <v>43201</v>
      </c>
      <c r="B74">
        <v>312.45</v>
      </c>
      <c r="C74">
        <v>295.30000038146898</v>
      </c>
      <c r="D74">
        <v>-17.149999618530199</v>
      </c>
      <c r="E74" s="1">
        <v>43292</v>
      </c>
      <c r="F74">
        <v>2.3635046482086102</v>
      </c>
      <c r="G74">
        <v>-17.149999618530199</v>
      </c>
      <c r="J74">
        <v>8.2204273959999998</v>
      </c>
      <c r="K74" s="1">
        <v>43292</v>
      </c>
      <c r="L74">
        <f t="shared" si="4"/>
        <v>308.81438302049298</v>
      </c>
      <c r="M74">
        <f t="shared" si="5"/>
        <v>281.78561774244497</v>
      </c>
      <c r="N74">
        <v>295.30000039999999</v>
      </c>
      <c r="O74">
        <f t="shared" si="6"/>
        <v>297.66350502967759</v>
      </c>
      <c r="P74">
        <f t="shared" si="7"/>
        <v>0</v>
      </c>
    </row>
    <row r="75" spans="1:16" x14ac:dyDescent="0.3">
      <c r="A75" s="1">
        <v>43202</v>
      </c>
      <c r="B75">
        <v>311.75</v>
      </c>
      <c r="C75">
        <v>296</v>
      </c>
      <c r="D75">
        <v>15.75</v>
      </c>
      <c r="E75" s="1">
        <v>43293</v>
      </c>
      <c r="F75">
        <v>-11.386481285095201</v>
      </c>
      <c r="G75">
        <v>-15.75</v>
      </c>
      <c r="J75">
        <v>8.4147549470000005</v>
      </c>
      <c r="K75" s="1">
        <v>43293</v>
      </c>
      <c r="L75">
        <f t="shared" si="4"/>
        <v>309.83385713286799</v>
      </c>
      <c r="M75">
        <f t="shared" si="5"/>
        <v>282.16614286713201</v>
      </c>
      <c r="N75">
        <v>296</v>
      </c>
      <c r="O75">
        <f t="shared" si="6"/>
        <v>284.61351871490479</v>
      </c>
      <c r="P75">
        <f t="shared" si="7"/>
        <v>1</v>
      </c>
    </row>
    <row r="76" spans="1:16" x14ac:dyDescent="0.3">
      <c r="A76" s="1">
        <v>43203</v>
      </c>
      <c r="B76">
        <v>314.45</v>
      </c>
      <c r="C76">
        <v>299.09999961852998</v>
      </c>
      <c r="D76">
        <v>15.3500003814697</v>
      </c>
      <c r="E76" s="1">
        <v>43294</v>
      </c>
      <c r="F76">
        <v>-7.19834184646606</v>
      </c>
      <c r="G76">
        <v>-15.3500003814697</v>
      </c>
      <c r="J76">
        <v>8.528841238</v>
      </c>
      <c r="K76" s="1">
        <v>43294</v>
      </c>
      <c r="L76">
        <f t="shared" si="4"/>
        <v>313.12141461380196</v>
      </c>
      <c r="M76">
        <f t="shared" si="5"/>
        <v>285.078584623258</v>
      </c>
      <c r="N76">
        <v>299.09999959999999</v>
      </c>
      <c r="O76">
        <f t="shared" si="6"/>
        <v>291.90165777206391</v>
      </c>
      <c r="P76">
        <f t="shared" si="7"/>
        <v>1</v>
      </c>
    </row>
    <row r="77" spans="1:16" x14ac:dyDescent="0.3">
      <c r="A77" s="1">
        <v>43206</v>
      </c>
      <c r="B77">
        <v>314.3</v>
      </c>
      <c r="C77">
        <v>298.19999961853</v>
      </c>
      <c r="D77">
        <v>16.100000381469702</v>
      </c>
      <c r="E77" s="1">
        <v>43297</v>
      </c>
      <c r="F77">
        <v>-9.2198667526245099</v>
      </c>
      <c r="G77">
        <v>-16.100000381469702</v>
      </c>
      <c r="J77">
        <v>8.6408799960000007</v>
      </c>
      <c r="K77" s="1">
        <v>43297</v>
      </c>
      <c r="L77">
        <f t="shared" si="4"/>
        <v>312.405606331954</v>
      </c>
      <c r="M77">
        <f t="shared" si="5"/>
        <v>283.994392905106</v>
      </c>
      <c r="N77">
        <v>298.19999960000001</v>
      </c>
      <c r="O77">
        <f t="shared" si="6"/>
        <v>288.98013286590549</v>
      </c>
      <c r="P77">
        <f t="shared" si="7"/>
        <v>1</v>
      </c>
    </row>
    <row r="78" spans="1:16" x14ac:dyDescent="0.3">
      <c r="A78" s="1">
        <v>43207</v>
      </c>
      <c r="B78">
        <v>314.39999999999998</v>
      </c>
      <c r="C78">
        <v>297.35000076293898</v>
      </c>
      <c r="D78">
        <v>17.049999237060501</v>
      </c>
      <c r="E78" s="1">
        <v>43298</v>
      </c>
      <c r="F78">
        <v>-6.5828986167907697</v>
      </c>
      <c r="G78">
        <v>-17.049999237060501</v>
      </c>
      <c r="J78">
        <v>8.7636146499999992</v>
      </c>
      <c r="K78" s="1">
        <v>43298</v>
      </c>
      <c r="L78">
        <f t="shared" si="4"/>
        <v>311.757383247539</v>
      </c>
      <c r="M78">
        <f t="shared" si="5"/>
        <v>282.94261827833895</v>
      </c>
      <c r="N78">
        <v>297.35000079999998</v>
      </c>
      <c r="O78">
        <f t="shared" si="6"/>
        <v>290.7671021461482</v>
      </c>
      <c r="P78">
        <f t="shared" si="7"/>
        <v>1</v>
      </c>
    </row>
    <row r="79" spans="1:16" x14ac:dyDescent="0.3">
      <c r="A79" s="1">
        <v>43208</v>
      </c>
      <c r="B79">
        <v>317.60000000000002</v>
      </c>
      <c r="C79">
        <v>297.05000076293902</v>
      </c>
      <c r="D79">
        <v>20.549999237060501</v>
      </c>
      <c r="E79" s="1">
        <v>43299</v>
      </c>
      <c r="F79">
        <v>-0.35500210523605302</v>
      </c>
      <c r="G79">
        <v>-20.549999237060501</v>
      </c>
      <c r="J79">
        <v>8.8826883369999994</v>
      </c>
      <c r="K79" s="1">
        <v>43299</v>
      </c>
      <c r="L79">
        <f t="shared" si="4"/>
        <v>311.65314038896702</v>
      </c>
      <c r="M79">
        <f t="shared" si="5"/>
        <v>282.44686113691102</v>
      </c>
      <c r="N79">
        <v>297.05000080000002</v>
      </c>
      <c r="O79">
        <f t="shared" si="6"/>
        <v>296.69499865770297</v>
      </c>
      <c r="P79">
        <f t="shared" si="7"/>
        <v>1</v>
      </c>
    </row>
    <row r="80" spans="1:16" x14ac:dyDescent="0.3">
      <c r="A80" s="1">
        <v>43209</v>
      </c>
      <c r="B80">
        <v>319</v>
      </c>
      <c r="C80">
        <v>296.04999923705998</v>
      </c>
      <c r="D80">
        <v>22.9500007629394</v>
      </c>
      <c r="E80" s="1">
        <v>43300</v>
      </c>
      <c r="F80">
        <v>-4.8843111991882298</v>
      </c>
      <c r="G80">
        <v>-22.9500007629394</v>
      </c>
      <c r="J80">
        <v>8.9770385679999993</v>
      </c>
      <c r="K80" s="1">
        <v>43300</v>
      </c>
      <c r="L80">
        <f>C80+1.644*J80</f>
        <v>310.80825064285199</v>
      </c>
      <c r="M80">
        <f>C80-1.644*J80</f>
        <v>281.29174783126797</v>
      </c>
      <c r="N80">
        <v>296.0499992</v>
      </c>
      <c r="O80">
        <f t="shared" si="6"/>
        <v>291.16568803787175</v>
      </c>
      <c r="P80">
        <f t="shared" si="7"/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vdiff_65_10_10_0.001_300_200_20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2018-07-22T13:49:38Z</dcterms:created>
  <dcterms:modified xsi:type="dcterms:W3CDTF">2018-07-22T13:49:38Z</dcterms:modified>
</cp:coreProperties>
</file>