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P38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2" i="1"/>
  <c r="L12" i="1"/>
  <c r="M12" i="1"/>
  <c r="N12" i="1"/>
  <c r="O12" i="1"/>
  <c r="L13" i="1"/>
  <c r="M13" i="1"/>
  <c r="N13" i="1"/>
  <c r="O13" i="1"/>
  <c r="L14" i="1"/>
  <c r="M14" i="1"/>
  <c r="N14" i="1"/>
  <c r="O14" i="1"/>
  <c r="L15" i="1"/>
  <c r="M15" i="1"/>
  <c r="N15" i="1"/>
  <c r="O15" i="1"/>
  <c r="L16" i="1"/>
  <c r="M16" i="1"/>
  <c r="N16" i="1"/>
  <c r="O16" i="1"/>
  <c r="L17" i="1"/>
  <c r="M17" i="1"/>
  <c r="N17" i="1"/>
  <c r="O17" i="1"/>
  <c r="L18" i="1"/>
  <c r="M18" i="1"/>
  <c r="N18" i="1"/>
  <c r="O18" i="1"/>
  <c r="L19" i="1"/>
  <c r="M19" i="1"/>
  <c r="N19" i="1"/>
  <c r="O19" i="1"/>
  <c r="L20" i="1"/>
  <c r="M20" i="1"/>
  <c r="N20" i="1"/>
  <c r="O20" i="1"/>
  <c r="L21" i="1"/>
  <c r="M21" i="1"/>
  <c r="N21" i="1"/>
  <c r="O21" i="1"/>
  <c r="L22" i="1"/>
  <c r="M22" i="1"/>
  <c r="N22" i="1"/>
  <c r="O22" i="1"/>
  <c r="L23" i="1"/>
  <c r="M23" i="1"/>
  <c r="N23" i="1"/>
  <c r="O23" i="1"/>
  <c r="L24" i="1"/>
  <c r="M24" i="1"/>
  <c r="N24" i="1"/>
  <c r="O24" i="1"/>
  <c r="L25" i="1"/>
  <c r="M25" i="1"/>
  <c r="N25" i="1"/>
  <c r="O25" i="1"/>
  <c r="L26" i="1"/>
  <c r="M26" i="1"/>
  <c r="N26" i="1"/>
  <c r="O26" i="1"/>
  <c r="L27" i="1"/>
  <c r="M27" i="1"/>
  <c r="N27" i="1"/>
  <c r="O27" i="1"/>
  <c r="L28" i="1"/>
  <c r="M28" i="1"/>
  <c r="N28" i="1"/>
  <c r="O28" i="1"/>
  <c r="L29" i="1"/>
  <c r="M29" i="1"/>
  <c r="N29" i="1"/>
  <c r="O29" i="1"/>
  <c r="L30" i="1"/>
  <c r="M30" i="1"/>
  <c r="N30" i="1"/>
  <c r="O30" i="1"/>
  <c r="L31" i="1"/>
  <c r="M31" i="1"/>
  <c r="N31" i="1"/>
  <c r="O31" i="1"/>
  <c r="L32" i="1"/>
  <c r="M32" i="1"/>
  <c r="N32" i="1"/>
  <c r="O32" i="1"/>
  <c r="L33" i="1"/>
  <c r="M33" i="1"/>
  <c r="N33" i="1"/>
  <c r="O33" i="1"/>
  <c r="L34" i="1"/>
  <c r="M34" i="1"/>
  <c r="N34" i="1"/>
  <c r="O34" i="1"/>
  <c r="L35" i="1"/>
  <c r="M35" i="1"/>
  <c r="N35" i="1"/>
  <c r="O35" i="1"/>
  <c r="L36" i="1"/>
  <c r="M36" i="1"/>
  <c r="N36" i="1"/>
  <c r="O36" i="1"/>
  <c r="L37" i="1"/>
  <c r="M37" i="1"/>
  <c r="N37" i="1"/>
  <c r="O37" i="1"/>
  <c r="L3" i="1"/>
  <c r="M3" i="1"/>
  <c r="N3" i="1"/>
  <c r="O3" i="1"/>
  <c r="L4" i="1"/>
  <c r="M4" i="1"/>
  <c r="N4" i="1"/>
  <c r="O4" i="1"/>
  <c r="L5" i="1"/>
  <c r="M5" i="1"/>
  <c r="N5" i="1"/>
  <c r="O5" i="1"/>
  <c r="L6" i="1"/>
  <c r="M6" i="1"/>
  <c r="N6" i="1"/>
  <c r="O6" i="1"/>
  <c r="L7" i="1"/>
  <c r="M7" i="1"/>
  <c r="N7" i="1"/>
  <c r="O7" i="1"/>
  <c r="L8" i="1"/>
  <c r="M8" i="1"/>
  <c r="N8" i="1"/>
  <c r="O8" i="1"/>
  <c r="L9" i="1"/>
  <c r="M9" i="1"/>
  <c r="N9" i="1"/>
  <c r="O9" i="1"/>
  <c r="L10" i="1"/>
  <c r="M10" i="1"/>
  <c r="N10" i="1"/>
  <c r="O10" i="1"/>
  <c r="L11" i="1"/>
  <c r="M11" i="1"/>
  <c r="N11" i="1"/>
  <c r="O11" i="1"/>
  <c r="O2" i="1"/>
  <c r="N2" i="1"/>
  <c r="M2" i="1"/>
  <c r="L2" i="1"/>
  <c r="J1" i="1"/>
  <c r="I1" i="1"/>
  <c r="H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<sst xmlns="http://schemas.openxmlformats.org/spreadsheetml/2006/main" count="11" uniqueCount="11">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</sst>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workbookViewId="0">
      <selection activeCell="P13" sqref="P11:P13"/>
    </sheetView>
  </sheetViews>
  <sheetFormatPr defaultRowHeight="16.5" x14ac:dyDescent="0.3"/>
  <cols>
    <col min="1" max="1" width="10.625" customWidth="1"/>
    <col min="5" max="5" width="10.25" customWidth="1"/>
    <col min="11" max="11" width="10.625" customWidth="1"/>
    <col min="14" max="14" width="10.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COUNTIF(D2:D37, "&gt;0")/36</f>
        <v>0.80555555555555558</v>
      </c>
      <c r="I1">
        <f>AVERAGEIF(D2:D37, "&gt;0")</f>
        <v>13.717241410551372</v>
      </c>
      <c r="J1">
        <f>AVERAGEIF(D2:D37, "&lt;0")</f>
        <v>-9.6571429797581185</v>
      </c>
      <c r="L1" t="s">
        <v>7</v>
      </c>
      <c r="M1" t="s">
        <v>8</v>
      </c>
      <c r="N1" t="s">
        <v>9</v>
      </c>
      <c r="O1" t="s">
        <v>10</v>
      </c>
    </row>
    <row r="2" spans="1:16" x14ac:dyDescent="0.3">
      <c r="A2" s="1">
        <v>43160</v>
      </c>
      <c r="B2">
        <v>312.45</v>
      </c>
      <c r="C2">
        <v>309.15000004768302</v>
      </c>
      <c r="D2">
        <v>3.2999999523162802</v>
      </c>
      <c r="E2" s="1">
        <v>43251</v>
      </c>
      <c r="F2">
        <v>-6.1914634704589799</v>
      </c>
      <c r="G2">
        <v>-3.2999999523162802</v>
      </c>
      <c r="J2">
        <v>4.0388874432009345</v>
      </c>
      <c r="K2" s="1">
        <v>43251</v>
      </c>
      <c r="L2">
        <f>C2+1.644*J2</f>
        <v>315.78993100430534</v>
      </c>
      <c r="M2">
        <f>C2-1.644*J2</f>
        <v>302.5100690910607</v>
      </c>
      <c r="N2">
        <f>C2</f>
        <v>309.15000004768302</v>
      </c>
      <c r="O2">
        <f>F2+C2</f>
        <v>302.95853657722404</v>
      </c>
      <c r="P2">
        <f>IF(AND(D2&gt;0, AND(O2&lt;L2, O2&gt;M2)), 1, 0)</f>
        <v>1</v>
      </c>
    </row>
    <row r="3" spans="1:16" x14ac:dyDescent="0.3">
      <c r="A3" s="1">
        <v>43161</v>
      </c>
      <c r="B3">
        <v>308.14999999999998</v>
      </c>
      <c r="C3">
        <v>311.39999999999998</v>
      </c>
      <c r="D3">
        <v>-3.25</v>
      </c>
      <c r="E3" s="1">
        <v>43252</v>
      </c>
      <c r="F3">
        <v>-8.7188358306884695</v>
      </c>
      <c r="G3">
        <v>3.25</v>
      </c>
      <c r="J3">
        <v>3.9663470163169254</v>
      </c>
      <c r="K3" s="1">
        <v>43252</v>
      </c>
      <c r="L3">
        <f t="shared" ref="L3:L12" si="0">C3+1.644*J3</f>
        <v>317.92067449482499</v>
      </c>
      <c r="M3">
        <f t="shared" ref="M3:M12" si="1">C3-1.644*J3</f>
        <v>304.87932550517496</v>
      </c>
      <c r="N3">
        <f t="shared" ref="N3:N12" si="2">C3</f>
        <v>311.39999999999998</v>
      </c>
      <c r="O3">
        <f t="shared" ref="O3:O12" si="3">F3+C3</f>
        <v>302.6811641693115</v>
      </c>
      <c r="P3">
        <f t="shared" ref="P3:P37" si="4">IF(AND(D3&gt;0, AND(O3&lt;L3, O3&gt;M3)), 1, 0)</f>
        <v>0</v>
      </c>
    </row>
    <row r="4" spans="1:16" x14ac:dyDescent="0.3">
      <c r="A4" s="1">
        <v>43164</v>
      </c>
      <c r="B4">
        <v>303.85000000000002</v>
      </c>
      <c r="C4">
        <v>313.15000019073398</v>
      </c>
      <c r="D4">
        <v>-9.3000001907348597</v>
      </c>
      <c r="E4" s="1">
        <v>43255</v>
      </c>
      <c r="F4">
        <v>-1.59107017517089</v>
      </c>
      <c r="G4">
        <v>9.3000001907348597</v>
      </c>
      <c r="J4">
        <v>3.6975128074880943</v>
      </c>
      <c r="K4" s="1">
        <v>43255</v>
      </c>
      <c r="L4">
        <f t="shared" si="0"/>
        <v>319.22871124624442</v>
      </c>
      <c r="M4">
        <f t="shared" si="1"/>
        <v>307.07128913522354</v>
      </c>
      <c r="N4">
        <f t="shared" si="2"/>
        <v>313.15000019073398</v>
      </c>
      <c r="O4">
        <f t="shared" si="3"/>
        <v>311.55893001556308</v>
      </c>
      <c r="P4">
        <f t="shared" si="4"/>
        <v>0</v>
      </c>
    </row>
    <row r="5" spans="1:16" x14ac:dyDescent="0.3">
      <c r="A5" s="1">
        <v>43165</v>
      </c>
      <c r="B5">
        <v>310.3</v>
      </c>
      <c r="C5">
        <v>313.75000004768299</v>
      </c>
      <c r="D5">
        <v>3.45000004768371</v>
      </c>
      <c r="E5" s="1">
        <v>43256</v>
      </c>
      <c r="F5">
        <v>4.9308366775512598</v>
      </c>
      <c r="G5">
        <v>3.45000004768371</v>
      </c>
      <c r="J5">
        <v>3.6437286415787837</v>
      </c>
      <c r="K5" s="1">
        <v>43256</v>
      </c>
      <c r="L5">
        <f t="shared" si="0"/>
        <v>319.74028993443852</v>
      </c>
      <c r="M5">
        <f t="shared" si="1"/>
        <v>307.75971016092745</v>
      </c>
      <c r="N5">
        <f t="shared" si="2"/>
        <v>313.75000004768299</v>
      </c>
      <c r="O5">
        <f t="shared" si="3"/>
        <v>318.68083672523426</v>
      </c>
      <c r="P5">
        <f t="shared" si="4"/>
        <v>1</v>
      </c>
    </row>
    <row r="6" spans="1:16" x14ac:dyDescent="0.3">
      <c r="A6" s="1">
        <v>43166</v>
      </c>
      <c r="B6">
        <v>310.45</v>
      </c>
      <c r="C6">
        <v>313.74999995231599</v>
      </c>
      <c r="D6">
        <v>3.2999999523162802</v>
      </c>
      <c r="E6" s="1">
        <v>43257</v>
      </c>
      <c r="F6">
        <v>7.64800310134887E-2</v>
      </c>
      <c r="G6">
        <v>3.2999999523162802</v>
      </c>
      <c r="J6">
        <v>3.5918606237414945</v>
      </c>
      <c r="K6" s="1">
        <v>43257</v>
      </c>
      <c r="L6">
        <f t="shared" si="0"/>
        <v>319.65501881774702</v>
      </c>
      <c r="M6">
        <f t="shared" si="1"/>
        <v>307.84498108688496</v>
      </c>
      <c r="N6">
        <f t="shared" si="2"/>
        <v>313.74999995231599</v>
      </c>
      <c r="O6">
        <f t="shared" si="3"/>
        <v>313.82647998332948</v>
      </c>
      <c r="P6">
        <f t="shared" si="4"/>
        <v>1</v>
      </c>
    </row>
    <row r="7" spans="1:16" x14ac:dyDescent="0.3">
      <c r="A7" s="1">
        <v>43167</v>
      </c>
      <c r="B7">
        <v>313.60000000000002</v>
      </c>
      <c r="C7">
        <v>316.85000000000002</v>
      </c>
      <c r="D7">
        <v>-3.25</v>
      </c>
      <c r="E7" s="1">
        <v>43258</v>
      </c>
      <c r="F7">
        <v>-2.1858971118927002</v>
      </c>
      <c r="G7">
        <v>3.25</v>
      </c>
      <c r="J7">
        <v>3.5838692764084801</v>
      </c>
      <c r="K7" s="1">
        <v>43258</v>
      </c>
      <c r="L7">
        <f t="shared" si="0"/>
        <v>322.74188109041557</v>
      </c>
      <c r="M7">
        <f t="shared" si="1"/>
        <v>310.95811890958447</v>
      </c>
      <c r="N7">
        <f t="shared" si="2"/>
        <v>316.85000000000002</v>
      </c>
      <c r="O7">
        <f t="shared" si="3"/>
        <v>314.66410288810732</v>
      </c>
      <c r="P7">
        <f t="shared" si="4"/>
        <v>0</v>
      </c>
    </row>
    <row r="8" spans="1:16" x14ac:dyDescent="0.3">
      <c r="A8" s="1">
        <v>43168</v>
      </c>
      <c r="B8">
        <v>317.10000000000002</v>
      </c>
      <c r="C8">
        <v>313.300000047683</v>
      </c>
      <c r="D8">
        <v>3.7999999523162802</v>
      </c>
      <c r="E8" s="1">
        <v>43259</v>
      </c>
      <c r="F8">
        <v>-2.6502382755279501</v>
      </c>
      <c r="G8">
        <v>-3.7999999523162802</v>
      </c>
      <c r="J8">
        <v>3.5935544261165111</v>
      </c>
      <c r="K8" s="1">
        <v>43259</v>
      </c>
      <c r="L8">
        <f t="shared" si="0"/>
        <v>319.20780352421855</v>
      </c>
      <c r="M8">
        <f t="shared" si="1"/>
        <v>307.39219657114745</v>
      </c>
      <c r="N8">
        <f t="shared" si="2"/>
        <v>313.300000047683</v>
      </c>
      <c r="O8">
        <f t="shared" si="3"/>
        <v>310.64976177215505</v>
      </c>
      <c r="P8">
        <f t="shared" si="4"/>
        <v>1</v>
      </c>
    </row>
    <row r="9" spans="1:16" x14ac:dyDescent="0.3">
      <c r="A9" s="1">
        <v>43171</v>
      </c>
      <c r="B9">
        <v>320.10000000000002</v>
      </c>
      <c r="C9">
        <v>316.14999995231602</v>
      </c>
      <c r="D9">
        <v>3.95000004768371</v>
      </c>
      <c r="E9" s="1">
        <v>43262</v>
      </c>
      <c r="F9">
        <v>-1.33865761756896</v>
      </c>
      <c r="G9">
        <v>-3.95000004768371</v>
      </c>
      <c r="J9">
        <v>3.5521090024638373</v>
      </c>
      <c r="K9" s="1">
        <v>43262</v>
      </c>
      <c r="L9">
        <f t="shared" si="0"/>
        <v>321.98966715236656</v>
      </c>
      <c r="M9">
        <f t="shared" si="1"/>
        <v>310.31033275226548</v>
      </c>
      <c r="N9">
        <f t="shared" si="2"/>
        <v>316.14999995231602</v>
      </c>
      <c r="O9">
        <f t="shared" si="3"/>
        <v>314.81134233474705</v>
      </c>
      <c r="P9">
        <f t="shared" si="4"/>
        <v>1</v>
      </c>
    </row>
    <row r="10" spans="1:16" x14ac:dyDescent="0.3">
      <c r="A10" s="1">
        <v>43172</v>
      </c>
      <c r="B10">
        <v>321.5</v>
      </c>
      <c r="C10">
        <v>315.65000009536698</v>
      </c>
      <c r="D10">
        <v>5.8499999046325604</v>
      </c>
      <c r="E10" s="1">
        <v>43263</v>
      </c>
      <c r="F10">
        <v>-2.2168188095092698</v>
      </c>
      <c r="G10">
        <v>-5.8499999046325604</v>
      </c>
      <c r="J10">
        <v>3.4760354019176276</v>
      </c>
      <c r="K10" s="1">
        <v>43263</v>
      </c>
      <c r="L10">
        <f t="shared" si="0"/>
        <v>321.36460229611953</v>
      </c>
      <c r="M10">
        <f t="shared" si="1"/>
        <v>309.93539789461443</v>
      </c>
      <c r="N10">
        <f t="shared" si="2"/>
        <v>315.65000009536698</v>
      </c>
      <c r="O10">
        <f t="shared" si="3"/>
        <v>313.4331812858577</v>
      </c>
      <c r="P10">
        <f t="shared" si="4"/>
        <v>1</v>
      </c>
    </row>
    <row r="11" spans="1:16" x14ac:dyDescent="0.3">
      <c r="A11" s="1">
        <v>43173</v>
      </c>
      <c r="B11">
        <v>321.55</v>
      </c>
      <c r="C11">
        <v>315.64999990463201</v>
      </c>
      <c r="D11">
        <v>5.9000000953674299</v>
      </c>
      <c r="E11" s="1">
        <v>43264</v>
      </c>
      <c r="F11">
        <v>-8.5785207748412997</v>
      </c>
      <c r="G11">
        <v>-5.9000000953674299</v>
      </c>
      <c r="J11">
        <v>3.3944546123618511</v>
      </c>
      <c r="K11" s="1">
        <v>43264</v>
      </c>
      <c r="L11">
        <f t="shared" si="0"/>
        <v>321.2304832873549</v>
      </c>
      <c r="M11">
        <f t="shared" si="1"/>
        <v>310.06951652190912</v>
      </c>
      <c r="N11">
        <f t="shared" si="2"/>
        <v>315.64999990463201</v>
      </c>
      <c r="O11">
        <f t="shared" si="3"/>
        <v>307.0714791297907</v>
      </c>
      <c r="P11">
        <f t="shared" si="4"/>
        <v>0</v>
      </c>
    </row>
    <row r="12" spans="1:16" x14ac:dyDescent="0.3">
      <c r="A12" s="1">
        <v>43174</v>
      </c>
      <c r="B12">
        <v>322.85000000000002</v>
      </c>
      <c r="C12">
        <v>310.40000019073398</v>
      </c>
      <c r="D12">
        <v>12.449999809265099</v>
      </c>
      <c r="E12" s="1">
        <v>43265</v>
      </c>
      <c r="F12">
        <v>-13.386788368225</v>
      </c>
      <c r="G12">
        <v>-12.449999809265099</v>
      </c>
      <c r="J12">
        <v>3.3246131932324716</v>
      </c>
      <c r="K12" s="1">
        <v>43265</v>
      </c>
      <c r="L12">
        <f t="shared" si="0"/>
        <v>315.86566428040817</v>
      </c>
      <c r="M12">
        <f t="shared" si="1"/>
        <v>304.93433610105978</v>
      </c>
      <c r="N12">
        <f t="shared" si="2"/>
        <v>310.40000019073398</v>
      </c>
      <c r="O12">
        <f t="shared" si="3"/>
        <v>297.01321182250899</v>
      </c>
      <c r="P12">
        <f t="shared" si="4"/>
        <v>0</v>
      </c>
    </row>
    <row r="13" spans="1:16" x14ac:dyDescent="0.3">
      <c r="A13" s="1">
        <v>43175</v>
      </c>
      <c r="B13">
        <v>322</v>
      </c>
      <c r="C13">
        <v>309.19999980926502</v>
      </c>
      <c r="D13">
        <v>12.800000190734799</v>
      </c>
      <c r="E13" s="1">
        <v>43266</v>
      </c>
      <c r="F13">
        <v>-10.725108146667401</v>
      </c>
      <c r="G13">
        <v>-12.800000190734799</v>
      </c>
      <c r="J13">
        <v>3.3019538213702435</v>
      </c>
      <c r="K13" s="1">
        <v>43266</v>
      </c>
      <c r="L13">
        <f t="shared" ref="L13:L37" si="5">C13+1.644*J13</f>
        <v>314.62841189159769</v>
      </c>
      <c r="M13">
        <f t="shared" ref="M13:M37" si="6">C13-1.644*J13</f>
        <v>303.77158772693235</v>
      </c>
      <c r="N13">
        <f t="shared" ref="N13:N37" si="7">C13</f>
        <v>309.19999980926502</v>
      </c>
      <c r="O13">
        <f t="shared" ref="O13:O37" si="8">F13+C13</f>
        <v>298.4748916625976</v>
      </c>
      <c r="P13">
        <f t="shared" si="4"/>
        <v>0</v>
      </c>
    </row>
    <row r="14" spans="1:16" x14ac:dyDescent="0.3">
      <c r="A14" s="1">
        <v>43178</v>
      </c>
      <c r="B14">
        <v>319.85000000000002</v>
      </c>
      <c r="C14">
        <v>305.85000000000002</v>
      </c>
      <c r="D14">
        <v>14</v>
      </c>
      <c r="E14" s="1">
        <v>43269</v>
      </c>
      <c r="F14">
        <v>-2.5567538738250701</v>
      </c>
      <c r="G14">
        <v>-14</v>
      </c>
      <c r="J14">
        <v>3.4426154245774345</v>
      </c>
      <c r="K14" s="1">
        <v>43269</v>
      </c>
      <c r="L14">
        <f t="shared" si="5"/>
        <v>311.50965975800534</v>
      </c>
      <c r="M14">
        <f t="shared" si="6"/>
        <v>300.1903402419947</v>
      </c>
      <c r="N14">
        <f t="shared" si="7"/>
        <v>305.85000000000002</v>
      </c>
      <c r="O14">
        <f t="shared" si="8"/>
        <v>303.29324612617495</v>
      </c>
      <c r="P14">
        <f t="shared" si="4"/>
        <v>1</v>
      </c>
    </row>
    <row r="15" spans="1:16" x14ac:dyDescent="0.3">
      <c r="A15" s="1">
        <v>43179</v>
      </c>
      <c r="B15">
        <v>321.3</v>
      </c>
      <c r="C15">
        <v>301.34999923705999</v>
      </c>
      <c r="D15">
        <v>-19.9500007629394</v>
      </c>
      <c r="E15" s="1">
        <v>43270</v>
      </c>
      <c r="F15">
        <v>3.62998914718627</v>
      </c>
      <c r="G15">
        <v>-19.9500007629394</v>
      </c>
      <c r="J15">
        <v>3.7405120355990746</v>
      </c>
      <c r="K15" s="1">
        <v>43270</v>
      </c>
      <c r="L15">
        <f t="shared" si="5"/>
        <v>307.49940102358488</v>
      </c>
      <c r="M15">
        <f t="shared" si="6"/>
        <v>295.2005974505351</v>
      </c>
      <c r="N15">
        <f t="shared" si="7"/>
        <v>301.34999923705999</v>
      </c>
      <c r="O15">
        <f t="shared" si="8"/>
        <v>304.97998838424627</v>
      </c>
      <c r="P15">
        <f t="shared" si="4"/>
        <v>0</v>
      </c>
    </row>
    <row r="16" spans="1:16" x14ac:dyDescent="0.3">
      <c r="A16" s="1">
        <v>43180</v>
      </c>
      <c r="B16">
        <v>321.60000000000002</v>
      </c>
      <c r="C16">
        <v>304.20000038146901</v>
      </c>
      <c r="D16">
        <v>17.399999618530199</v>
      </c>
      <c r="E16" s="1">
        <v>43271</v>
      </c>
      <c r="F16">
        <v>-7.8407773971557599</v>
      </c>
      <c r="G16">
        <v>-17.399999618530199</v>
      </c>
      <c r="J16">
        <v>3.8529362554370836</v>
      </c>
      <c r="K16" s="1">
        <v>43271</v>
      </c>
      <c r="L16">
        <f t="shared" si="5"/>
        <v>310.53422758540756</v>
      </c>
      <c r="M16">
        <f t="shared" si="6"/>
        <v>297.86577317753046</v>
      </c>
      <c r="N16">
        <f t="shared" si="7"/>
        <v>304.20000038146901</v>
      </c>
      <c r="O16">
        <f t="shared" si="8"/>
        <v>296.35922298431325</v>
      </c>
      <c r="P16">
        <f t="shared" si="4"/>
        <v>0</v>
      </c>
    </row>
    <row r="17" spans="1:16" x14ac:dyDescent="0.3">
      <c r="A17" s="1">
        <v>43181</v>
      </c>
      <c r="B17">
        <v>322.10000000000002</v>
      </c>
      <c r="C17">
        <v>300.74999961853001</v>
      </c>
      <c r="D17">
        <v>21.350000381469702</v>
      </c>
      <c r="E17" s="1">
        <v>43272</v>
      </c>
      <c r="F17">
        <v>-15.7853574752807</v>
      </c>
      <c r="G17">
        <v>-21.350000381469702</v>
      </c>
      <c r="J17">
        <v>4.0838499640469337</v>
      </c>
      <c r="K17" s="1">
        <v>43272</v>
      </c>
      <c r="L17">
        <f t="shared" si="5"/>
        <v>307.46384895942316</v>
      </c>
      <c r="M17">
        <f t="shared" si="6"/>
        <v>294.03615027763686</v>
      </c>
      <c r="N17">
        <f t="shared" si="7"/>
        <v>300.74999961853001</v>
      </c>
      <c r="O17">
        <f t="shared" si="8"/>
        <v>284.96464214324931</v>
      </c>
      <c r="P17">
        <f t="shared" si="4"/>
        <v>0</v>
      </c>
    </row>
    <row r="18" spans="1:16" x14ac:dyDescent="0.3">
      <c r="A18" s="1">
        <v>43182</v>
      </c>
      <c r="B18">
        <v>311.5</v>
      </c>
      <c r="C18">
        <v>303.65000009536698</v>
      </c>
      <c r="D18">
        <v>-7.8499999046325604</v>
      </c>
      <c r="E18" s="1">
        <v>43273</v>
      </c>
      <c r="F18">
        <v>11.020256042480399</v>
      </c>
      <c r="G18">
        <v>-7.8499999046325604</v>
      </c>
      <c r="J18">
        <v>4.2709527344159843</v>
      </c>
      <c r="K18" s="1">
        <v>43273</v>
      </c>
      <c r="L18">
        <f t="shared" si="5"/>
        <v>310.67144639074684</v>
      </c>
      <c r="M18">
        <f t="shared" si="6"/>
        <v>296.62855379998712</v>
      </c>
      <c r="N18">
        <f t="shared" si="7"/>
        <v>303.65000009536698</v>
      </c>
      <c r="O18">
        <f t="shared" si="8"/>
        <v>314.67025613784739</v>
      </c>
      <c r="P18">
        <f t="shared" si="4"/>
        <v>0</v>
      </c>
    </row>
    <row r="19" spans="1:16" x14ac:dyDescent="0.3">
      <c r="A19" s="1">
        <v>43185</v>
      </c>
      <c r="B19">
        <v>314.5</v>
      </c>
      <c r="C19">
        <v>303.25</v>
      </c>
      <c r="D19">
        <v>-11.25</v>
      </c>
      <c r="E19" s="1">
        <v>43276</v>
      </c>
      <c r="F19">
        <v>16.026678085327099</v>
      </c>
      <c r="G19">
        <v>-11.25</v>
      </c>
      <c r="J19">
        <v>4.4690734821058298</v>
      </c>
      <c r="K19" s="1">
        <v>43276</v>
      </c>
      <c r="L19">
        <f t="shared" si="5"/>
        <v>310.59715680458197</v>
      </c>
      <c r="M19">
        <f t="shared" si="6"/>
        <v>295.90284319541803</v>
      </c>
      <c r="N19">
        <f t="shared" si="7"/>
        <v>303.25</v>
      </c>
      <c r="O19">
        <f t="shared" si="8"/>
        <v>319.27667808532709</v>
      </c>
      <c r="P19">
        <f t="shared" si="4"/>
        <v>0</v>
      </c>
    </row>
    <row r="20" spans="1:16" x14ac:dyDescent="0.3">
      <c r="A20" s="1">
        <v>43186</v>
      </c>
      <c r="B20">
        <v>315.14999999999998</v>
      </c>
      <c r="C20">
        <v>302.39999999999998</v>
      </c>
      <c r="D20">
        <v>-12.75</v>
      </c>
      <c r="E20" s="1">
        <v>43277</v>
      </c>
      <c r="F20">
        <v>4.8046560287475497</v>
      </c>
      <c r="G20">
        <v>-12.75</v>
      </c>
      <c r="J20">
        <v>4.6798890776220485</v>
      </c>
      <c r="K20" s="1">
        <v>43277</v>
      </c>
      <c r="L20">
        <f t="shared" si="5"/>
        <v>310.09373764361061</v>
      </c>
      <c r="M20">
        <f t="shared" si="6"/>
        <v>294.70626235638935</v>
      </c>
      <c r="N20">
        <f t="shared" si="7"/>
        <v>302.39999999999998</v>
      </c>
      <c r="O20">
        <f t="shared" si="8"/>
        <v>307.20465602874754</v>
      </c>
      <c r="P20">
        <f t="shared" si="4"/>
        <v>0</v>
      </c>
    </row>
    <row r="21" spans="1:16" x14ac:dyDescent="0.3">
      <c r="A21" s="1">
        <v>43187</v>
      </c>
      <c r="B21">
        <v>310.64999999999998</v>
      </c>
      <c r="C21">
        <v>301.54999961853002</v>
      </c>
      <c r="D21">
        <v>9.1000003814697195</v>
      </c>
      <c r="E21" s="1">
        <v>43278</v>
      </c>
      <c r="F21">
        <v>-6.6685061454772896</v>
      </c>
      <c r="G21">
        <v>-9.1000003814697195</v>
      </c>
      <c r="J21">
        <v>4.8980467309781917</v>
      </c>
      <c r="K21" s="1">
        <v>43278</v>
      </c>
      <c r="L21">
        <f t="shared" si="5"/>
        <v>309.60238844425817</v>
      </c>
      <c r="M21">
        <f t="shared" si="6"/>
        <v>293.49761079280188</v>
      </c>
      <c r="N21">
        <f t="shared" si="7"/>
        <v>301.54999961853002</v>
      </c>
      <c r="O21">
        <f t="shared" si="8"/>
        <v>294.88149347305273</v>
      </c>
      <c r="P21">
        <f t="shared" si="4"/>
        <v>1</v>
      </c>
    </row>
    <row r="22" spans="1:16" x14ac:dyDescent="0.3">
      <c r="A22" s="1">
        <v>43188</v>
      </c>
      <c r="B22">
        <v>314.45</v>
      </c>
      <c r="C22">
        <v>299.09999961852998</v>
      </c>
      <c r="D22">
        <v>15.3500003814697</v>
      </c>
      <c r="E22" s="1">
        <v>43279</v>
      </c>
      <c r="F22">
        <v>-14.875628471374499</v>
      </c>
      <c r="G22">
        <v>-15.3500003814697</v>
      </c>
      <c r="J22">
        <v>5.2059053699768523</v>
      </c>
      <c r="K22" s="1">
        <v>43279</v>
      </c>
      <c r="L22">
        <f t="shared" si="5"/>
        <v>307.65850804677194</v>
      </c>
      <c r="M22">
        <f t="shared" si="6"/>
        <v>290.54149119028801</v>
      </c>
      <c r="N22">
        <f t="shared" si="7"/>
        <v>299.09999961852998</v>
      </c>
      <c r="O22">
        <f t="shared" si="8"/>
        <v>284.22437114715547</v>
      </c>
      <c r="P22">
        <f t="shared" si="4"/>
        <v>0</v>
      </c>
    </row>
    <row r="23" spans="1:16" x14ac:dyDescent="0.3">
      <c r="A23" s="1">
        <v>43189</v>
      </c>
      <c r="B23">
        <v>314.55</v>
      </c>
      <c r="C23">
        <v>299.99999980926498</v>
      </c>
      <c r="D23">
        <v>14.550000190734799</v>
      </c>
      <c r="E23" s="1">
        <v>43280</v>
      </c>
      <c r="F23">
        <v>-15.304100036621</v>
      </c>
      <c r="G23">
        <v>-14.550000190734799</v>
      </c>
      <c r="J23">
        <v>5.4514220533587503</v>
      </c>
      <c r="K23" s="1">
        <v>43280</v>
      </c>
      <c r="L23">
        <f t="shared" si="5"/>
        <v>308.96213766498676</v>
      </c>
      <c r="M23">
        <f t="shared" si="6"/>
        <v>291.0378619535432</v>
      </c>
      <c r="N23">
        <f t="shared" si="7"/>
        <v>299.99999980926498</v>
      </c>
      <c r="O23">
        <f t="shared" si="8"/>
        <v>284.695899772644</v>
      </c>
      <c r="P23">
        <f t="shared" si="4"/>
        <v>0</v>
      </c>
    </row>
    <row r="24" spans="1:16" x14ac:dyDescent="0.3">
      <c r="A24" s="1">
        <v>43192</v>
      </c>
      <c r="B24">
        <v>313.45</v>
      </c>
      <c r="C24">
        <v>292.90000076293899</v>
      </c>
      <c r="D24">
        <v>20.549999237060501</v>
      </c>
      <c r="E24" s="1">
        <v>43283</v>
      </c>
      <c r="F24">
        <v>-9.4048404693603498</v>
      </c>
      <c r="G24">
        <v>-20.549999237060501</v>
      </c>
      <c r="J24">
        <v>5.9894175506599829</v>
      </c>
      <c r="K24" s="1">
        <v>43283</v>
      </c>
      <c r="L24">
        <f t="shared" si="5"/>
        <v>302.746603216224</v>
      </c>
      <c r="M24">
        <f t="shared" si="6"/>
        <v>283.05339830965397</v>
      </c>
      <c r="N24">
        <f t="shared" si="7"/>
        <v>292.90000076293899</v>
      </c>
      <c r="O24">
        <f t="shared" si="8"/>
        <v>283.49516029357864</v>
      </c>
      <c r="P24">
        <f t="shared" si="4"/>
        <v>1</v>
      </c>
    </row>
    <row r="25" spans="1:16" x14ac:dyDescent="0.3">
      <c r="A25" s="1">
        <v>43193</v>
      </c>
      <c r="B25">
        <v>312.8</v>
      </c>
      <c r="C25">
        <v>293.75000076293901</v>
      </c>
      <c r="D25">
        <v>19.049999237060501</v>
      </c>
      <c r="E25" s="1">
        <v>43284</v>
      </c>
      <c r="F25">
        <v>-5.2110896110534597</v>
      </c>
      <c r="G25">
        <v>-19.049999237060501</v>
      </c>
      <c r="J25">
        <v>6.429470533889539</v>
      </c>
      <c r="K25" s="1">
        <v>43284</v>
      </c>
      <c r="L25">
        <f t="shared" si="5"/>
        <v>304.32005032065342</v>
      </c>
      <c r="M25">
        <f t="shared" si="6"/>
        <v>283.1799512052246</v>
      </c>
      <c r="N25">
        <f t="shared" si="7"/>
        <v>293.75000076293901</v>
      </c>
      <c r="O25">
        <f t="shared" si="8"/>
        <v>288.53891115188554</v>
      </c>
      <c r="P25">
        <f t="shared" si="4"/>
        <v>1</v>
      </c>
    </row>
    <row r="26" spans="1:16" x14ac:dyDescent="0.3">
      <c r="A26" s="1">
        <v>43194</v>
      </c>
      <c r="B26">
        <v>307.55</v>
      </c>
      <c r="C26">
        <v>292.55</v>
      </c>
      <c r="D26">
        <v>15</v>
      </c>
      <c r="E26" s="1">
        <v>43285</v>
      </c>
      <c r="F26">
        <v>-9.7494993209838796</v>
      </c>
      <c r="G26">
        <v>-15</v>
      </c>
      <c r="J26">
        <v>6.8578537935600625</v>
      </c>
      <c r="K26" s="1">
        <v>43285</v>
      </c>
      <c r="L26">
        <f t="shared" si="5"/>
        <v>303.82431163661278</v>
      </c>
      <c r="M26">
        <f t="shared" si="6"/>
        <v>281.27568836338725</v>
      </c>
      <c r="N26">
        <f t="shared" si="7"/>
        <v>292.55</v>
      </c>
      <c r="O26">
        <f t="shared" si="8"/>
        <v>282.80050067901612</v>
      </c>
      <c r="P26">
        <f t="shared" si="4"/>
        <v>1</v>
      </c>
    </row>
    <row r="27" spans="1:16" x14ac:dyDescent="0.3">
      <c r="A27" s="1">
        <v>43195</v>
      </c>
      <c r="B27">
        <v>312.95</v>
      </c>
      <c r="C27">
        <v>291.99999923706002</v>
      </c>
      <c r="D27">
        <v>20.9500007629394</v>
      </c>
      <c r="E27" s="1">
        <v>43286</v>
      </c>
      <c r="F27">
        <v>-10.210821151733301</v>
      </c>
      <c r="G27">
        <v>-20.9500007629394</v>
      </c>
      <c r="J27">
        <v>7.2946155392443126</v>
      </c>
      <c r="K27" s="1">
        <v>43286</v>
      </c>
      <c r="L27">
        <f t="shared" si="5"/>
        <v>303.99234718357769</v>
      </c>
      <c r="M27">
        <f t="shared" si="6"/>
        <v>280.00765129054236</v>
      </c>
      <c r="N27">
        <f t="shared" si="7"/>
        <v>291.99999923706002</v>
      </c>
      <c r="O27">
        <f t="shared" si="8"/>
        <v>281.78917808532674</v>
      </c>
      <c r="P27">
        <f t="shared" si="4"/>
        <v>1</v>
      </c>
    </row>
    <row r="28" spans="1:16" x14ac:dyDescent="0.3">
      <c r="A28" s="1">
        <v>43196</v>
      </c>
      <c r="B28">
        <v>311.2</v>
      </c>
      <c r="C28">
        <v>293.59999961852998</v>
      </c>
      <c r="D28">
        <v>17.600000381469702</v>
      </c>
      <c r="E28" s="1">
        <v>43287</v>
      </c>
      <c r="F28">
        <v>-4.2773060798645002</v>
      </c>
      <c r="G28">
        <v>-17.600000381469702</v>
      </c>
      <c r="J28">
        <v>7.634292099820688</v>
      </c>
      <c r="K28" s="1">
        <v>43287</v>
      </c>
      <c r="L28">
        <f t="shared" si="5"/>
        <v>306.15077583063521</v>
      </c>
      <c r="M28">
        <f t="shared" si="6"/>
        <v>281.04922340642474</v>
      </c>
      <c r="N28">
        <f t="shared" si="7"/>
        <v>293.59999961852998</v>
      </c>
      <c r="O28">
        <f t="shared" si="8"/>
        <v>289.32269353866548</v>
      </c>
      <c r="P28">
        <f t="shared" si="4"/>
        <v>1</v>
      </c>
    </row>
    <row r="29" spans="1:16" x14ac:dyDescent="0.3">
      <c r="A29" s="1">
        <v>43199</v>
      </c>
      <c r="B29">
        <v>312.95</v>
      </c>
      <c r="C29">
        <v>296.24999923706002</v>
      </c>
      <c r="D29">
        <v>16.7000007629394</v>
      </c>
      <c r="E29" s="1">
        <v>43290</v>
      </c>
      <c r="F29">
        <v>-3.0708692073821999</v>
      </c>
      <c r="G29">
        <v>-16.7000007629394</v>
      </c>
      <c r="J29">
        <v>7.8618244481701653</v>
      </c>
      <c r="K29" s="1">
        <v>43290</v>
      </c>
      <c r="L29">
        <f t="shared" si="5"/>
        <v>309.17483862985176</v>
      </c>
      <c r="M29">
        <f t="shared" si="6"/>
        <v>283.32515984426828</v>
      </c>
      <c r="N29">
        <f t="shared" si="7"/>
        <v>296.24999923706002</v>
      </c>
      <c r="O29">
        <f t="shared" si="8"/>
        <v>293.17913002967782</v>
      </c>
      <c r="P29">
        <f t="shared" si="4"/>
        <v>1</v>
      </c>
    </row>
    <row r="30" spans="1:16" x14ac:dyDescent="0.3">
      <c r="A30" s="1">
        <v>43200</v>
      </c>
      <c r="B30">
        <v>313.45</v>
      </c>
      <c r="C30">
        <v>296.95</v>
      </c>
      <c r="D30">
        <v>16.5</v>
      </c>
      <c r="E30" s="1">
        <v>43291</v>
      </c>
      <c r="F30">
        <v>-7.7918376922607404</v>
      </c>
      <c r="G30">
        <v>-16.5</v>
      </c>
      <c r="J30">
        <v>8.0530036500961248</v>
      </c>
      <c r="K30" s="1">
        <v>43291</v>
      </c>
      <c r="L30">
        <f t="shared" si="5"/>
        <v>310.18913800075802</v>
      </c>
      <c r="M30">
        <f t="shared" si="6"/>
        <v>283.71086199924196</v>
      </c>
      <c r="N30">
        <f t="shared" si="7"/>
        <v>296.95</v>
      </c>
      <c r="O30">
        <f t="shared" si="8"/>
        <v>289.15816230773925</v>
      </c>
      <c r="P30">
        <f t="shared" si="4"/>
        <v>1</v>
      </c>
    </row>
    <row r="31" spans="1:16" x14ac:dyDescent="0.3">
      <c r="A31" s="1">
        <v>43201</v>
      </c>
      <c r="B31">
        <v>312.45</v>
      </c>
      <c r="C31">
        <v>295.30000038146898</v>
      </c>
      <c r="D31">
        <v>17.149999618530199</v>
      </c>
      <c r="E31" s="1">
        <v>43292</v>
      </c>
      <c r="F31">
        <v>-3.5555353164672798</v>
      </c>
      <c r="G31">
        <v>-17.149999618530199</v>
      </c>
      <c r="J31">
        <v>8.2815882006412274</v>
      </c>
      <c r="K31" s="1">
        <v>43292</v>
      </c>
      <c r="L31">
        <f t="shared" si="5"/>
        <v>308.91493138332316</v>
      </c>
      <c r="M31">
        <f t="shared" si="6"/>
        <v>281.68506937961479</v>
      </c>
      <c r="N31">
        <f t="shared" si="7"/>
        <v>295.30000038146898</v>
      </c>
      <c r="O31">
        <f t="shared" si="8"/>
        <v>291.74446506500169</v>
      </c>
      <c r="P31">
        <f t="shared" si="4"/>
        <v>1</v>
      </c>
    </row>
    <row r="32" spans="1:16" x14ac:dyDescent="0.3">
      <c r="A32" s="1">
        <v>43202</v>
      </c>
      <c r="B32">
        <v>311.75</v>
      </c>
      <c r="C32">
        <v>296</v>
      </c>
      <c r="D32">
        <v>15.75</v>
      </c>
      <c r="E32" s="1">
        <v>43293</v>
      </c>
      <c r="F32">
        <v>-11.197638511657701</v>
      </c>
      <c r="G32">
        <v>-15.75</v>
      </c>
      <c r="J32">
        <v>8.4787483910566728</v>
      </c>
      <c r="K32" s="1">
        <v>43293</v>
      </c>
      <c r="L32">
        <f t="shared" si="5"/>
        <v>309.93906235489715</v>
      </c>
      <c r="M32">
        <f t="shared" si="6"/>
        <v>282.06093764510285</v>
      </c>
      <c r="N32">
        <f t="shared" si="7"/>
        <v>296</v>
      </c>
      <c r="O32">
        <f t="shared" si="8"/>
        <v>284.80236148834229</v>
      </c>
      <c r="P32">
        <f t="shared" si="4"/>
        <v>1</v>
      </c>
    </row>
    <row r="33" spans="1:16" x14ac:dyDescent="0.3">
      <c r="A33" s="1">
        <v>43203</v>
      </c>
      <c r="B33">
        <v>314.45</v>
      </c>
      <c r="C33">
        <v>299.09999961852998</v>
      </c>
      <c r="D33">
        <v>15.3500003814697</v>
      </c>
      <c r="E33" s="1">
        <v>43294</v>
      </c>
      <c r="F33">
        <v>-9.4279880523681605</v>
      </c>
      <c r="G33">
        <v>-15.3500003814697</v>
      </c>
      <c r="J33">
        <v>8.5792699337504121</v>
      </c>
      <c r="K33" s="1">
        <v>43294</v>
      </c>
      <c r="L33">
        <f t="shared" si="5"/>
        <v>313.20431938961565</v>
      </c>
      <c r="M33">
        <f t="shared" si="6"/>
        <v>284.99567984744431</v>
      </c>
      <c r="N33">
        <f t="shared" si="7"/>
        <v>299.09999961852998</v>
      </c>
      <c r="O33">
        <f t="shared" si="8"/>
        <v>289.67201156616181</v>
      </c>
      <c r="P33">
        <f t="shared" si="4"/>
        <v>1</v>
      </c>
    </row>
    <row r="34" spans="1:16" x14ac:dyDescent="0.3">
      <c r="A34" s="1">
        <v>43206</v>
      </c>
      <c r="B34">
        <v>314.3</v>
      </c>
      <c r="C34">
        <v>298.19999961853</v>
      </c>
      <c r="D34">
        <v>16.100000381469702</v>
      </c>
      <c r="E34" s="1">
        <v>43297</v>
      </c>
      <c r="F34">
        <v>-11.257752418518001</v>
      </c>
      <c r="G34">
        <v>-16.100000381469702</v>
      </c>
      <c r="J34">
        <v>8.6916496730172845</v>
      </c>
      <c r="K34" s="1">
        <v>43297</v>
      </c>
      <c r="L34">
        <f t="shared" si="5"/>
        <v>312.48907168097043</v>
      </c>
      <c r="M34">
        <f t="shared" si="6"/>
        <v>283.91092755608958</v>
      </c>
      <c r="N34">
        <f t="shared" si="7"/>
        <v>298.19999961853</v>
      </c>
      <c r="O34">
        <f t="shared" si="8"/>
        <v>286.94224720001199</v>
      </c>
      <c r="P34">
        <f t="shared" si="4"/>
        <v>1</v>
      </c>
    </row>
    <row r="35" spans="1:16" x14ac:dyDescent="0.3">
      <c r="A35" s="1">
        <v>43207</v>
      </c>
      <c r="B35">
        <v>314.39999999999998</v>
      </c>
      <c r="C35">
        <v>297.35000076293898</v>
      </c>
      <c r="D35">
        <v>17.049999237060501</v>
      </c>
      <c r="E35" s="1">
        <v>43298</v>
      </c>
      <c r="F35">
        <v>-4.6869916915893501</v>
      </c>
      <c r="G35">
        <v>-17.049999237060501</v>
      </c>
      <c r="J35">
        <v>8.8127259245453562</v>
      </c>
      <c r="K35" s="1">
        <v>43298</v>
      </c>
      <c r="L35">
        <f t="shared" si="5"/>
        <v>311.83812218289154</v>
      </c>
      <c r="M35">
        <f t="shared" si="6"/>
        <v>282.86187934298641</v>
      </c>
      <c r="N35">
        <f t="shared" si="7"/>
        <v>297.35000076293898</v>
      </c>
      <c r="O35">
        <f t="shared" si="8"/>
        <v>292.66300907134962</v>
      </c>
      <c r="P35">
        <f t="shared" si="4"/>
        <v>1</v>
      </c>
    </row>
    <row r="36" spans="1:16" x14ac:dyDescent="0.3">
      <c r="A36" s="1">
        <v>43208</v>
      </c>
      <c r="B36">
        <v>317.60000000000002</v>
      </c>
      <c r="C36">
        <v>297.05000076293902</v>
      </c>
      <c r="D36">
        <v>20.549999237060501</v>
      </c>
      <c r="E36" s="1">
        <v>43299</v>
      </c>
      <c r="F36">
        <v>-9.7700891494750906</v>
      </c>
      <c r="G36">
        <v>-20.549999237060501</v>
      </c>
      <c r="J36">
        <v>8.8939108518347858</v>
      </c>
      <c r="K36" s="1">
        <v>43299</v>
      </c>
      <c r="L36">
        <f t="shared" si="5"/>
        <v>311.67159020335544</v>
      </c>
      <c r="M36">
        <f t="shared" si="6"/>
        <v>282.42841132252261</v>
      </c>
      <c r="N36">
        <f t="shared" si="7"/>
        <v>297.05000076293902</v>
      </c>
      <c r="O36">
        <f t="shared" si="8"/>
        <v>287.27991161346392</v>
      </c>
      <c r="P36">
        <f t="shared" si="4"/>
        <v>1</v>
      </c>
    </row>
    <row r="37" spans="1:16" x14ac:dyDescent="0.3">
      <c r="A37" s="1">
        <v>43209</v>
      </c>
      <c r="B37">
        <v>319</v>
      </c>
      <c r="C37">
        <v>296.04999923705998</v>
      </c>
      <c r="D37">
        <v>22.9500007629394</v>
      </c>
      <c r="E37" s="1">
        <v>43300</v>
      </c>
      <c r="F37">
        <v>-12.0609636306762</v>
      </c>
      <c r="G37">
        <v>-22.9500007629394</v>
      </c>
      <c r="J37">
        <v>8.9623449723744795</v>
      </c>
      <c r="K37" s="1">
        <v>43300</v>
      </c>
      <c r="L37">
        <f t="shared" si="5"/>
        <v>310.78409437164362</v>
      </c>
      <c r="M37">
        <f t="shared" si="6"/>
        <v>281.31590410247634</v>
      </c>
      <c r="N37">
        <f t="shared" si="7"/>
        <v>296.04999923705998</v>
      </c>
      <c r="O37">
        <f t="shared" si="8"/>
        <v>283.98903560638377</v>
      </c>
      <c r="P37">
        <f t="shared" si="4"/>
        <v>1</v>
      </c>
    </row>
    <row r="38" spans="1:16" x14ac:dyDescent="0.3">
      <c r="P38">
        <f>SUM(P2:P37)/36</f>
        <v>0.61111111111111116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2018-07-21T11:16:45Z</dcterms:created>
  <dcterms:modified xsi:type="dcterms:W3CDTF">2018-07-21T11:16:45Z</dcterms:modified>
</cp:coreProperties>
</file>