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emian-marketbreaker\results_vdiff\"/>
    </mc:Choice>
  </mc:AlternateContent>
  <bookViews>
    <workbookView xWindow="0" yWindow="0" windowWidth="28800" windowHeight="12390"/>
  </bookViews>
  <sheets>
    <sheet name="vdiff_65_10_10_0.001_300_200_20" sheetId="1" r:id="rId1"/>
  </sheets>
  <calcPr calcId="0"/>
</workbook>
</file>

<file path=xl/calcChain.xml><?xml version="1.0" encoding="utf-8"?>
<calcChain xmlns="http://schemas.openxmlformats.org/spreadsheetml/2006/main">
  <c r="L198" i="1" l="1"/>
  <c r="M198" i="1"/>
  <c r="N198" i="1"/>
  <c r="O198" i="1"/>
  <c r="P198" i="1" s="1"/>
  <c r="L199" i="1"/>
  <c r="M199" i="1"/>
  <c r="N199" i="1"/>
  <c r="O199" i="1"/>
  <c r="P199" i="1" s="1"/>
  <c r="L200" i="1"/>
  <c r="M200" i="1"/>
  <c r="N200" i="1"/>
  <c r="O200" i="1"/>
  <c r="P200" i="1" s="1"/>
  <c r="L201" i="1"/>
  <c r="M201" i="1"/>
  <c r="N201" i="1"/>
  <c r="O201" i="1"/>
  <c r="P201" i="1"/>
  <c r="L202" i="1"/>
  <c r="M202" i="1"/>
  <c r="N202" i="1"/>
  <c r="O202" i="1"/>
  <c r="P202" i="1" s="1"/>
  <c r="L203" i="1"/>
  <c r="M203" i="1"/>
  <c r="N203" i="1"/>
  <c r="O203" i="1"/>
  <c r="P203" i="1" s="1"/>
  <c r="L204" i="1"/>
  <c r="M204" i="1"/>
  <c r="N204" i="1"/>
  <c r="O204" i="1"/>
  <c r="P204" i="1" s="1"/>
  <c r="L205" i="1"/>
  <c r="M205" i="1"/>
  <c r="N205" i="1"/>
  <c r="O205" i="1"/>
  <c r="P205" i="1"/>
  <c r="L206" i="1"/>
  <c r="M206" i="1"/>
  <c r="N206" i="1"/>
  <c r="O206" i="1"/>
  <c r="P206" i="1" s="1"/>
  <c r="L207" i="1"/>
  <c r="M207" i="1"/>
  <c r="N207" i="1"/>
  <c r="O207" i="1"/>
  <c r="P207" i="1" s="1"/>
  <c r="L208" i="1"/>
  <c r="M208" i="1"/>
  <c r="N208" i="1"/>
  <c r="O208" i="1"/>
  <c r="P208" i="1" s="1"/>
  <c r="L209" i="1"/>
  <c r="M209" i="1"/>
  <c r="N209" i="1"/>
  <c r="O209" i="1"/>
  <c r="P209" i="1"/>
  <c r="L210" i="1"/>
  <c r="M210" i="1"/>
  <c r="N210" i="1"/>
  <c r="O210" i="1"/>
  <c r="P210" i="1" s="1"/>
  <c r="L211" i="1"/>
  <c r="M211" i="1"/>
  <c r="N211" i="1"/>
  <c r="O211" i="1"/>
  <c r="P211" i="1" s="1"/>
  <c r="L212" i="1"/>
  <c r="M212" i="1"/>
  <c r="P212" i="1" s="1"/>
  <c r="N212" i="1"/>
  <c r="O212" i="1"/>
  <c r="L213" i="1"/>
  <c r="M213" i="1"/>
  <c r="N213" i="1"/>
  <c r="O213" i="1"/>
  <c r="P213" i="1"/>
  <c r="L214" i="1"/>
  <c r="M214" i="1"/>
  <c r="N214" i="1"/>
  <c r="O214" i="1"/>
  <c r="P214" i="1" s="1"/>
  <c r="L215" i="1"/>
  <c r="M215" i="1"/>
  <c r="N215" i="1"/>
  <c r="O215" i="1"/>
  <c r="P215" i="1" s="1"/>
  <c r="L216" i="1"/>
  <c r="M216" i="1"/>
  <c r="P216" i="1" s="1"/>
  <c r="N216" i="1"/>
  <c r="O216" i="1"/>
  <c r="L217" i="1"/>
  <c r="M217" i="1"/>
  <c r="N217" i="1"/>
  <c r="O217" i="1"/>
  <c r="P217" i="1"/>
  <c r="L218" i="1"/>
  <c r="M218" i="1"/>
  <c r="N218" i="1"/>
  <c r="O218" i="1"/>
  <c r="P218" i="1" s="1"/>
  <c r="L219" i="1"/>
  <c r="M219" i="1"/>
  <c r="N219" i="1"/>
  <c r="O219" i="1"/>
  <c r="P219" i="1" s="1"/>
  <c r="L220" i="1"/>
  <c r="M220" i="1"/>
  <c r="P220" i="1" s="1"/>
  <c r="N220" i="1"/>
  <c r="O220" i="1"/>
  <c r="L221" i="1"/>
  <c r="P221" i="1" s="1"/>
  <c r="M221" i="1"/>
  <c r="N221" i="1"/>
  <c r="O221" i="1"/>
  <c r="L222" i="1"/>
  <c r="M222" i="1"/>
  <c r="N222" i="1"/>
  <c r="O222" i="1"/>
  <c r="P222" i="1" s="1"/>
  <c r="L223" i="1"/>
  <c r="M223" i="1"/>
  <c r="N223" i="1"/>
  <c r="O223" i="1"/>
  <c r="P223" i="1" s="1"/>
  <c r="L224" i="1"/>
  <c r="M224" i="1"/>
  <c r="P224" i="1" s="1"/>
  <c r="N224" i="1"/>
  <c r="O224" i="1"/>
  <c r="L225" i="1"/>
  <c r="P225" i="1" s="1"/>
  <c r="M225" i="1"/>
  <c r="N225" i="1"/>
  <c r="O225" i="1"/>
  <c r="L226" i="1"/>
  <c r="M226" i="1"/>
  <c r="N226" i="1"/>
  <c r="O226" i="1"/>
  <c r="P226" i="1" s="1"/>
  <c r="L227" i="1"/>
  <c r="M227" i="1"/>
  <c r="N227" i="1"/>
  <c r="O227" i="1"/>
  <c r="P227" i="1" s="1"/>
  <c r="L228" i="1"/>
  <c r="M228" i="1"/>
  <c r="P228" i="1" s="1"/>
  <c r="N228" i="1"/>
  <c r="O228" i="1"/>
  <c r="L229" i="1"/>
  <c r="M229" i="1"/>
  <c r="N229" i="1"/>
  <c r="O229" i="1"/>
  <c r="P229" i="1"/>
  <c r="L230" i="1"/>
  <c r="M230" i="1"/>
  <c r="N230" i="1"/>
  <c r="O230" i="1"/>
  <c r="P230" i="1" s="1"/>
  <c r="L231" i="1"/>
  <c r="M231" i="1"/>
  <c r="N231" i="1"/>
  <c r="O231" i="1"/>
  <c r="P231" i="1" s="1"/>
  <c r="L232" i="1"/>
  <c r="M232" i="1"/>
  <c r="P232" i="1" s="1"/>
  <c r="N232" i="1"/>
  <c r="O232" i="1"/>
  <c r="L233" i="1"/>
  <c r="M233" i="1"/>
  <c r="N233" i="1"/>
  <c r="O233" i="1"/>
  <c r="P233" i="1"/>
  <c r="L234" i="1"/>
  <c r="M234" i="1"/>
  <c r="N234" i="1"/>
  <c r="O234" i="1"/>
  <c r="P234" i="1" s="1"/>
  <c r="L235" i="1"/>
  <c r="M235" i="1"/>
  <c r="N235" i="1"/>
  <c r="O235" i="1"/>
  <c r="P235" i="1" s="1"/>
  <c r="L236" i="1"/>
  <c r="M236" i="1"/>
  <c r="N236" i="1"/>
  <c r="O236" i="1"/>
  <c r="P236" i="1" s="1"/>
  <c r="L237" i="1"/>
  <c r="M237" i="1"/>
  <c r="N237" i="1"/>
  <c r="O237" i="1"/>
  <c r="P237" i="1"/>
  <c r="L238" i="1"/>
  <c r="M238" i="1"/>
  <c r="N238" i="1"/>
  <c r="O238" i="1"/>
  <c r="P238" i="1" s="1"/>
  <c r="L239" i="1"/>
  <c r="M239" i="1"/>
  <c r="N239" i="1"/>
  <c r="O239" i="1"/>
  <c r="P239" i="1" s="1"/>
  <c r="L240" i="1"/>
  <c r="M240" i="1"/>
  <c r="P240" i="1" s="1"/>
  <c r="N240" i="1"/>
  <c r="O240" i="1"/>
  <c r="L241" i="1"/>
  <c r="M241" i="1"/>
  <c r="N241" i="1"/>
  <c r="O241" i="1"/>
  <c r="P241" i="1"/>
  <c r="L242" i="1"/>
  <c r="M242" i="1"/>
  <c r="N242" i="1"/>
  <c r="O242" i="1"/>
  <c r="P242" i="1" s="1"/>
  <c r="L243" i="1"/>
  <c r="M243" i="1"/>
  <c r="N243" i="1"/>
  <c r="O243" i="1"/>
  <c r="P243" i="1" s="1"/>
  <c r="L244" i="1"/>
  <c r="M244" i="1"/>
  <c r="P244" i="1" s="1"/>
  <c r="N244" i="1"/>
  <c r="O244" i="1"/>
  <c r="L245" i="1"/>
  <c r="M245" i="1"/>
  <c r="N245" i="1"/>
  <c r="O245" i="1"/>
  <c r="P245" i="1"/>
  <c r="L246" i="1"/>
  <c r="M246" i="1"/>
  <c r="N246" i="1"/>
  <c r="O246" i="1"/>
  <c r="P246" i="1" s="1"/>
  <c r="L247" i="1"/>
  <c r="M247" i="1"/>
  <c r="N247" i="1"/>
  <c r="O247" i="1"/>
  <c r="P247" i="1" s="1"/>
  <c r="L248" i="1"/>
  <c r="M248" i="1"/>
  <c r="P248" i="1" s="1"/>
  <c r="N248" i="1"/>
  <c r="O248" i="1"/>
  <c r="L249" i="1"/>
  <c r="M249" i="1"/>
  <c r="N249" i="1"/>
  <c r="O249" i="1"/>
  <c r="P249" i="1"/>
  <c r="L250" i="1"/>
  <c r="M250" i="1"/>
  <c r="N250" i="1"/>
  <c r="O250" i="1"/>
  <c r="P250" i="1" s="1"/>
  <c r="L251" i="1"/>
  <c r="M251" i="1"/>
  <c r="N251" i="1"/>
  <c r="O251" i="1"/>
  <c r="P251" i="1" s="1"/>
  <c r="L252" i="1"/>
  <c r="M252" i="1"/>
  <c r="P252" i="1" s="1"/>
  <c r="N252" i="1"/>
  <c r="O252" i="1"/>
  <c r="L253" i="1"/>
  <c r="M253" i="1"/>
  <c r="N253" i="1"/>
  <c r="O253" i="1"/>
  <c r="P253" i="1"/>
  <c r="L254" i="1"/>
  <c r="M254" i="1"/>
  <c r="N254" i="1"/>
  <c r="O254" i="1"/>
  <c r="P254" i="1" s="1"/>
  <c r="L255" i="1"/>
  <c r="M255" i="1"/>
  <c r="N255" i="1"/>
  <c r="O255" i="1"/>
  <c r="P255" i="1" s="1"/>
  <c r="L256" i="1"/>
  <c r="M256" i="1"/>
  <c r="P256" i="1" s="1"/>
  <c r="N256" i="1"/>
  <c r="O256" i="1"/>
  <c r="L257" i="1"/>
  <c r="M257" i="1"/>
  <c r="N257" i="1"/>
  <c r="O257" i="1"/>
  <c r="P257" i="1"/>
  <c r="L258" i="1"/>
  <c r="M258" i="1"/>
  <c r="N258" i="1"/>
  <c r="O258" i="1"/>
  <c r="P258" i="1" s="1"/>
  <c r="L259" i="1"/>
  <c r="M259" i="1"/>
  <c r="N259" i="1"/>
  <c r="O259" i="1"/>
  <c r="P259" i="1" s="1"/>
  <c r="L260" i="1"/>
  <c r="M260" i="1"/>
  <c r="P260" i="1" s="1"/>
  <c r="N260" i="1"/>
  <c r="O260" i="1"/>
  <c r="L261" i="1"/>
  <c r="M261" i="1"/>
  <c r="N261" i="1"/>
  <c r="O261" i="1"/>
  <c r="P261" i="1"/>
  <c r="L262" i="1"/>
  <c r="M262" i="1"/>
  <c r="N262" i="1"/>
  <c r="O262" i="1"/>
  <c r="P262" i="1" s="1"/>
  <c r="L263" i="1"/>
  <c r="M263" i="1"/>
  <c r="N263" i="1"/>
  <c r="O263" i="1"/>
  <c r="P263" i="1" s="1"/>
  <c r="L264" i="1"/>
  <c r="M264" i="1"/>
  <c r="P264" i="1" s="1"/>
  <c r="N264" i="1"/>
  <c r="O264" i="1"/>
  <c r="L265" i="1"/>
  <c r="M265" i="1"/>
  <c r="N265" i="1"/>
  <c r="O265" i="1"/>
  <c r="P265" i="1"/>
  <c r="L266" i="1"/>
  <c r="M266" i="1"/>
  <c r="N266" i="1"/>
  <c r="O266" i="1"/>
  <c r="P266" i="1" s="1"/>
  <c r="L267" i="1"/>
  <c r="M267" i="1"/>
  <c r="N267" i="1"/>
  <c r="O267" i="1"/>
  <c r="P267" i="1" s="1"/>
  <c r="L268" i="1"/>
  <c r="M268" i="1"/>
  <c r="N268" i="1"/>
  <c r="O268" i="1"/>
  <c r="P268" i="1" s="1"/>
  <c r="L269" i="1"/>
  <c r="M269" i="1"/>
  <c r="N269" i="1"/>
  <c r="O269" i="1"/>
  <c r="P269" i="1"/>
  <c r="L270" i="1"/>
  <c r="M270" i="1"/>
  <c r="N270" i="1"/>
  <c r="O270" i="1"/>
  <c r="P270" i="1" s="1"/>
  <c r="L271" i="1"/>
  <c r="M271" i="1"/>
  <c r="N271" i="1"/>
  <c r="O271" i="1"/>
  <c r="P271" i="1" s="1"/>
  <c r="L272" i="1"/>
  <c r="M272" i="1"/>
  <c r="N272" i="1"/>
  <c r="O272" i="1"/>
  <c r="P272" i="1" s="1"/>
  <c r="L273" i="1"/>
  <c r="M273" i="1"/>
  <c r="N273" i="1"/>
  <c r="O273" i="1"/>
  <c r="P273" i="1"/>
  <c r="L274" i="1"/>
  <c r="M274" i="1"/>
  <c r="N274" i="1"/>
  <c r="O274" i="1"/>
  <c r="P274" i="1" s="1"/>
  <c r="L275" i="1"/>
  <c r="M275" i="1"/>
  <c r="N275" i="1"/>
  <c r="O275" i="1"/>
  <c r="P275" i="1" s="1"/>
  <c r="L276" i="1"/>
  <c r="M276" i="1"/>
  <c r="P276" i="1" s="1"/>
  <c r="N276" i="1"/>
  <c r="O276" i="1"/>
  <c r="L277" i="1"/>
  <c r="P277" i="1" s="1"/>
  <c r="M277" i="1"/>
  <c r="N277" i="1"/>
  <c r="O277" i="1"/>
  <c r="L278" i="1"/>
  <c r="M278" i="1"/>
  <c r="N278" i="1"/>
  <c r="O278" i="1"/>
  <c r="P278" i="1" s="1"/>
  <c r="L279" i="1"/>
  <c r="M279" i="1"/>
  <c r="N279" i="1"/>
  <c r="O279" i="1"/>
  <c r="P279" i="1" s="1"/>
  <c r="L280" i="1"/>
  <c r="M280" i="1"/>
  <c r="P280" i="1" s="1"/>
  <c r="N280" i="1"/>
  <c r="O280" i="1"/>
  <c r="L281" i="1"/>
  <c r="M281" i="1"/>
  <c r="N281" i="1"/>
  <c r="O281" i="1"/>
  <c r="P281" i="1"/>
  <c r="L282" i="1"/>
  <c r="M282" i="1"/>
  <c r="N282" i="1"/>
  <c r="O282" i="1"/>
  <c r="P282" i="1" s="1"/>
  <c r="L283" i="1"/>
  <c r="M283" i="1"/>
  <c r="N283" i="1"/>
  <c r="O283" i="1"/>
  <c r="P283" i="1" s="1"/>
  <c r="L284" i="1"/>
  <c r="M284" i="1"/>
  <c r="P284" i="1" s="1"/>
  <c r="N284" i="1"/>
  <c r="O284" i="1"/>
  <c r="L285" i="1"/>
  <c r="P285" i="1" s="1"/>
  <c r="M285" i="1"/>
  <c r="N285" i="1"/>
  <c r="O285" i="1"/>
  <c r="L286" i="1"/>
  <c r="M286" i="1"/>
  <c r="N286" i="1"/>
  <c r="O286" i="1"/>
  <c r="P286" i="1" s="1"/>
  <c r="L287" i="1"/>
  <c r="M287" i="1"/>
  <c r="N287" i="1"/>
  <c r="O287" i="1"/>
  <c r="P287" i="1" s="1"/>
  <c r="L288" i="1"/>
  <c r="M288" i="1"/>
  <c r="P288" i="1" s="1"/>
  <c r="N288" i="1"/>
  <c r="O288" i="1"/>
  <c r="L289" i="1"/>
  <c r="M289" i="1"/>
  <c r="N289" i="1"/>
  <c r="O289" i="1"/>
  <c r="P289" i="1"/>
  <c r="L290" i="1"/>
  <c r="M290" i="1"/>
  <c r="N290" i="1"/>
  <c r="O290" i="1"/>
  <c r="P290" i="1" s="1"/>
  <c r="L291" i="1"/>
  <c r="M291" i="1"/>
  <c r="N291" i="1"/>
  <c r="O291" i="1"/>
  <c r="P291" i="1" s="1"/>
  <c r="L292" i="1"/>
  <c r="M292" i="1"/>
  <c r="N292" i="1"/>
  <c r="O292" i="1"/>
  <c r="P292" i="1" s="1"/>
  <c r="L293" i="1"/>
  <c r="M293" i="1"/>
  <c r="N293" i="1"/>
  <c r="O293" i="1"/>
  <c r="P293" i="1"/>
  <c r="L294" i="1"/>
  <c r="M294" i="1"/>
  <c r="N294" i="1"/>
  <c r="O294" i="1"/>
  <c r="P294" i="1" s="1"/>
  <c r="L295" i="1"/>
  <c r="M295" i="1"/>
  <c r="N295" i="1"/>
  <c r="O295" i="1"/>
  <c r="P295" i="1" s="1"/>
  <c r="L296" i="1"/>
  <c r="M296" i="1"/>
  <c r="P296" i="1" s="1"/>
  <c r="N296" i="1"/>
  <c r="O296" i="1"/>
  <c r="L297" i="1"/>
  <c r="M297" i="1"/>
  <c r="N297" i="1"/>
  <c r="O297" i="1"/>
  <c r="P297" i="1"/>
  <c r="J1" i="1"/>
  <c r="I1" i="1"/>
  <c r="H1" i="1"/>
  <c r="O197" i="1"/>
  <c r="P197" i="1" s="1"/>
  <c r="N197" i="1"/>
  <c r="M197" i="1"/>
  <c r="L197" i="1"/>
  <c r="O196" i="1"/>
  <c r="N196" i="1"/>
  <c r="M196" i="1"/>
  <c r="L196" i="1"/>
  <c r="P196" i="1" s="1"/>
  <c r="O195" i="1"/>
  <c r="P195" i="1" s="1"/>
  <c r="N195" i="1"/>
  <c r="M195" i="1"/>
  <c r="L195" i="1"/>
  <c r="O194" i="1"/>
  <c r="N194" i="1"/>
  <c r="M194" i="1"/>
  <c r="L194" i="1"/>
  <c r="P194" i="1" s="1"/>
  <c r="O193" i="1"/>
  <c r="P193" i="1" s="1"/>
  <c r="N193" i="1"/>
  <c r="M193" i="1"/>
  <c r="L193" i="1"/>
  <c r="O192" i="1"/>
  <c r="N192" i="1"/>
  <c r="M192" i="1"/>
  <c r="L192" i="1"/>
  <c r="P192" i="1" s="1"/>
  <c r="O191" i="1"/>
  <c r="P191" i="1" s="1"/>
  <c r="N191" i="1"/>
  <c r="M191" i="1"/>
  <c r="L191" i="1"/>
  <c r="O190" i="1"/>
  <c r="N190" i="1"/>
  <c r="M190" i="1"/>
  <c r="L190" i="1"/>
  <c r="P190" i="1" s="1"/>
  <c r="O189" i="1"/>
  <c r="P189" i="1" s="1"/>
  <c r="N189" i="1"/>
  <c r="M189" i="1"/>
  <c r="L189" i="1"/>
  <c r="O188" i="1"/>
  <c r="N188" i="1"/>
  <c r="M188" i="1"/>
  <c r="L188" i="1"/>
  <c r="P188" i="1" s="1"/>
  <c r="O187" i="1"/>
  <c r="P187" i="1" s="1"/>
  <c r="N187" i="1"/>
  <c r="M187" i="1"/>
  <c r="L187" i="1"/>
  <c r="O186" i="1"/>
  <c r="N186" i="1"/>
  <c r="M186" i="1"/>
  <c r="L186" i="1"/>
  <c r="P186" i="1" s="1"/>
  <c r="O185" i="1"/>
  <c r="P185" i="1" s="1"/>
  <c r="N185" i="1"/>
  <c r="M185" i="1"/>
  <c r="L185" i="1"/>
  <c r="O184" i="1"/>
  <c r="N184" i="1"/>
  <c r="M184" i="1"/>
  <c r="L184" i="1"/>
  <c r="P184" i="1" s="1"/>
  <c r="O183" i="1"/>
  <c r="P183" i="1" s="1"/>
  <c r="N183" i="1"/>
  <c r="M183" i="1"/>
  <c r="L183" i="1"/>
  <c r="O182" i="1"/>
  <c r="N182" i="1"/>
  <c r="M182" i="1"/>
  <c r="L182" i="1"/>
  <c r="P182" i="1" s="1"/>
  <c r="O181" i="1"/>
  <c r="P181" i="1" s="1"/>
  <c r="N181" i="1"/>
  <c r="M181" i="1"/>
  <c r="L181" i="1"/>
  <c r="O180" i="1"/>
  <c r="N180" i="1"/>
  <c r="M180" i="1"/>
  <c r="L180" i="1"/>
  <c r="P180" i="1" s="1"/>
  <c r="O179" i="1"/>
  <c r="P179" i="1" s="1"/>
  <c r="N179" i="1"/>
  <c r="M179" i="1"/>
  <c r="L179" i="1"/>
  <c r="O178" i="1"/>
  <c r="N178" i="1"/>
  <c r="M178" i="1"/>
  <c r="L178" i="1"/>
  <c r="P178" i="1" s="1"/>
  <c r="O177" i="1"/>
  <c r="P177" i="1" s="1"/>
  <c r="N177" i="1"/>
  <c r="M177" i="1"/>
  <c r="L177" i="1"/>
  <c r="O176" i="1"/>
  <c r="N176" i="1"/>
  <c r="M176" i="1"/>
  <c r="L176" i="1"/>
  <c r="P176" i="1" s="1"/>
  <c r="O175" i="1"/>
  <c r="P175" i="1" s="1"/>
  <c r="N175" i="1"/>
  <c r="M175" i="1"/>
  <c r="L175" i="1"/>
  <c r="O174" i="1"/>
  <c r="N174" i="1"/>
  <c r="M174" i="1"/>
  <c r="L174" i="1"/>
  <c r="P174" i="1" s="1"/>
  <c r="O173" i="1"/>
  <c r="P173" i="1" s="1"/>
  <c r="N173" i="1"/>
  <c r="M173" i="1"/>
  <c r="L173" i="1"/>
  <c r="O172" i="1"/>
  <c r="N172" i="1"/>
  <c r="M172" i="1"/>
  <c r="L172" i="1"/>
  <c r="P172" i="1" s="1"/>
  <c r="O171" i="1"/>
  <c r="P171" i="1" s="1"/>
  <c r="N171" i="1"/>
  <c r="M171" i="1"/>
  <c r="L171" i="1"/>
  <c r="O170" i="1"/>
  <c r="N170" i="1"/>
  <c r="M170" i="1"/>
  <c r="L170" i="1"/>
  <c r="P170" i="1" s="1"/>
  <c r="O169" i="1"/>
  <c r="P169" i="1" s="1"/>
  <c r="N169" i="1"/>
  <c r="M169" i="1"/>
  <c r="L169" i="1"/>
  <c r="O168" i="1"/>
  <c r="N168" i="1"/>
  <c r="M168" i="1"/>
  <c r="L168" i="1"/>
  <c r="P168" i="1" s="1"/>
  <c r="O167" i="1"/>
  <c r="P167" i="1" s="1"/>
  <c r="N167" i="1"/>
  <c r="M167" i="1"/>
  <c r="L167" i="1"/>
  <c r="O166" i="1"/>
  <c r="N166" i="1"/>
  <c r="M166" i="1"/>
  <c r="L166" i="1"/>
  <c r="P166" i="1" s="1"/>
  <c r="O165" i="1"/>
  <c r="P165" i="1" s="1"/>
  <c r="N165" i="1"/>
  <c r="M165" i="1"/>
  <c r="L165" i="1"/>
  <c r="O164" i="1"/>
  <c r="N164" i="1"/>
  <c r="M164" i="1"/>
  <c r="L164" i="1"/>
  <c r="P164" i="1" s="1"/>
  <c r="O163" i="1"/>
  <c r="P163" i="1" s="1"/>
  <c r="N163" i="1"/>
  <c r="M163" i="1"/>
  <c r="L163" i="1"/>
  <c r="O162" i="1"/>
  <c r="N162" i="1"/>
  <c r="M162" i="1"/>
  <c r="L162" i="1"/>
  <c r="P162" i="1" s="1"/>
  <c r="O161" i="1"/>
  <c r="P161" i="1" s="1"/>
  <c r="N161" i="1"/>
  <c r="M161" i="1"/>
  <c r="L161" i="1"/>
  <c r="O160" i="1"/>
  <c r="N160" i="1"/>
  <c r="M160" i="1"/>
  <c r="L160" i="1"/>
  <c r="P160" i="1" s="1"/>
  <c r="O159" i="1"/>
  <c r="P159" i="1" s="1"/>
  <c r="N159" i="1"/>
  <c r="M159" i="1"/>
  <c r="L159" i="1"/>
  <c r="O158" i="1"/>
  <c r="N158" i="1"/>
  <c r="M158" i="1"/>
  <c r="L158" i="1"/>
  <c r="P158" i="1" s="1"/>
  <c r="O157" i="1"/>
  <c r="P157" i="1" s="1"/>
  <c r="N157" i="1"/>
  <c r="M157" i="1"/>
  <c r="L157" i="1"/>
  <c r="O156" i="1"/>
  <c r="N156" i="1"/>
  <c r="M156" i="1"/>
  <c r="L156" i="1"/>
  <c r="P156" i="1" s="1"/>
  <c r="O155" i="1"/>
  <c r="P155" i="1" s="1"/>
  <c r="N155" i="1"/>
  <c r="M155" i="1"/>
  <c r="L155" i="1"/>
  <c r="O154" i="1"/>
  <c r="N154" i="1"/>
  <c r="M154" i="1"/>
  <c r="L154" i="1"/>
  <c r="P154" i="1" s="1"/>
  <c r="O153" i="1"/>
  <c r="P153" i="1" s="1"/>
  <c r="N153" i="1"/>
  <c r="M153" i="1"/>
  <c r="L153" i="1"/>
  <c r="O152" i="1"/>
  <c r="N152" i="1"/>
  <c r="M152" i="1"/>
  <c r="L152" i="1"/>
  <c r="P152" i="1" s="1"/>
  <c r="O151" i="1"/>
  <c r="P151" i="1" s="1"/>
  <c r="N151" i="1"/>
  <c r="M151" i="1"/>
  <c r="L151" i="1"/>
  <c r="O150" i="1"/>
  <c r="N150" i="1"/>
  <c r="M150" i="1"/>
  <c r="L150" i="1"/>
  <c r="P150" i="1" s="1"/>
  <c r="O149" i="1"/>
  <c r="P149" i="1" s="1"/>
  <c r="N149" i="1"/>
  <c r="M149" i="1"/>
  <c r="L149" i="1"/>
  <c r="O148" i="1"/>
  <c r="N148" i="1"/>
  <c r="M148" i="1"/>
  <c r="L148" i="1"/>
  <c r="P148" i="1" s="1"/>
  <c r="O147" i="1"/>
  <c r="P147" i="1" s="1"/>
  <c r="N147" i="1"/>
  <c r="M147" i="1"/>
  <c r="L147" i="1"/>
  <c r="O146" i="1"/>
  <c r="N146" i="1"/>
  <c r="M146" i="1"/>
  <c r="L146" i="1"/>
  <c r="P146" i="1" s="1"/>
  <c r="O145" i="1"/>
  <c r="P145" i="1" s="1"/>
  <c r="N145" i="1"/>
  <c r="M145" i="1"/>
  <c r="L145" i="1"/>
  <c r="O144" i="1"/>
  <c r="N144" i="1"/>
  <c r="M144" i="1"/>
  <c r="L144" i="1"/>
  <c r="P144" i="1" s="1"/>
  <c r="O143" i="1"/>
  <c r="P143" i="1" s="1"/>
  <c r="N143" i="1"/>
  <c r="M143" i="1"/>
  <c r="L143" i="1"/>
  <c r="O142" i="1"/>
  <c r="N142" i="1"/>
  <c r="M142" i="1"/>
  <c r="L142" i="1"/>
  <c r="P142" i="1" s="1"/>
  <c r="O141" i="1"/>
  <c r="P141" i="1" s="1"/>
  <c r="N141" i="1"/>
  <c r="M141" i="1"/>
  <c r="L141" i="1"/>
  <c r="O140" i="1"/>
  <c r="N140" i="1"/>
  <c r="M140" i="1"/>
  <c r="L140" i="1"/>
  <c r="P140" i="1" s="1"/>
  <c r="O139" i="1"/>
  <c r="P139" i="1" s="1"/>
  <c r="N139" i="1"/>
  <c r="M139" i="1"/>
  <c r="L139" i="1"/>
  <c r="O138" i="1"/>
  <c r="N138" i="1"/>
  <c r="M138" i="1"/>
  <c r="L138" i="1"/>
  <c r="P138" i="1" s="1"/>
  <c r="O137" i="1"/>
  <c r="P137" i="1" s="1"/>
  <c r="N137" i="1"/>
  <c r="M137" i="1"/>
  <c r="L137" i="1"/>
  <c r="O136" i="1"/>
  <c r="N136" i="1"/>
  <c r="M136" i="1"/>
  <c r="L136" i="1"/>
  <c r="P136" i="1" s="1"/>
  <c r="O135" i="1"/>
  <c r="P135" i="1" s="1"/>
  <c r="N135" i="1"/>
  <c r="M135" i="1"/>
  <c r="L135" i="1"/>
  <c r="O134" i="1"/>
  <c r="N134" i="1"/>
  <c r="M134" i="1"/>
  <c r="L134" i="1"/>
  <c r="P134" i="1" s="1"/>
  <c r="O133" i="1"/>
  <c r="P133" i="1" s="1"/>
  <c r="N133" i="1"/>
  <c r="M133" i="1"/>
  <c r="L133" i="1"/>
  <c r="O132" i="1"/>
  <c r="N132" i="1"/>
  <c r="M132" i="1"/>
  <c r="L132" i="1"/>
  <c r="P132" i="1" s="1"/>
  <c r="O131" i="1"/>
  <c r="P131" i="1" s="1"/>
  <c r="N131" i="1"/>
  <c r="M131" i="1"/>
  <c r="L131" i="1"/>
  <c r="O130" i="1"/>
  <c r="N130" i="1"/>
  <c r="M130" i="1"/>
  <c r="L130" i="1"/>
  <c r="P130" i="1" s="1"/>
  <c r="O129" i="1"/>
  <c r="P129" i="1" s="1"/>
  <c r="N129" i="1"/>
  <c r="M129" i="1"/>
  <c r="L129" i="1"/>
  <c r="O128" i="1"/>
  <c r="N128" i="1"/>
  <c r="M128" i="1"/>
  <c r="L128" i="1"/>
  <c r="P128" i="1" s="1"/>
  <c r="O127" i="1"/>
  <c r="P127" i="1" s="1"/>
  <c r="N127" i="1"/>
  <c r="M127" i="1"/>
  <c r="L127" i="1"/>
  <c r="O126" i="1"/>
  <c r="N126" i="1"/>
  <c r="M126" i="1"/>
  <c r="L126" i="1"/>
  <c r="P126" i="1" s="1"/>
  <c r="O125" i="1"/>
  <c r="P125" i="1" s="1"/>
  <c r="N125" i="1"/>
  <c r="M125" i="1"/>
  <c r="L125" i="1"/>
  <c r="O124" i="1"/>
  <c r="N124" i="1"/>
  <c r="M124" i="1"/>
  <c r="L124" i="1"/>
  <c r="P124" i="1" s="1"/>
  <c r="O123" i="1"/>
  <c r="P123" i="1" s="1"/>
  <c r="N123" i="1"/>
  <c r="M123" i="1"/>
  <c r="L123" i="1"/>
  <c r="O122" i="1"/>
  <c r="N122" i="1"/>
  <c r="M122" i="1"/>
  <c r="L122" i="1"/>
  <c r="P122" i="1" s="1"/>
  <c r="O121" i="1"/>
  <c r="P121" i="1" s="1"/>
  <c r="N121" i="1"/>
  <c r="M121" i="1"/>
  <c r="L121" i="1"/>
  <c r="O120" i="1"/>
  <c r="N120" i="1"/>
  <c r="M120" i="1"/>
  <c r="L120" i="1"/>
  <c r="P120" i="1" s="1"/>
  <c r="O119" i="1"/>
  <c r="P119" i="1" s="1"/>
  <c r="N119" i="1"/>
  <c r="M119" i="1"/>
  <c r="L119" i="1"/>
  <c r="O118" i="1"/>
  <c r="N118" i="1"/>
  <c r="M118" i="1"/>
  <c r="L118" i="1"/>
  <c r="P118" i="1" s="1"/>
  <c r="O117" i="1"/>
  <c r="P117" i="1" s="1"/>
  <c r="N117" i="1"/>
  <c r="M117" i="1"/>
  <c r="L117" i="1"/>
  <c r="O116" i="1"/>
  <c r="N116" i="1"/>
  <c r="M116" i="1"/>
  <c r="L116" i="1"/>
  <c r="P116" i="1" s="1"/>
  <c r="O115" i="1"/>
  <c r="P115" i="1" s="1"/>
  <c r="N115" i="1"/>
  <c r="M115" i="1"/>
  <c r="L115" i="1"/>
  <c r="O114" i="1"/>
  <c r="N114" i="1"/>
  <c r="M114" i="1"/>
  <c r="L114" i="1"/>
  <c r="P114" i="1" s="1"/>
  <c r="O113" i="1"/>
  <c r="P113" i="1" s="1"/>
  <c r="N113" i="1"/>
  <c r="M113" i="1"/>
  <c r="L113" i="1"/>
  <c r="O112" i="1"/>
  <c r="N112" i="1"/>
  <c r="M112" i="1"/>
  <c r="L112" i="1"/>
  <c r="P112" i="1" s="1"/>
  <c r="O111" i="1"/>
  <c r="P111" i="1" s="1"/>
  <c r="N111" i="1"/>
  <c r="M111" i="1"/>
  <c r="L111" i="1"/>
  <c r="O110" i="1"/>
  <c r="N110" i="1"/>
  <c r="M110" i="1"/>
  <c r="L110" i="1"/>
  <c r="P110" i="1" s="1"/>
  <c r="O109" i="1"/>
  <c r="P109" i="1" s="1"/>
  <c r="N109" i="1"/>
  <c r="M109" i="1"/>
  <c r="L109" i="1"/>
  <c r="O108" i="1"/>
  <c r="N108" i="1"/>
  <c r="M108" i="1"/>
  <c r="L108" i="1"/>
  <c r="P108" i="1" s="1"/>
  <c r="O107" i="1"/>
  <c r="P107" i="1" s="1"/>
  <c r="N107" i="1"/>
  <c r="M107" i="1"/>
  <c r="L107" i="1"/>
  <c r="O106" i="1"/>
  <c r="N106" i="1"/>
  <c r="M106" i="1"/>
  <c r="L106" i="1"/>
  <c r="P106" i="1" s="1"/>
  <c r="O105" i="1"/>
  <c r="P105" i="1" s="1"/>
  <c r="N105" i="1"/>
  <c r="M105" i="1"/>
  <c r="L105" i="1"/>
  <c r="O104" i="1"/>
  <c r="N104" i="1"/>
  <c r="M104" i="1"/>
  <c r="L104" i="1"/>
  <c r="P104" i="1" s="1"/>
  <c r="O103" i="1"/>
  <c r="P103" i="1" s="1"/>
  <c r="N103" i="1"/>
  <c r="M103" i="1"/>
  <c r="L103" i="1"/>
  <c r="O102" i="1"/>
  <c r="N102" i="1"/>
  <c r="M102" i="1"/>
  <c r="L102" i="1"/>
  <c r="P102" i="1" s="1"/>
  <c r="O101" i="1"/>
  <c r="P101" i="1" s="1"/>
  <c r="N101" i="1"/>
  <c r="M101" i="1"/>
  <c r="L101" i="1"/>
  <c r="O100" i="1"/>
  <c r="N100" i="1"/>
  <c r="M100" i="1"/>
  <c r="L100" i="1"/>
  <c r="P100" i="1" s="1"/>
  <c r="O99" i="1"/>
  <c r="P99" i="1" s="1"/>
  <c r="N99" i="1"/>
  <c r="M99" i="1"/>
  <c r="L99" i="1"/>
  <c r="O98" i="1"/>
  <c r="N98" i="1"/>
  <c r="M98" i="1"/>
  <c r="L98" i="1"/>
  <c r="P98" i="1" s="1"/>
  <c r="O97" i="1"/>
  <c r="P97" i="1" s="1"/>
  <c r="N97" i="1"/>
  <c r="M97" i="1"/>
  <c r="L97" i="1"/>
  <c r="O96" i="1"/>
  <c r="N96" i="1"/>
  <c r="M96" i="1"/>
  <c r="L96" i="1"/>
  <c r="P96" i="1" s="1"/>
  <c r="O95" i="1"/>
  <c r="P95" i="1" s="1"/>
  <c r="N95" i="1"/>
  <c r="M95" i="1"/>
  <c r="L95" i="1"/>
  <c r="O94" i="1"/>
  <c r="N94" i="1"/>
  <c r="M94" i="1"/>
  <c r="L94" i="1"/>
  <c r="P94" i="1" s="1"/>
  <c r="O93" i="1"/>
  <c r="P93" i="1" s="1"/>
  <c r="N93" i="1"/>
  <c r="M93" i="1"/>
  <c r="L93" i="1"/>
  <c r="O92" i="1"/>
  <c r="N92" i="1"/>
  <c r="M92" i="1"/>
  <c r="L92" i="1"/>
  <c r="P92" i="1" s="1"/>
  <c r="O91" i="1"/>
  <c r="P91" i="1" s="1"/>
  <c r="N91" i="1"/>
  <c r="M91" i="1"/>
  <c r="L91" i="1"/>
  <c r="O90" i="1"/>
  <c r="N90" i="1"/>
  <c r="M90" i="1"/>
  <c r="L90" i="1"/>
  <c r="P90" i="1" s="1"/>
  <c r="O89" i="1"/>
  <c r="P89" i="1" s="1"/>
  <c r="N89" i="1"/>
  <c r="M89" i="1"/>
  <c r="L89" i="1"/>
  <c r="O88" i="1"/>
  <c r="N88" i="1"/>
  <c r="M88" i="1"/>
  <c r="L88" i="1"/>
  <c r="P88" i="1" s="1"/>
  <c r="O87" i="1"/>
  <c r="P87" i="1" s="1"/>
  <c r="N87" i="1"/>
  <c r="M87" i="1"/>
  <c r="L87" i="1"/>
  <c r="O86" i="1"/>
  <c r="N86" i="1"/>
  <c r="M86" i="1"/>
  <c r="L86" i="1"/>
  <c r="P86" i="1" s="1"/>
  <c r="O85" i="1"/>
  <c r="P85" i="1" s="1"/>
  <c r="N85" i="1"/>
  <c r="M85" i="1"/>
  <c r="L85" i="1"/>
  <c r="O84" i="1"/>
  <c r="N84" i="1"/>
  <c r="M84" i="1"/>
  <c r="L84" i="1"/>
  <c r="P84" i="1" s="1"/>
  <c r="O83" i="1"/>
  <c r="P83" i="1" s="1"/>
  <c r="N83" i="1"/>
  <c r="M83" i="1"/>
  <c r="L83" i="1"/>
  <c r="O82" i="1"/>
  <c r="N82" i="1"/>
  <c r="M82" i="1"/>
  <c r="L82" i="1"/>
  <c r="P82" i="1" s="1"/>
  <c r="O81" i="1"/>
  <c r="P81" i="1" s="1"/>
  <c r="N81" i="1"/>
  <c r="M81" i="1"/>
  <c r="L81" i="1"/>
  <c r="O80" i="1"/>
  <c r="N80" i="1"/>
  <c r="M80" i="1"/>
  <c r="L80" i="1"/>
  <c r="P80" i="1" s="1"/>
  <c r="O79" i="1"/>
  <c r="P79" i="1" s="1"/>
  <c r="N79" i="1"/>
  <c r="M79" i="1"/>
  <c r="L79" i="1"/>
  <c r="O78" i="1"/>
  <c r="N78" i="1"/>
  <c r="M78" i="1"/>
  <c r="L78" i="1"/>
  <c r="P78" i="1" s="1"/>
  <c r="O77" i="1"/>
  <c r="P77" i="1" s="1"/>
  <c r="N77" i="1"/>
  <c r="M77" i="1"/>
  <c r="L77" i="1"/>
  <c r="O76" i="1"/>
  <c r="N76" i="1"/>
  <c r="M76" i="1"/>
  <c r="L76" i="1"/>
  <c r="P76" i="1" s="1"/>
  <c r="O75" i="1"/>
  <c r="P75" i="1" s="1"/>
  <c r="N75" i="1"/>
  <c r="M75" i="1"/>
  <c r="L75" i="1"/>
  <c r="O74" i="1"/>
  <c r="N74" i="1"/>
  <c r="M74" i="1"/>
  <c r="L74" i="1"/>
  <c r="P74" i="1" s="1"/>
  <c r="O73" i="1"/>
  <c r="P73" i="1" s="1"/>
  <c r="N73" i="1"/>
  <c r="M73" i="1"/>
  <c r="L73" i="1"/>
  <c r="O72" i="1"/>
  <c r="N72" i="1"/>
  <c r="M72" i="1"/>
  <c r="L72" i="1"/>
  <c r="P72" i="1" s="1"/>
  <c r="O71" i="1"/>
  <c r="P71" i="1" s="1"/>
  <c r="N71" i="1"/>
  <c r="M71" i="1"/>
  <c r="L71" i="1"/>
  <c r="O70" i="1"/>
  <c r="N70" i="1"/>
  <c r="M70" i="1"/>
  <c r="L70" i="1"/>
  <c r="P70" i="1" s="1"/>
  <c r="O69" i="1"/>
  <c r="P69" i="1" s="1"/>
  <c r="N69" i="1"/>
  <c r="M69" i="1"/>
  <c r="L69" i="1"/>
  <c r="O68" i="1"/>
  <c r="N68" i="1"/>
  <c r="M68" i="1"/>
  <c r="L68" i="1"/>
  <c r="P68" i="1" s="1"/>
  <c r="O67" i="1"/>
  <c r="P67" i="1" s="1"/>
  <c r="N67" i="1"/>
  <c r="M67" i="1"/>
  <c r="L67" i="1"/>
  <c r="O66" i="1"/>
  <c r="N66" i="1"/>
  <c r="M66" i="1"/>
  <c r="L66" i="1"/>
  <c r="P66" i="1" s="1"/>
  <c r="O65" i="1"/>
  <c r="P65" i="1" s="1"/>
  <c r="N65" i="1"/>
  <c r="M65" i="1"/>
  <c r="L65" i="1"/>
  <c r="O64" i="1"/>
  <c r="N64" i="1"/>
  <c r="M64" i="1"/>
  <c r="L64" i="1"/>
  <c r="P64" i="1" s="1"/>
  <c r="O63" i="1"/>
  <c r="P63" i="1" s="1"/>
  <c r="N63" i="1"/>
  <c r="M63" i="1"/>
  <c r="L63" i="1"/>
  <c r="O62" i="1"/>
  <c r="N62" i="1"/>
  <c r="M62" i="1"/>
  <c r="L62" i="1"/>
  <c r="P62" i="1" s="1"/>
  <c r="O61" i="1"/>
  <c r="P61" i="1" s="1"/>
  <c r="N61" i="1"/>
  <c r="M61" i="1"/>
  <c r="L61" i="1"/>
  <c r="O60" i="1"/>
  <c r="N60" i="1"/>
  <c r="M60" i="1"/>
  <c r="L60" i="1"/>
  <c r="P60" i="1" s="1"/>
  <c r="O59" i="1"/>
  <c r="P59" i="1" s="1"/>
  <c r="N59" i="1"/>
  <c r="M59" i="1"/>
  <c r="L59" i="1"/>
  <c r="O58" i="1"/>
  <c r="N58" i="1"/>
  <c r="M58" i="1"/>
  <c r="L58" i="1"/>
  <c r="P58" i="1" s="1"/>
  <c r="O57" i="1"/>
  <c r="P57" i="1" s="1"/>
  <c r="N57" i="1"/>
  <c r="M57" i="1"/>
  <c r="L57" i="1"/>
  <c r="O56" i="1"/>
  <c r="N56" i="1"/>
  <c r="M56" i="1"/>
  <c r="L56" i="1"/>
  <c r="P56" i="1" s="1"/>
  <c r="O55" i="1"/>
  <c r="P55" i="1" s="1"/>
  <c r="N55" i="1"/>
  <c r="M55" i="1"/>
  <c r="L55" i="1"/>
  <c r="O54" i="1"/>
  <c r="N54" i="1"/>
  <c r="M54" i="1"/>
  <c r="L54" i="1"/>
  <c r="P54" i="1" s="1"/>
  <c r="O53" i="1"/>
  <c r="P53" i="1" s="1"/>
  <c r="N53" i="1"/>
  <c r="M53" i="1"/>
  <c r="L53" i="1"/>
  <c r="O52" i="1"/>
  <c r="N52" i="1"/>
  <c r="M52" i="1"/>
  <c r="L52" i="1"/>
  <c r="P52" i="1" s="1"/>
  <c r="O51" i="1"/>
  <c r="P51" i="1" s="1"/>
  <c r="N51" i="1"/>
  <c r="M51" i="1"/>
  <c r="L51" i="1"/>
  <c r="O50" i="1"/>
  <c r="N50" i="1"/>
  <c r="M50" i="1"/>
  <c r="L50" i="1"/>
  <c r="P50" i="1" s="1"/>
  <c r="O49" i="1"/>
  <c r="P49" i="1" s="1"/>
  <c r="N49" i="1"/>
  <c r="M49" i="1"/>
  <c r="L49" i="1"/>
  <c r="O48" i="1"/>
  <c r="N48" i="1"/>
  <c r="M48" i="1"/>
  <c r="L48" i="1"/>
  <c r="P48" i="1" s="1"/>
  <c r="O47" i="1"/>
  <c r="P47" i="1" s="1"/>
  <c r="N47" i="1"/>
  <c r="M47" i="1"/>
  <c r="L47" i="1"/>
  <c r="O46" i="1"/>
  <c r="N46" i="1"/>
  <c r="M46" i="1"/>
  <c r="L46" i="1"/>
  <c r="P46" i="1" s="1"/>
  <c r="O45" i="1"/>
  <c r="P45" i="1" s="1"/>
  <c r="N45" i="1"/>
  <c r="M45" i="1"/>
  <c r="L45" i="1"/>
  <c r="O44" i="1"/>
  <c r="N44" i="1"/>
  <c r="M44" i="1"/>
  <c r="L44" i="1"/>
  <c r="P44" i="1" s="1"/>
  <c r="O43" i="1"/>
  <c r="P43" i="1" s="1"/>
  <c r="N43" i="1"/>
  <c r="M43" i="1"/>
  <c r="L43" i="1"/>
  <c r="O42" i="1"/>
  <c r="N42" i="1"/>
  <c r="M42" i="1"/>
  <c r="L42" i="1"/>
  <c r="P42" i="1" s="1"/>
  <c r="O41" i="1"/>
  <c r="P41" i="1" s="1"/>
  <c r="N41" i="1"/>
  <c r="M41" i="1"/>
  <c r="L41" i="1"/>
  <c r="O40" i="1"/>
  <c r="N40" i="1"/>
  <c r="M40" i="1"/>
  <c r="L40" i="1"/>
  <c r="P40" i="1" s="1"/>
  <c r="O39" i="1"/>
  <c r="P39" i="1" s="1"/>
  <c r="N39" i="1"/>
  <c r="M39" i="1"/>
  <c r="L39" i="1"/>
  <c r="O38" i="1"/>
  <c r="N38" i="1"/>
  <c r="M38" i="1"/>
  <c r="L38" i="1"/>
  <c r="P38" i="1" s="1"/>
  <c r="O37" i="1"/>
  <c r="P37" i="1" s="1"/>
  <c r="N37" i="1"/>
  <c r="M37" i="1"/>
  <c r="L37" i="1"/>
  <c r="O36" i="1"/>
  <c r="N36" i="1"/>
  <c r="M36" i="1"/>
  <c r="L36" i="1"/>
  <c r="P36" i="1" s="1"/>
  <c r="O35" i="1"/>
  <c r="P35" i="1" s="1"/>
  <c r="N35" i="1"/>
  <c r="M35" i="1"/>
  <c r="L35" i="1"/>
  <c r="O34" i="1"/>
  <c r="N34" i="1"/>
  <c r="M34" i="1"/>
  <c r="L34" i="1"/>
  <c r="P34" i="1" s="1"/>
  <c r="O33" i="1"/>
  <c r="P33" i="1" s="1"/>
  <c r="N33" i="1"/>
  <c r="M33" i="1"/>
  <c r="L33" i="1"/>
  <c r="O32" i="1"/>
  <c r="N32" i="1"/>
  <c r="M32" i="1"/>
  <c r="L32" i="1"/>
  <c r="P32" i="1" s="1"/>
  <c r="O31" i="1"/>
  <c r="P31" i="1" s="1"/>
  <c r="N31" i="1"/>
  <c r="M31" i="1"/>
  <c r="L31" i="1"/>
  <c r="O30" i="1"/>
  <c r="N30" i="1"/>
  <c r="M30" i="1"/>
  <c r="L30" i="1"/>
  <c r="P30" i="1" s="1"/>
  <c r="O29" i="1"/>
  <c r="P29" i="1" s="1"/>
  <c r="N29" i="1"/>
  <c r="M29" i="1"/>
  <c r="L29" i="1"/>
  <c r="O28" i="1"/>
  <c r="N28" i="1"/>
  <c r="M28" i="1"/>
  <c r="L28" i="1"/>
  <c r="P28" i="1" s="1"/>
  <c r="O27" i="1"/>
  <c r="P27" i="1" s="1"/>
  <c r="N27" i="1"/>
  <c r="M27" i="1"/>
  <c r="L27" i="1"/>
  <c r="O26" i="1"/>
  <c r="N26" i="1"/>
  <c r="M26" i="1"/>
  <c r="L26" i="1"/>
  <c r="P26" i="1" s="1"/>
  <c r="O25" i="1"/>
  <c r="P25" i="1" s="1"/>
  <c r="N25" i="1"/>
  <c r="M25" i="1"/>
  <c r="L25" i="1"/>
  <c r="O24" i="1"/>
  <c r="N24" i="1"/>
  <c r="M24" i="1"/>
  <c r="L24" i="1"/>
  <c r="P24" i="1" s="1"/>
  <c r="O23" i="1"/>
  <c r="P23" i="1" s="1"/>
  <c r="N23" i="1"/>
  <c r="M23" i="1"/>
  <c r="L23" i="1"/>
  <c r="O22" i="1"/>
  <c r="N22" i="1"/>
  <c r="M22" i="1"/>
  <c r="L22" i="1"/>
  <c r="P22" i="1" s="1"/>
  <c r="O21" i="1"/>
  <c r="P21" i="1" s="1"/>
  <c r="N21" i="1"/>
  <c r="M21" i="1"/>
  <c r="L21" i="1"/>
  <c r="O20" i="1"/>
  <c r="N20" i="1"/>
  <c r="M20" i="1"/>
  <c r="L20" i="1"/>
  <c r="P20" i="1" s="1"/>
  <c r="O19" i="1"/>
  <c r="N19" i="1"/>
  <c r="M19" i="1"/>
  <c r="L19" i="1"/>
  <c r="O18" i="1"/>
  <c r="N18" i="1"/>
  <c r="M18" i="1"/>
  <c r="L18" i="1"/>
  <c r="P18" i="1" s="1"/>
  <c r="O17" i="1"/>
  <c r="N17" i="1"/>
  <c r="M17" i="1"/>
  <c r="L17" i="1"/>
  <c r="O16" i="1"/>
  <c r="N16" i="1"/>
  <c r="M16" i="1"/>
  <c r="L16" i="1"/>
  <c r="P16" i="1" s="1"/>
  <c r="O15" i="1"/>
  <c r="N15" i="1"/>
  <c r="M15" i="1"/>
  <c r="L15" i="1"/>
  <c r="O14" i="1"/>
  <c r="N14" i="1"/>
  <c r="M14" i="1"/>
  <c r="L14" i="1"/>
  <c r="P14" i="1" s="1"/>
  <c r="O13" i="1"/>
  <c r="N13" i="1"/>
  <c r="M13" i="1"/>
  <c r="L13" i="1"/>
  <c r="O12" i="1"/>
  <c r="N12" i="1"/>
  <c r="M12" i="1"/>
  <c r="L12" i="1"/>
  <c r="P12" i="1" s="1"/>
  <c r="O11" i="1"/>
  <c r="N11" i="1"/>
  <c r="M11" i="1"/>
  <c r="L11" i="1"/>
  <c r="O10" i="1"/>
  <c r="N10" i="1"/>
  <c r="M10" i="1"/>
  <c r="L10" i="1"/>
  <c r="P10" i="1" s="1"/>
  <c r="O9" i="1"/>
  <c r="N9" i="1"/>
  <c r="M9" i="1"/>
  <c r="L9" i="1"/>
  <c r="O8" i="1"/>
  <c r="N8" i="1"/>
  <c r="M8" i="1"/>
  <c r="L8" i="1"/>
  <c r="P8" i="1" s="1"/>
  <c r="O7" i="1"/>
  <c r="N7" i="1"/>
  <c r="M7" i="1"/>
  <c r="L7" i="1"/>
  <c r="O6" i="1"/>
  <c r="N6" i="1"/>
  <c r="M6" i="1"/>
  <c r="L6" i="1"/>
  <c r="P6" i="1" s="1"/>
  <c r="O5" i="1"/>
  <c r="N5" i="1"/>
  <c r="M5" i="1"/>
  <c r="L5" i="1"/>
  <c r="O4" i="1"/>
  <c r="N4" i="1"/>
  <c r="M4" i="1"/>
  <c r="L4" i="1"/>
  <c r="P4" i="1" s="1"/>
  <c r="O3" i="1"/>
  <c r="N3" i="1"/>
  <c r="M3" i="1"/>
  <c r="L3" i="1"/>
  <c r="O2" i="1"/>
  <c r="N2" i="1"/>
  <c r="M2" i="1"/>
  <c r="L2" i="1"/>
  <c r="P2" i="1" s="1"/>
  <c r="P3" i="1" l="1"/>
  <c r="P5" i="1"/>
  <c r="P7" i="1"/>
  <c r="P1" i="1" s="1"/>
  <c r="P9" i="1"/>
  <c r="P11" i="1"/>
  <c r="P13" i="1"/>
  <c r="P15" i="1"/>
  <c r="P17" i="1"/>
  <c r="P19" i="1"/>
</calcChain>
</file>

<file path=xl/sharedStrings.xml><?xml version="1.0" encoding="utf-8"?>
<sst xmlns="http://schemas.openxmlformats.org/spreadsheetml/2006/main" count="11" uniqueCount="11">
  <si>
    <t>date</t>
  </si>
  <si>
    <t>index1</t>
  </si>
  <si>
    <t>index2</t>
  </si>
  <si>
    <t>loss_profits</t>
  </si>
  <si>
    <t>pred_date</t>
  </si>
  <si>
    <t>prediction</t>
  </si>
  <si>
    <t>real</t>
  </si>
  <si>
    <t>BT</t>
    <phoneticPr fontId="18" type="noConversion"/>
  </si>
  <si>
    <t>BB</t>
    <phoneticPr fontId="18" type="noConversion"/>
  </si>
  <si>
    <t>실재지수</t>
    <phoneticPr fontId="18" type="noConversion"/>
  </si>
  <si>
    <t>예측지수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</si>
</sst>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7"/>
  <sheetViews>
    <sheetView tabSelected="1" workbookViewId="0">
      <selection activeCell="E2" sqref="E2"/>
    </sheetView>
  </sheetViews>
  <sheetFormatPr defaultRowHeight="16.5" x14ac:dyDescent="0.3"/>
  <cols>
    <col min="1" max="1" width="11.5" customWidth="1"/>
    <col min="5" max="5" width="10.625" customWidth="1"/>
    <col min="11" max="11" width="11.1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f>COUNTIF(D2:D297, "&gt;0")/296</f>
        <v>0.67905405405405406</v>
      </c>
      <c r="I1">
        <f>AVERAGEIF(D2:D297, "&gt;0")</f>
        <v>15.5104477555301</v>
      </c>
      <c r="J1">
        <f>AVERAGEIF(D2:D297, "&lt;0")</f>
        <v>-10.476842070880668</v>
      </c>
      <c r="L1" t="s">
        <v>7</v>
      </c>
      <c r="M1" t="s">
        <v>8</v>
      </c>
      <c r="N1" t="s">
        <v>9</v>
      </c>
      <c r="O1" t="s">
        <v>10</v>
      </c>
      <c r="P1">
        <f>SUM(P2:P340)/339</f>
        <v>0.36873156342182889</v>
      </c>
    </row>
    <row r="2" spans="1:16" x14ac:dyDescent="0.3">
      <c r="A2" s="1">
        <v>42796</v>
      </c>
      <c r="B2">
        <v>272.8</v>
      </c>
      <c r="C2">
        <v>304.150000381469</v>
      </c>
      <c r="D2">
        <v>31.350000381469702</v>
      </c>
      <c r="E2" s="1">
        <v>42887</v>
      </c>
      <c r="F2">
        <v>28.320756912231399</v>
      </c>
      <c r="G2">
        <v>31.350000381469702</v>
      </c>
      <c r="J2">
        <v>10.74919317</v>
      </c>
      <c r="K2" s="1">
        <v>42887</v>
      </c>
      <c r="L2">
        <f>C2+1.644*J2</f>
        <v>321.82167395294903</v>
      </c>
      <c r="M2">
        <f>C2-1.644*J2</f>
        <v>286.47832680998897</v>
      </c>
      <c r="N2">
        <f>C2</f>
        <v>304.150000381469</v>
      </c>
      <c r="O2">
        <f>B2+F2</f>
        <v>301.1207569122314</v>
      </c>
      <c r="P2">
        <f>IF(AND(D2&gt;0, AND(O2&lt;L2, O2&gt;M2)),1,0)</f>
        <v>1</v>
      </c>
    </row>
    <row r="3" spans="1:16" x14ac:dyDescent="0.3">
      <c r="A3" s="1">
        <v>42797</v>
      </c>
      <c r="B3">
        <v>269.75</v>
      </c>
      <c r="C3">
        <v>307.75</v>
      </c>
      <c r="D3">
        <v>38</v>
      </c>
      <c r="E3" s="1">
        <v>42888</v>
      </c>
      <c r="F3">
        <v>25.661769866943299</v>
      </c>
      <c r="G3">
        <v>38</v>
      </c>
      <c r="J3">
        <v>10.844289529999999</v>
      </c>
      <c r="K3" s="1">
        <v>42888</v>
      </c>
      <c r="L3">
        <f t="shared" ref="L3:L66" si="0">C3+1.644*J3</f>
        <v>325.57801198732</v>
      </c>
      <c r="M3">
        <f t="shared" ref="M3:M66" si="1">C3-1.644*J3</f>
        <v>289.92198801268</v>
      </c>
      <c r="N3">
        <f t="shared" ref="N3:N66" si="2">C3</f>
        <v>307.75</v>
      </c>
      <c r="O3">
        <f t="shared" ref="O3:O66" si="3">B3+F3</f>
        <v>295.4117698669433</v>
      </c>
      <c r="P3">
        <f t="shared" ref="P3:P66" si="4">IF(AND(D3&gt;0, AND(O3&lt;L3, O3&gt;M3)),1,0)</f>
        <v>1</v>
      </c>
    </row>
    <row r="4" spans="1:16" x14ac:dyDescent="0.3">
      <c r="A4" s="1">
        <v>42800</v>
      </c>
      <c r="B4">
        <v>270.35000000000002</v>
      </c>
      <c r="C4">
        <v>307.60000000000002</v>
      </c>
      <c r="D4">
        <v>37.25</v>
      </c>
      <c r="E4" s="1">
        <v>42891</v>
      </c>
      <c r="F4">
        <v>21.7520847320556</v>
      </c>
      <c r="G4">
        <v>37.25</v>
      </c>
      <c r="J4">
        <v>10.917859180000001</v>
      </c>
      <c r="K4" s="1">
        <v>42891</v>
      </c>
      <c r="L4">
        <f t="shared" si="0"/>
        <v>325.54896049192001</v>
      </c>
      <c r="M4">
        <f t="shared" si="1"/>
        <v>289.65103950808003</v>
      </c>
      <c r="N4">
        <f t="shared" si="2"/>
        <v>307.60000000000002</v>
      </c>
      <c r="O4">
        <f t="shared" si="3"/>
        <v>292.10208473205563</v>
      </c>
      <c r="P4">
        <f t="shared" si="4"/>
        <v>1</v>
      </c>
    </row>
    <row r="5" spans="1:16" x14ac:dyDescent="0.3">
      <c r="A5" s="1">
        <v>42801</v>
      </c>
      <c r="B5">
        <v>271.75</v>
      </c>
      <c r="C5">
        <v>307.59999847412098</v>
      </c>
      <c r="D5">
        <v>35.849998474121001</v>
      </c>
      <c r="E5" s="1">
        <v>42892</v>
      </c>
      <c r="F5">
        <v>20.378736495971602</v>
      </c>
      <c r="G5">
        <v>35.849998474121001</v>
      </c>
      <c r="J5">
        <v>10.99521569</v>
      </c>
      <c r="K5" s="1">
        <v>42892</v>
      </c>
      <c r="L5">
        <f t="shared" si="0"/>
        <v>325.67613306848096</v>
      </c>
      <c r="M5">
        <f t="shared" si="1"/>
        <v>289.523863879761</v>
      </c>
      <c r="N5">
        <f t="shared" si="2"/>
        <v>307.59999847412098</v>
      </c>
      <c r="O5">
        <f t="shared" si="3"/>
        <v>292.12873649597162</v>
      </c>
      <c r="P5">
        <f t="shared" si="4"/>
        <v>1</v>
      </c>
    </row>
    <row r="6" spans="1:16" x14ac:dyDescent="0.3">
      <c r="A6" s="1">
        <v>42802</v>
      </c>
      <c r="B6">
        <v>272.3</v>
      </c>
      <c r="C6">
        <v>305.39999847412099</v>
      </c>
      <c r="D6">
        <v>33.099998474121001</v>
      </c>
      <c r="E6" s="1">
        <v>42893</v>
      </c>
      <c r="F6">
        <v>12.007728576660099</v>
      </c>
      <c r="G6">
        <v>33.099998474121001</v>
      </c>
      <c r="J6">
        <v>11.00263064</v>
      </c>
      <c r="K6" s="1">
        <v>42893</v>
      </c>
      <c r="L6">
        <f t="shared" si="0"/>
        <v>323.48832324628097</v>
      </c>
      <c r="M6">
        <f t="shared" si="1"/>
        <v>287.31167370196101</v>
      </c>
      <c r="N6">
        <f t="shared" si="2"/>
        <v>305.39999847412099</v>
      </c>
      <c r="O6">
        <f t="shared" si="3"/>
        <v>284.30772857666011</v>
      </c>
      <c r="P6">
        <f t="shared" si="4"/>
        <v>0</v>
      </c>
    </row>
    <row r="7" spans="1:16" x14ac:dyDescent="0.3">
      <c r="A7" s="1">
        <v>42803</v>
      </c>
      <c r="B7">
        <v>271.55</v>
      </c>
      <c r="C7">
        <v>306.64999847412099</v>
      </c>
      <c r="D7">
        <v>35.099998474121001</v>
      </c>
      <c r="E7" s="1">
        <v>42894</v>
      </c>
      <c r="F7">
        <v>11.6475162506103</v>
      </c>
      <c r="G7">
        <v>35.099998474121001</v>
      </c>
      <c r="J7">
        <v>10.99680094</v>
      </c>
      <c r="K7" s="1">
        <v>42894</v>
      </c>
      <c r="L7">
        <f t="shared" si="0"/>
        <v>324.72873921948099</v>
      </c>
      <c r="M7">
        <f t="shared" si="1"/>
        <v>288.571257728761</v>
      </c>
      <c r="N7">
        <f t="shared" si="2"/>
        <v>306.64999847412099</v>
      </c>
      <c r="O7">
        <f t="shared" si="3"/>
        <v>283.19751625061031</v>
      </c>
      <c r="P7">
        <f t="shared" si="4"/>
        <v>0</v>
      </c>
    </row>
    <row r="8" spans="1:16" x14ac:dyDescent="0.3">
      <c r="A8" s="1">
        <v>42804</v>
      </c>
      <c r="B8">
        <v>272.45</v>
      </c>
      <c r="C8">
        <v>308.54999847412103</v>
      </c>
      <c r="D8">
        <v>36.099998474121001</v>
      </c>
      <c r="E8" s="1">
        <v>42895</v>
      </c>
      <c r="F8">
        <v>13.9956865310668</v>
      </c>
      <c r="G8">
        <v>36.099998474121001</v>
      </c>
      <c r="J8">
        <v>11.034456799999999</v>
      </c>
      <c r="K8" s="1">
        <v>42895</v>
      </c>
      <c r="L8">
        <f t="shared" si="0"/>
        <v>326.690645453321</v>
      </c>
      <c r="M8">
        <f t="shared" si="1"/>
        <v>290.40935149492105</v>
      </c>
      <c r="N8">
        <f t="shared" si="2"/>
        <v>308.54999847412103</v>
      </c>
      <c r="O8">
        <f t="shared" si="3"/>
        <v>286.44568653106677</v>
      </c>
      <c r="P8">
        <f t="shared" si="4"/>
        <v>0</v>
      </c>
    </row>
    <row r="9" spans="1:16" x14ac:dyDescent="0.3">
      <c r="A9" s="1">
        <v>42807</v>
      </c>
      <c r="B9">
        <v>275.64999999999998</v>
      </c>
      <c r="C9">
        <v>305.29999961853002</v>
      </c>
      <c r="D9">
        <v>29.649999618530199</v>
      </c>
      <c r="E9" s="1">
        <v>42898</v>
      </c>
      <c r="F9">
        <v>12.473207473754799</v>
      </c>
      <c r="G9">
        <v>29.649999618530199</v>
      </c>
      <c r="J9">
        <v>11.043044220000001</v>
      </c>
      <c r="K9" s="1">
        <v>42898</v>
      </c>
      <c r="L9">
        <f t="shared" si="0"/>
        <v>323.45476431621</v>
      </c>
      <c r="M9">
        <f t="shared" si="1"/>
        <v>287.14523492085004</v>
      </c>
      <c r="N9">
        <f t="shared" si="2"/>
        <v>305.29999961853002</v>
      </c>
      <c r="O9">
        <f t="shared" si="3"/>
        <v>288.1232074737548</v>
      </c>
      <c r="P9">
        <f t="shared" si="4"/>
        <v>1</v>
      </c>
    </row>
    <row r="10" spans="1:16" x14ac:dyDescent="0.3">
      <c r="A10" s="1">
        <v>42808</v>
      </c>
      <c r="B10">
        <v>277.89999999999998</v>
      </c>
      <c r="C10">
        <v>307.04999961853002</v>
      </c>
      <c r="D10">
        <v>29.149999618530199</v>
      </c>
      <c r="E10" s="1">
        <v>42899</v>
      </c>
      <c r="F10">
        <v>10.208162307739199</v>
      </c>
      <c r="G10">
        <v>29.149999618530199</v>
      </c>
      <c r="J10">
        <v>11.11508293</v>
      </c>
      <c r="K10" s="1">
        <v>42899</v>
      </c>
      <c r="L10">
        <f t="shared" si="0"/>
        <v>325.32319595545005</v>
      </c>
      <c r="M10">
        <f t="shared" si="1"/>
        <v>288.77680328161</v>
      </c>
      <c r="N10">
        <f t="shared" si="2"/>
        <v>307.04999961853002</v>
      </c>
      <c r="O10">
        <f t="shared" si="3"/>
        <v>288.10816230773918</v>
      </c>
      <c r="P10">
        <f t="shared" si="4"/>
        <v>0</v>
      </c>
    </row>
    <row r="11" spans="1:16" x14ac:dyDescent="0.3">
      <c r="A11" s="1">
        <v>42809</v>
      </c>
      <c r="B11">
        <v>278.5</v>
      </c>
      <c r="C11">
        <v>307.39999961852999</v>
      </c>
      <c r="D11">
        <v>28.899999618530199</v>
      </c>
      <c r="E11" s="1">
        <v>42900</v>
      </c>
      <c r="F11">
        <v>13.0010566711425</v>
      </c>
      <c r="G11">
        <v>28.899999618530199</v>
      </c>
      <c r="J11">
        <v>11.187194720000001</v>
      </c>
      <c r="K11" s="1">
        <v>42900</v>
      </c>
      <c r="L11">
        <f t="shared" si="0"/>
        <v>325.79174773821001</v>
      </c>
      <c r="M11">
        <f t="shared" si="1"/>
        <v>289.00825149884997</v>
      </c>
      <c r="N11">
        <f t="shared" si="2"/>
        <v>307.39999961852999</v>
      </c>
      <c r="O11">
        <f t="shared" si="3"/>
        <v>291.50105667114252</v>
      </c>
      <c r="P11">
        <f t="shared" si="4"/>
        <v>1</v>
      </c>
    </row>
    <row r="12" spans="1:16" x14ac:dyDescent="0.3">
      <c r="A12" s="1">
        <v>42810</v>
      </c>
      <c r="B12">
        <v>280.2</v>
      </c>
      <c r="C12">
        <v>305.65000076293899</v>
      </c>
      <c r="D12">
        <v>25.4500007629394</v>
      </c>
      <c r="E12" s="1">
        <v>42901</v>
      </c>
      <c r="F12">
        <v>16.6621284484863</v>
      </c>
      <c r="G12">
        <v>25.4500007629394</v>
      </c>
      <c r="J12">
        <v>11.23464326</v>
      </c>
      <c r="K12" s="1">
        <v>42901</v>
      </c>
      <c r="L12">
        <f t="shared" si="0"/>
        <v>324.11975428237901</v>
      </c>
      <c r="M12">
        <f t="shared" si="1"/>
        <v>287.18024724349897</v>
      </c>
      <c r="N12">
        <f t="shared" si="2"/>
        <v>305.65000076293899</v>
      </c>
      <c r="O12">
        <f t="shared" si="3"/>
        <v>296.86212844848626</v>
      </c>
      <c r="P12">
        <f t="shared" si="4"/>
        <v>1</v>
      </c>
    </row>
    <row r="13" spans="1:16" x14ac:dyDescent="0.3">
      <c r="A13" s="1">
        <v>42811</v>
      </c>
      <c r="B13">
        <v>281.35000000000002</v>
      </c>
      <c r="C13">
        <v>305.99999961853001</v>
      </c>
      <c r="D13">
        <v>24.649999618530199</v>
      </c>
      <c r="E13" s="1">
        <v>42902</v>
      </c>
      <c r="F13">
        <v>18.035230636596602</v>
      </c>
      <c r="G13">
        <v>24.649999618530199</v>
      </c>
      <c r="J13">
        <v>11.29285252</v>
      </c>
      <c r="K13" s="1">
        <v>42902</v>
      </c>
      <c r="L13">
        <f t="shared" si="0"/>
        <v>324.56544916141002</v>
      </c>
      <c r="M13">
        <f t="shared" si="1"/>
        <v>287.43455007565001</v>
      </c>
      <c r="N13">
        <f t="shared" si="2"/>
        <v>305.99999961853001</v>
      </c>
      <c r="O13">
        <f t="shared" si="3"/>
        <v>299.38523063659665</v>
      </c>
      <c r="P13">
        <f t="shared" si="4"/>
        <v>1</v>
      </c>
    </row>
    <row r="14" spans="1:16" x14ac:dyDescent="0.3">
      <c r="A14" s="1">
        <v>42814</v>
      </c>
      <c r="B14">
        <v>281.39999999999998</v>
      </c>
      <c r="C14">
        <v>307.79999961853002</v>
      </c>
      <c r="D14">
        <v>26.399999618530199</v>
      </c>
      <c r="E14" s="1">
        <v>42905</v>
      </c>
      <c r="F14">
        <v>15.3434743881225</v>
      </c>
      <c r="G14">
        <v>26.399999618530199</v>
      </c>
      <c r="J14">
        <v>11.374184619999999</v>
      </c>
      <c r="K14" s="1">
        <v>42905</v>
      </c>
      <c r="L14">
        <f t="shared" si="0"/>
        <v>326.49915913381</v>
      </c>
      <c r="M14">
        <f t="shared" si="1"/>
        <v>289.10084010325005</v>
      </c>
      <c r="N14">
        <f t="shared" si="2"/>
        <v>307.79999961853002</v>
      </c>
      <c r="O14">
        <f t="shared" si="3"/>
        <v>296.74347438812248</v>
      </c>
      <c r="P14">
        <f t="shared" si="4"/>
        <v>1</v>
      </c>
    </row>
    <row r="15" spans="1:16" x14ac:dyDescent="0.3">
      <c r="A15" s="1">
        <v>42815</v>
      </c>
      <c r="B15">
        <v>283.95</v>
      </c>
      <c r="C15">
        <v>308.09999961852998</v>
      </c>
      <c r="D15">
        <v>24.149999618530199</v>
      </c>
      <c r="E15" s="1">
        <v>42906</v>
      </c>
      <c r="F15">
        <v>7.8283209800720197</v>
      </c>
      <c r="G15">
        <v>24.149999618530199</v>
      </c>
      <c r="J15">
        <v>11.48218117</v>
      </c>
      <c r="K15" s="1">
        <v>42906</v>
      </c>
      <c r="L15">
        <f t="shared" si="0"/>
        <v>326.97670546200999</v>
      </c>
      <c r="M15">
        <f t="shared" si="1"/>
        <v>289.22329377504997</v>
      </c>
      <c r="N15">
        <f t="shared" si="2"/>
        <v>308.09999961852998</v>
      </c>
      <c r="O15">
        <f t="shared" si="3"/>
        <v>291.77832098007201</v>
      </c>
      <c r="P15">
        <f t="shared" si="4"/>
        <v>1</v>
      </c>
    </row>
    <row r="16" spans="1:16" x14ac:dyDescent="0.3">
      <c r="A16" s="1">
        <v>42816</v>
      </c>
      <c r="B16">
        <v>282.45</v>
      </c>
      <c r="C16">
        <v>306.80000038146898</v>
      </c>
      <c r="D16">
        <v>24.350000381469702</v>
      </c>
      <c r="E16" s="1">
        <v>42907</v>
      </c>
      <c r="F16">
        <v>12.7991514205932</v>
      </c>
      <c r="G16">
        <v>24.350000381469702</v>
      </c>
      <c r="J16">
        <v>11.531701290000001</v>
      </c>
      <c r="K16" s="1">
        <v>42907</v>
      </c>
      <c r="L16">
        <f t="shared" si="0"/>
        <v>325.75811730222898</v>
      </c>
      <c r="M16">
        <f t="shared" si="1"/>
        <v>287.84188346070897</v>
      </c>
      <c r="N16">
        <f t="shared" si="2"/>
        <v>306.80000038146898</v>
      </c>
      <c r="O16">
        <f t="shared" si="3"/>
        <v>295.24915142059319</v>
      </c>
      <c r="P16">
        <f t="shared" si="4"/>
        <v>1</v>
      </c>
    </row>
    <row r="17" spans="1:16" x14ac:dyDescent="0.3">
      <c r="A17" s="1">
        <v>42817</v>
      </c>
      <c r="B17">
        <v>283.10000000000002</v>
      </c>
      <c r="C17">
        <v>308.55000076293902</v>
      </c>
      <c r="D17">
        <v>25.4500007629394</v>
      </c>
      <c r="E17" s="1">
        <v>42908</v>
      </c>
      <c r="F17">
        <v>12.0039072036743</v>
      </c>
      <c r="G17">
        <v>25.4500007629394</v>
      </c>
      <c r="J17">
        <v>11.611243569999999</v>
      </c>
      <c r="K17" s="1">
        <v>42908</v>
      </c>
      <c r="L17">
        <f t="shared" si="0"/>
        <v>327.63888519201902</v>
      </c>
      <c r="M17">
        <f t="shared" si="1"/>
        <v>289.46111633385902</v>
      </c>
      <c r="N17">
        <f t="shared" si="2"/>
        <v>308.55000076293902</v>
      </c>
      <c r="O17">
        <f t="shared" si="3"/>
        <v>295.10390720367434</v>
      </c>
      <c r="P17">
        <f t="shared" si="4"/>
        <v>1</v>
      </c>
    </row>
    <row r="18" spans="1:16" x14ac:dyDescent="0.3">
      <c r="A18" s="1">
        <v>42818</v>
      </c>
      <c r="B18">
        <v>282.75</v>
      </c>
      <c r="C18">
        <v>309.25</v>
      </c>
      <c r="D18">
        <v>26.5</v>
      </c>
      <c r="E18" s="1">
        <v>42909</v>
      </c>
      <c r="F18">
        <v>23.604892730712798</v>
      </c>
      <c r="G18">
        <v>26.5</v>
      </c>
      <c r="J18">
        <v>11.68553629</v>
      </c>
      <c r="K18" s="1">
        <v>42909</v>
      </c>
      <c r="L18">
        <f t="shared" si="0"/>
        <v>328.46102166076003</v>
      </c>
      <c r="M18">
        <f t="shared" si="1"/>
        <v>290.03897833923997</v>
      </c>
      <c r="N18">
        <f t="shared" si="2"/>
        <v>309.25</v>
      </c>
      <c r="O18">
        <f t="shared" si="3"/>
        <v>306.35489273071278</v>
      </c>
      <c r="P18">
        <f t="shared" si="4"/>
        <v>1</v>
      </c>
    </row>
    <row r="19" spans="1:16" x14ac:dyDescent="0.3">
      <c r="A19" s="1">
        <v>42821</v>
      </c>
      <c r="B19">
        <v>280.64999999999998</v>
      </c>
      <c r="C19">
        <v>310.54999961853002</v>
      </c>
      <c r="D19">
        <v>29.899999618530199</v>
      </c>
      <c r="E19" s="1">
        <v>42912</v>
      </c>
      <c r="F19">
        <v>22.6871013641357</v>
      </c>
      <c r="G19">
        <v>29.899999618530199</v>
      </c>
      <c r="J19">
        <v>11.735649840000001</v>
      </c>
      <c r="K19" s="1">
        <v>42912</v>
      </c>
      <c r="L19">
        <f t="shared" si="0"/>
        <v>329.84340795549002</v>
      </c>
      <c r="M19">
        <f t="shared" si="1"/>
        <v>291.25659128157002</v>
      </c>
      <c r="N19">
        <f t="shared" si="2"/>
        <v>310.54999961853002</v>
      </c>
      <c r="O19">
        <f t="shared" si="3"/>
        <v>303.33710136413566</v>
      </c>
      <c r="P19">
        <f t="shared" si="4"/>
        <v>1</v>
      </c>
    </row>
    <row r="20" spans="1:16" x14ac:dyDescent="0.3">
      <c r="A20" s="1">
        <v>42822</v>
      </c>
      <c r="B20">
        <v>281.45</v>
      </c>
      <c r="C20">
        <v>311.09999961852998</v>
      </c>
      <c r="D20">
        <v>29.649999618530199</v>
      </c>
      <c r="E20" s="1">
        <v>42913</v>
      </c>
      <c r="F20">
        <v>19.782842636108398</v>
      </c>
      <c r="G20">
        <v>29.649999618530199</v>
      </c>
      <c r="J20">
        <v>11.79365825</v>
      </c>
      <c r="K20" s="1">
        <v>42913</v>
      </c>
      <c r="L20">
        <f t="shared" si="0"/>
        <v>330.48877378152997</v>
      </c>
      <c r="M20">
        <f t="shared" si="1"/>
        <v>291.71122545552998</v>
      </c>
      <c r="N20">
        <f t="shared" si="2"/>
        <v>311.09999961852998</v>
      </c>
      <c r="O20">
        <f t="shared" si="3"/>
        <v>301.23284263610839</v>
      </c>
      <c r="P20">
        <f t="shared" si="4"/>
        <v>1</v>
      </c>
    </row>
    <row r="21" spans="1:16" x14ac:dyDescent="0.3">
      <c r="A21" s="1">
        <v>42823</v>
      </c>
      <c r="B21">
        <v>282.10000000000002</v>
      </c>
      <c r="C21">
        <v>310.24999961853001</v>
      </c>
      <c r="D21">
        <v>28.149999618530199</v>
      </c>
      <c r="E21" s="1">
        <v>42914</v>
      </c>
      <c r="F21">
        <v>23.031515121459901</v>
      </c>
      <c r="G21">
        <v>28.149999618530199</v>
      </c>
      <c r="J21">
        <v>11.828234480000001</v>
      </c>
      <c r="K21" s="1">
        <v>42914</v>
      </c>
      <c r="L21">
        <f t="shared" si="0"/>
        <v>329.69561710365002</v>
      </c>
      <c r="M21">
        <f t="shared" si="1"/>
        <v>290.80438213341</v>
      </c>
      <c r="N21">
        <f t="shared" si="2"/>
        <v>310.24999961853001</v>
      </c>
      <c r="O21">
        <f t="shared" si="3"/>
        <v>305.13151512145993</v>
      </c>
      <c r="P21">
        <f t="shared" si="4"/>
        <v>1</v>
      </c>
    </row>
    <row r="22" spans="1:16" x14ac:dyDescent="0.3">
      <c r="A22" s="1">
        <v>42824</v>
      </c>
      <c r="B22">
        <v>282.05</v>
      </c>
      <c r="C22">
        <v>312.34999923705999</v>
      </c>
      <c r="D22">
        <v>30.299999237060501</v>
      </c>
      <c r="E22" s="1">
        <v>42915</v>
      </c>
      <c r="F22">
        <v>20.824396133422798</v>
      </c>
      <c r="G22">
        <v>30.299999237060501</v>
      </c>
      <c r="J22">
        <v>11.888275119999999</v>
      </c>
      <c r="K22" s="1">
        <v>42915</v>
      </c>
      <c r="L22">
        <f t="shared" si="0"/>
        <v>331.89432353434</v>
      </c>
      <c r="M22">
        <f t="shared" si="1"/>
        <v>292.80567493977998</v>
      </c>
      <c r="N22">
        <f t="shared" si="2"/>
        <v>312.34999923705999</v>
      </c>
      <c r="O22">
        <f t="shared" si="3"/>
        <v>302.87439613342281</v>
      </c>
      <c r="P22">
        <f t="shared" si="4"/>
        <v>1</v>
      </c>
    </row>
    <row r="23" spans="1:16" x14ac:dyDescent="0.3">
      <c r="A23" s="1">
        <v>42825</v>
      </c>
      <c r="B23">
        <v>281.60000000000002</v>
      </c>
      <c r="C23">
        <v>311.55000076293902</v>
      </c>
      <c r="D23">
        <v>29.9500007629394</v>
      </c>
      <c r="E23" s="1">
        <v>42916</v>
      </c>
      <c r="F23">
        <v>13.4514093399047</v>
      </c>
      <c r="G23">
        <v>29.9500007629394</v>
      </c>
      <c r="J23">
        <v>11.90461505</v>
      </c>
      <c r="K23" s="1">
        <v>42916</v>
      </c>
      <c r="L23">
        <f t="shared" si="0"/>
        <v>331.12118790513904</v>
      </c>
      <c r="M23">
        <f t="shared" si="1"/>
        <v>291.978813620739</v>
      </c>
      <c r="N23">
        <f t="shared" si="2"/>
        <v>311.55000076293902</v>
      </c>
      <c r="O23">
        <f t="shared" si="3"/>
        <v>295.05140933990469</v>
      </c>
      <c r="P23">
        <f t="shared" si="4"/>
        <v>1</v>
      </c>
    </row>
    <row r="24" spans="1:16" x14ac:dyDescent="0.3">
      <c r="A24" s="1">
        <v>42828</v>
      </c>
      <c r="B24">
        <v>281.89999999999998</v>
      </c>
      <c r="C24">
        <v>311.94999923706001</v>
      </c>
      <c r="D24">
        <v>30.049999237060501</v>
      </c>
      <c r="E24" s="1">
        <v>42919</v>
      </c>
      <c r="F24">
        <v>12.983772277831999</v>
      </c>
      <c r="G24">
        <v>30.049999237060501</v>
      </c>
      <c r="J24">
        <v>11.916593049999999</v>
      </c>
      <c r="K24" s="1">
        <v>42919</v>
      </c>
      <c r="L24">
        <f t="shared" si="0"/>
        <v>331.54087821126001</v>
      </c>
      <c r="M24">
        <f t="shared" si="1"/>
        <v>292.35912026286002</v>
      </c>
      <c r="N24">
        <f t="shared" si="2"/>
        <v>311.94999923706001</v>
      </c>
      <c r="O24">
        <f t="shared" si="3"/>
        <v>294.88377227783195</v>
      </c>
      <c r="P24">
        <f t="shared" si="4"/>
        <v>1</v>
      </c>
    </row>
    <row r="25" spans="1:16" x14ac:dyDescent="0.3">
      <c r="A25" s="1">
        <v>42829</v>
      </c>
      <c r="B25">
        <v>281.35000000000002</v>
      </c>
      <c r="C25">
        <v>309.64999923706</v>
      </c>
      <c r="D25">
        <v>28.299999237060501</v>
      </c>
      <c r="E25" s="1">
        <v>42920</v>
      </c>
      <c r="F25">
        <v>11.9405450820922</v>
      </c>
      <c r="G25">
        <v>28.299999237060501</v>
      </c>
      <c r="J25">
        <v>11.858192150000001</v>
      </c>
      <c r="K25" s="1">
        <v>42920</v>
      </c>
      <c r="L25">
        <f t="shared" si="0"/>
        <v>329.14486713166002</v>
      </c>
      <c r="M25">
        <f t="shared" si="1"/>
        <v>290.15513134245998</v>
      </c>
      <c r="N25">
        <f t="shared" si="2"/>
        <v>309.64999923706</v>
      </c>
      <c r="O25">
        <f t="shared" si="3"/>
        <v>293.29054508209219</v>
      </c>
      <c r="P25">
        <f t="shared" si="4"/>
        <v>1</v>
      </c>
    </row>
    <row r="26" spans="1:16" x14ac:dyDescent="0.3">
      <c r="A26" s="1">
        <v>42830</v>
      </c>
      <c r="B26">
        <v>280.85000000000002</v>
      </c>
      <c r="C26">
        <v>311.10000000000002</v>
      </c>
      <c r="D26">
        <v>30.25</v>
      </c>
      <c r="E26" s="1">
        <v>42921</v>
      </c>
      <c r="F26">
        <v>11.832815170288001</v>
      </c>
      <c r="G26">
        <v>30.25</v>
      </c>
      <c r="J26">
        <v>11.79643377</v>
      </c>
      <c r="K26" s="1">
        <v>42921</v>
      </c>
      <c r="L26">
        <f t="shared" si="0"/>
        <v>330.49333711788</v>
      </c>
      <c r="M26">
        <f t="shared" si="1"/>
        <v>291.70666288212004</v>
      </c>
      <c r="N26">
        <f t="shared" si="2"/>
        <v>311.10000000000002</v>
      </c>
      <c r="O26">
        <f t="shared" si="3"/>
        <v>292.68281517028799</v>
      </c>
      <c r="P26">
        <f t="shared" si="4"/>
        <v>1</v>
      </c>
    </row>
    <row r="27" spans="1:16" x14ac:dyDescent="0.3">
      <c r="A27" s="1">
        <v>42831</v>
      </c>
      <c r="B27">
        <v>279.89999999999998</v>
      </c>
      <c r="C27">
        <v>311.10000076293898</v>
      </c>
      <c r="D27">
        <v>31.2000007629394</v>
      </c>
      <c r="E27" s="1">
        <v>42922</v>
      </c>
      <c r="F27">
        <v>8.1748495101928693</v>
      </c>
      <c r="G27">
        <v>31.2000007629394</v>
      </c>
      <c r="J27">
        <v>11.69295086</v>
      </c>
      <c r="K27" s="1">
        <v>42922</v>
      </c>
      <c r="L27">
        <f t="shared" si="0"/>
        <v>330.32321197677896</v>
      </c>
      <c r="M27">
        <f t="shared" si="1"/>
        <v>291.87678954909899</v>
      </c>
      <c r="N27">
        <f t="shared" si="2"/>
        <v>311.10000076293898</v>
      </c>
      <c r="O27">
        <f t="shared" si="3"/>
        <v>288.07484951019285</v>
      </c>
      <c r="P27">
        <f t="shared" si="4"/>
        <v>0</v>
      </c>
    </row>
    <row r="28" spans="1:16" x14ac:dyDescent="0.3">
      <c r="A28" s="1">
        <v>42832</v>
      </c>
      <c r="B28">
        <v>279.25</v>
      </c>
      <c r="C28">
        <v>310.25</v>
      </c>
      <c r="D28">
        <v>31</v>
      </c>
      <c r="E28" s="1">
        <v>42923</v>
      </c>
      <c r="F28">
        <v>13.6445922851562</v>
      </c>
      <c r="G28">
        <v>31</v>
      </c>
      <c r="J28">
        <v>11.537757989999999</v>
      </c>
      <c r="K28" s="1">
        <v>42923</v>
      </c>
      <c r="L28">
        <f t="shared" si="0"/>
        <v>329.21807413556002</v>
      </c>
      <c r="M28">
        <f t="shared" si="1"/>
        <v>291.28192586443998</v>
      </c>
      <c r="N28">
        <f t="shared" si="2"/>
        <v>310.25</v>
      </c>
      <c r="O28">
        <f t="shared" si="3"/>
        <v>292.89459228515619</v>
      </c>
      <c r="P28">
        <f t="shared" si="4"/>
        <v>1</v>
      </c>
    </row>
    <row r="29" spans="1:16" x14ac:dyDescent="0.3">
      <c r="A29" s="1">
        <v>42835</v>
      </c>
      <c r="B29">
        <v>277.64999999999998</v>
      </c>
      <c r="C29">
        <v>310.80000152587797</v>
      </c>
      <c r="D29">
        <v>33.150001525878899</v>
      </c>
      <c r="E29" s="1">
        <v>42926</v>
      </c>
      <c r="F29">
        <v>20.2819423675537</v>
      </c>
      <c r="G29">
        <v>33.150001525878899</v>
      </c>
      <c r="J29">
        <v>11.32296408</v>
      </c>
      <c r="K29" s="1">
        <v>42926</v>
      </c>
      <c r="L29">
        <f t="shared" si="0"/>
        <v>329.41495447339798</v>
      </c>
      <c r="M29">
        <f t="shared" si="1"/>
        <v>292.18504857835796</v>
      </c>
      <c r="N29">
        <f t="shared" si="2"/>
        <v>310.80000152587797</v>
      </c>
      <c r="O29">
        <f t="shared" si="3"/>
        <v>297.93194236755369</v>
      </c>
      <c r="P29">
        <f t="shared" si="4"/>
        <v>1</v>
      </c>
    </row>
    <row r="30" spans="1:16" x14ac:dyDescent="0.3">
      <c r="A30" s="1">
        <v>42836</v>
      </c>
      <c r="B30">
        <v>275.89999999999998</v>
      </c>
      <c r="C30">
        <v>312.69999923706001</v>
      </c>
      <c r="D30">
        <v>36.799999237060497</v>
      </c>
      <c r="E30" s="1">
        <v>42927</v>
      </c>
      <c r="F30">
        <v>17.1819152832031</v>
      </c>
      <c r="G30">
        <v>36.799999237060497</v>
      </c>
      <c r="J30">
        <v>11.05558579</v>
      </c>
      <c r="K30" s="1">
        <v>42927</v>
      </c>
      <c r="L30">
        <f t="shared" si="0"/>
        <v>330.87538227582002</v>
      </c>
      <c r="M30">
        <f t="shared" si="1"/>
        <v>294.52461619830001</v>
      </c>
      <c r="N30">
        <f t="shared" si="2"/>
        <v>312.69999923706001</v>
      </c>
      <c r="O30">
        <f t="shared" si="3"/>
        <v>293.0819152832031</v>
      </c>
      <c r="P30">
        <f t="shared" si="4"/>
        <v>0</v>
      </c>
    </row>
    <row r="31" spans="1:16" x14ac:dyDescent="0.3">
      <c r="A31" s="1">
        <v>42837</v>
      </c>
      <c r="B31">
        <v>276.95</v>
      </c>
      <c r="C31">
        <v>312.60000152587799</v>
      </c>
      <c r="D31">
        <v>35.650001525878899</v>
      </c>
      <c r="E31" s="1">
        <v>42928</v>
      </c>
      <c r="F31">
        <v>16.3142375946044</v>
      </c>
      <c r="G31">
        <v>35.650001525878899</v>
      </c>
      <c r="J31">
        <v>10.785996859999999</v>
      </c>
      <c r="K31" s="1">
        <v>42928</v>
      </c>
      <c r="L31">
        <f t="shared" si="0"/>
        <v>330.33218036371795</v>
      </c>
      <c r="M31">
        <f t="shared" si="1"/>
        <v>294.86782268803802</v>
      </c>
      <c r="N31">
        <f t="shared" si="2"/>
        <v>312.60000152587799</v>
      </c>
      <c r="O31">
        <f t="shared" si="3"/>
        <v>293.26423759460437</v>
      </c>
      <c r="P31">
        <f t="shared" si="4"/>
        <v>0</v>
      </c>
    </row>
    <row r="32" spans="1:16" x14ac:dyDescent="0.3">
      <c r="A32" s="1">
        <v>42838</v>
      </c>
      <c r="B32">
        <v>279.14999999999998</v>
      </c>
      <c r="C32">
        <v>316.55000152587797</v>
      </c>
      <c r="D32">
        <v>37.400001525878899</v>
      </c>
      <c r="E32" s="1">
        <v>42929</v>
      </c>
      <c r="F32">
        <v>10.7391719818115</v>
      </c>
      <c r="G32">
        <v>37.400001525878899</v>
      </c>
      <c r="J32">
        <v>10.63473525</v>
      </c>
      <c r="K32" s="1">
        <v>42929</v>
      </c>
      <c r="L32">
        <f t="shared" si="0"/>
        <v>334.03350627687797</v>
      </c>
      <c r="M32">
        <f t="shared" si="1"/>
        <v>299.06649677487798</v>
      </c>
      <c r="N32">
        <f t="shared" si="2"/>
        <v>316.55000152587797</v>
      </c>
      <c r="O32">
        <f t="shared" si="3"/>
        <v>289.8891719818115</v>
      </c>
      <c r="P32">
        <f t="shared" si="4"/>
        <v>0</v>
      </c>
    </row>
    <row r="33" spans="1:16" x14ac:dyDescent="0.3">
      <c r="A33" s="1">
        <v>42839</v>
      </c>
      <c r="B33">
        <v>277.7</v>
      </c>
      <c r="C33">
        <v>316.7</v>
      </c>
      <c r="D33">
        <v>39</v>
      </c>
      <c r="E33" s="1">
        <v>42930</v>
      </c>
      <c r="F33">
        <v>4.94970607757568</v>
      </c>
      <c r="G33">
        <v>39</v>
      </c>
      <c r="J33">
        <v>10.4024231</v>
      </c>
      <c r="K33" s="1">
        <v>42930</v>
      </c>
      <c r="L33">
        <f t="shared" si="0"/>
        <v>333.80158357639999</v>
      </c>
      <c r="M33">
        <f t="shared" si="1"/>
        <v>299.59841642359999</v>
      </c>
      <c r="N33">
        <f t="shared" si="2"/>
        <v>316.7</v>
      </c>
      <c r="O33">
        <f t="shared" si="3"/>
        <v>282.64970607757567</v>
      </c>
      <c r="P33">
        <f t="shared" si="4"/>
        <v>0</v>
      </c>
    </row>
    <row r="34" spans="1:16" x14ac:dyDescent="0.3">
      <c r="A34" s="1">
        <v>42842</v>
      </c>
      <c r="B34">
        <v>278.64999999999998</v>
      </c>
      <c r="C34">
        <v>317.49999847412101</v>
      </c>
      <c r="D34">
        <v>38.849998474121001</v>
      </c>
      <c r="E34" s="1">
        <v>42933</v>
      </c>
      <c r="F34">
        <v>7.6107368469238201</v>
      </c>
      <c r="G34">
        <v>38.849998474121001</v>
      </c>
      <c r="J34">
        <v>10.182204260000001</v>
      </c>
      <c r="K34" s="1">
        <v>42933</v>
      </c>
      <c r="L34">
        <f t="shared" si="0"/>
        <v>334.23954227756099</v>
      </c>
      <c r="M34">
        <f t="shared" si="1"/>
        <v>300.76045467068104</v>
      </c>
      <c r="N34">
        <f t="shared" si="2"/>
        <v>317.49999847412101</v>
      </c>
      <c r="O34">
        <f t="shared" si="3"/>
        <v>286.26073684692381</v>
      </c>
      <c r="P34">
        <f t="shared" si="4"/>
        <v>0</v>
      </c>
    </row>
    <row r="35" spans="1:16" x14ac:dyDescent="0.3">
      <c r="A35" s="1">
        <v>42843</v>
      </c>
      <c r="B35">
        <v>278.35000000000002</v>
      </c>
      <c r="C35">
        <v>318.05000076293902</v>
      </c>
      <c r="D35">
        <v>39.700000762939403</v>
      </c>
      <c r="E35" s="1">
        <v>42934</v>
      </c>
      <c r="F35">
        <v>9.3334789276122994</v>
      </c>
      <c r="G35">
        <v>39.700000762939403</v>
      </c>
      <c r="J35">
        <v>9.9222192630000006</v>
      </c>
      <c r="K35" s="1">
        <v>42934</v>
      </c>
      <c r="L35">
        <f t="shared" si="0"/>
        <v>334.36212923131103</v>
      </c>
      <c r="M35">
        <f t="shared" si="1"/>
        <v>301.73787229456701</v>
      </c>
      <c r="N35">
        <f t="shared" si="2"/>
        <v>318.05000076293902</v>
      </c>
      <c r="O35">
        <f t="shared" si="3"/>
        <v>287.68347892761233</v>
      </c>
      <c r="P35">
        <f t="shared" si="4"/>
        <v>0</v>
      </c>
    </row>
    <row r="36" spans="1:16" x14ac:dyDescent="0.3">
      <c r="A36" s="1">
        <v>42844</v>
      </c>
      <c r="B36">
        <v>276.85000000000002</v>
      </c>
      <c r="C36">
        <v>318.699998474121</v>
      </c>
      <c r="D36">
        <v>41.849998474121001</v>
      </c>
      <c r="E36" s="1">
        <v>42935</v>
      </c>
      <c r="F36">
        <v>7.9390616416931099</v>
      </c>
      <c r="G36">
        <v>41.849998474121001</v>
      </c>
      <c r="J36">
        <v>9.5689236219999998</v>
      </c>
      <c r="K36" s="1">
        <v>42935</v>
      </c>
      <c r="L36">
        <f t="shared" si="0"/>
        <v>334.431308908689</v>
      </c>
      <c r="M36">
        <f t="shared" si="1"/>
        <v>302.968688039553</v>
      </c>
      <c r="N36">
        <f t="shared" si="2"/>
        <v>318.699998474121</v>
      </c>
      <c r="O36">
        <f t="shared" si="3"/>
        <v>284.78906164169314</v>
      </c>
      <c r="P36">
        <f t="shared" si="4"/>
        <v>0</v>
      </c>
    </row>
    <row r="37" spans="1:16" x14ac:dyDescent="0.3">
      <c r="A37" s="1">
        <v>42845</v>
      </c>
      <c r="B37">
        <v>278.25</v>
      </c>
      <c r="C37">
        <v>319.59999847412098</v>
      </c>
      <c r="D37">
        <v>41.349998474121001</v>
      </c>
      <c r="E37" s="1">
        <v>42936</v>
      </c>
      <c r="F37">
        <v>15.7712745666503</v>
      </c>
      <c r="G37">
        <v>41.349998474121001</v>
      </c>
      <c r="J37">
        <v>9.2422643719999993</v>
      </c>
      <c r="K37" s="1">
        <v>42936</v>
      </c>
      <c r="L37">
        <f t="shared" si="0"/>
        <v>334.79428110168897</v>
      </c>
      <c r="M37">
        <f t="shared" si="1"/>
        <v>304.40571584655299</v>
      </c>
      <c r="N37">
        <f t="shared" si="2"/>
        <v>319.59999847412098</v>
      </c>
      <c r="O37">
        <f t="shared" si="3"/>
        <v>294.02127456665028</v>
      </c>
      <c r="P37">
        <f t="shared" si="4"/>
        <v>0</v>
      </c>
    </row>
    <row r="38" spans="1:16" x14ac:dyDescent="0.3">
      <c r="A38" s="1">
        <v>42846</v>
      </c>
      <c r="B38">
        <v>280.7</v>
      </c>
      <c r="C38">
        <v>321.10000152587799</v>
      </c>
      <c r="D38">
        <v>40.400001525878899</v>
      </c>
      <c r="E38" s="1">
        <v>42937</v>
      </c>
      <c r="F38">
        <v>12.242661476135201</v>
      </c>
      <c r="G38">
        <v>40.400001525878899</v>
      </c>
      <c r="J38">
        <v>9.0064031040000003</v>
      </c>
      <c r="K38" s="1">
        <v>42937</v>
      </c>
      <c r="L38">
        <f t="shared" si="0"/>
        <v>335.90652822885397</v>
      </c>
      <c r="M38">
        <f t="shared" si="1"/>
        <v>306.293474822902</v>
      </c>
      <c r="N38">
        <f t="shared" si="2"/>
        <v>321.10000152587799</v>
      </c>
      <c r="O38">
        <f t="shared" si="3"/>
        <v>292.94266147613519</v>
      </c>
      <c r="P38">
        <f t="shared" si="4"/>
        <v>0</v>
      </c>
    </row>
    <row r="39" spans="1:16" x14ac:dyDescent="0.3">
      <c r="A39" s="1">
        <v>42849</v>
      </c>
      <c r="B39">
        <v>281.85000000000002</v>
      </c>
      <c r="C39">
        <v>321.25000152587802</v>
      </c>
      <c r="D39">
        <v>39.400001525878899</v>
      </c>
      <c r="E39" s="1">
        <v>42940</v>
      </c>
      <c r="F39">
        <v>21.6231784820556</v>
      </c>
      <c r="G39">
        <v>39.400001525878899</v>
      </c>
      <c r="J39">
        <v>8.7728100349999991</v>
      </c>
      <c r="K39" s="1">
        <v>42940</v>
      </c>
      <c r="L39">
        <f t="shared" si="0"/>
        <v>335.67250122341801</v>
      </c>
      <c r="M39">
        <f t="shared" si="1"/>
        <v>306.82750182833803</v>
      </c>
      <c r="N39">
        <f t="shared" si="2"/>
        <v>321.25000152587802</v>
      </c>
      <c r="O39">
        <f t="shared" si="3"/>
        <v>303.47317848205563</v>
      </c>
      <c r="P39">
        <f t="shared" si="4"/>
        <v>0</v>
      </c>
    </row>
    <row r="40" spans="1:16" x14ac:dyDescent="0.3">
      <c r="A40" s="1">
        <v>42850</v>
      </c>
      <c r="B40">
        <v>285.2</v>
      </c>
      <c r="C40">
        <v>319.65000076293899</v>
      </c>
      <c r="D40">
        <v>34.450000762939403</v>
      </c>
      <c r="E40" s="1">
        <v>42941</v>
      </c>
      <c r="F40">
        <v>9.8584337234496999</v>
      </c>
      <c r="G40">
        <v>34.450000762939403</v>
      </c>
      <c r="J40">
        <v>8.5826155489999998</v>
      </c>
      <c r="K40" s="1">
        <v>42941</v>
      </c>
      <c r="L40">
        <f t="shared" si="0"/>
        <v>333.75982072549499</v>
      </c>
      <c r="M40">
        <f t="shared" si="1"/>
        <v>305.54018080038298</v>
      </c>
      <c r="N40">
        <f t="shared" si="2"/>
        <v>319.65000076293899</v>
      </c>
      <c r="O40">
        <f t="shared" si="3"/>
        <v>295.0584337234497</v>
      </c>
      <c r="P40">
        <f t="shared" si="4"/>
        <v>0</v>
      </c>
    </row>
    <row r="41" spans="1:16" x14ac:dyDescent="0.3">
      <c r="A41" s="1">
        <v>42851</v>
      </c>
      <c r="B41">
        <v>286.45</v>
      </c>
      <c r="C41">
        <v>318.95</v>
      </c>
      <c r="D41">
        <v>32.5</v>
      </c>
      <c r="E41" s="1">
        <v>42942</v>
      </c>
      <c r="F41">
        <v>6.33324718475341</v>
      </c>
      <c r="G41">
        <v>32.5</v>
      </c>
      <c r="J41">
        <v>8.3847168799999992</v>
      </c>
      <c r="K41" s="1">
        <v>42942</v>
      </c>
      <c r="L41">
        <f t="shared" si="0"/>
        <v>332.73447455071999</v>
      </c>
      <c r="M41">
        <f t="shared" si="1"/>
        <v>305.16552544927998</v>
      </c>
      <c r="N41">
        <f t="shared" si="2"/>
        <v>318.95</v>
      </c>
      <c r="O41">
        <f t="shared" si="3"/>
        <v>292.78324718475341</v>
      </c>
      <c r="P41">
        <f t="shared" si="4"/>
        <v>0</v>
      </c>
    </row>
    <row r="42" spans="1:16" x14ac:dyDescent="0.3">
      <c r="A42" s="1">
        <v>42852</v>
      </c>
      <c r="B42">
        <v>287.35000000000002</v>
      </c>
      <c r="C42">
        <v>319.85000000000002</v>
      </c>
      <c r="D42">
        <v>32.5</v>
      </c>
      <c r="E42" s="1">
        <v>42943</v>
      </c>
      <c r="F42">
        <v>12.1197757720947</v>
      </c>
      <c r="G42">
        <v>32.5</v>
      </c>
      <c r="J42">
        <v>8.2068212280000008</v>
      </c>
      <c r="K42" s="1">
        <v>42943</v>
      </c>
      <c r="L42">
        <f t="shared" si="0"/>
        <v>333.34201409883201</v>
      </c>
      <c r="M42">
        <f t="shared" si="1"/>
        <v>306.35798590116804</v>
      </c>
      <c r="N42">
        <f t="shared" si="2"/>
        <v>319.85000000000002</v>
      </c>
      <c r="O42">
        <f t="shared" si="3"/>
        <v>299.46977577209475</v>
      </c>
      <c r="P42">
        <f t="shared" si="4"/>
        <v>0</v>
      </c>
    </row>
    <row r="43" spans="1:16" x14ac:dyDescent="0.3">
      <c r="A43" s="1">
        <v>42853</v>
      </c>
      <c r="B43">
        <v>287.8</v>
      </c>
      <c r="C43">
        <v>312.55</v>
      </c>
      <c r="D43">
        <v>24.75</v>
      </c>
      <c r="E43" s="1">
        <v>42944</v>
      </c>
      <c r="F43">
        <v>12.6944236755371</v>
      </c>
      <c r="G43">
        <v>24.75</v>
      </c>
      <c r="J43">
        <v>7.881278633</v>
      </c>
      <c r="K43" s="1">
        <v>42944</v>
      </c>
      <c r="L43">
        <f t="shared" si="0"/>
        <v>325.50682207265203</v>
      </c>
      <c r="M43">
        <f t="shared" si="1"/>
        <v>299.59317792734799</v>
      </c>
      <c r="N43">
        <f t="shared" si="2"/>
        <v>312.55</v>
      </c>
      <c r="O43">
        <f t="shared" si="3"/>
        <v>300.49442367553712</v>
      </c>
      <c r="P43">
        <f t="shared" si="4"/>
        <v>1</v>
      </c>
    </row>
    <row r="44" spans="1:16" x14ac:dyDescent="0.3">
      <c r="A44" s="1">
        <v>42856</v>
      </c>
      <c r="B44">
        <v>287.8</v>
      </c>
      <c r="C44">
        <v>313.55</v>
      </c>
      <c r="D44">
        <v>25.75</v>
      </c>
      <c r="E44" s="1">
        <v>42947</v>
      </c>
      <c r="F44">
        <v>9.6122999191284109</v>
      </c>
      <c r="G44">
        <v>25.75</v>
      </c>
      <c r="J44">
        <v>7.5336136170000003</v>
      </c>
      <c r="K44" s="1">
        <v>42947</v>
      </c>
      <c r="L44">
        <f t="shared" si="0"/>
        <v>325.93526078634801</v>
      </c>
      <c r="M44">
        <f t="shared" si="1"/>
        <v>301.16473921365201</v>
      </c>
      <c r="N44">
        <f t="shared" si="2"/>
        <v>313.55</v>
      </c>
      <c r="O44">
        <f t="shared" si="3"/>
        <v>297.41229991912843</v>
      </c>
      <c r="P44">
        <f t="shared" si="4"/>
        <v>0</v>
      </c>
    </row>
    <row r="45" spans="1:16" x14ac:dyDescent="0.3">
      <c r="A45" s="1">
        <v>42857</v>
      </c>
      <c r="B45">
        <v>290.05</v>
      </c>
      <c r="C45">
        <v>316.55</v>
      </c>
      <c r="D45">
        <v>26.5</v>
      </c>
      <c r="E45" s="1">
        <v>42948</v>
      </c>
      <c r="F45">
        <v>5.1555304527282697</v>
      </c>
      <c r="G45">
        <v>26.5</v>
      </c>
      <c r="J45">
        <v>7.2856713629999996</v>
      </c>
      <c r="K45" s="1">
        <v>42948</v>
      </c>
      <c r="L45">
        <f t="shared" si="0"/>
        <v>328.52764372077201</v>
      </c>
      <c r="M45">
        <f t="shared" si="1"/>
        <v>304.57235627922802</v>
      </c>
      <c r="N45">
        <f t="shared" si="2"/>
        <v>316.55</v>
      </c>
      <c r="O45">
        <f t="shared" si="3"/>
        <v>295.20553045272828</v>
      </c>
      <c r="P45">
        <f t="shared" si="4"/>
        <v>0</v>
      </c>
    </row>
    <row r="46" spans="1:16" x14ac:dyDescent="0.3">
      <c r="A46" s="1">
        <v>42858</v>
      </c>
      <c r="B46">
        <v>290.05</v>
      </c>
      <c r="C46">
        <v>317.150000381469</v>
      </c>
      <c r="D46">
        <v>27.100000381469702</v>
      </c>
      <c r="E46" s="1">
        <v>42949</v>
      </c>
      <c r="F46">
        <v>2.0525166988372798</v>
      </c>
      <c r="G46">
        <v>27.100000381469702</v>
      </c>
      <c r="J46">
        <v>7.0162937080000001</v>
      </c>
      <c r="K46" s="1">
        <v>42949</v>
      </c>
      <c r="L46">
        <f t="shared" si="0"/>
        <v>328.68478723742101</v>
      </c>
      <c r="M46">
        <f t="shared" si="1"/>
        <v>305.61521352551699</v>
      </c>
      <c r="N46">
        <f t="shared" si="2"/>
        <v>317.150000381469</v>
      </c>
      <c r="O46">
        <f t="shared" si="3"/>
        <v>292.10251669883729</v>
      </c>
      <c r="P46">
        <f t="shared" si="4"/>
        <v>0</v>
      </c>
    </row>
    <row r="47" spans="1:16" x14ac:dyDescent="0.3">
      <c r="A47" s="1">
        <v>42859</v>
      </c>
      <c r="B47">
        <v>292.75</v>
      </c>
      <c r="C47">
        <v>311.64999961852999</v>
      </c>
      <c r="D47">
        <v>18.899999618530199</v>
      </c>
      <c r="E47" s="1">
        <v>42950</v>
      </c>
      <c r="F47">
        <v>7.2509057819843195E-2</v>
      </c>
      <c r="G47">
        <v>18.899999618530199</v>
      </c>
      <c r="J47">
        <v>6.7457855430000002</v>
      </c>
      <c r="K47" s="1">
        <v>42950</v>
      </c>
      <c r="L47">
        <f t="shared" si="0"/>
        <v>322.740071051222</v>
      </c>
      <c r="M47">
        <f t="shared" si="1"/>
        <v>300.55992818583798</v>
      </c>
      <c r="N47">
        <f t="shared" si="2"/>
        <v>311.64999961852999</v>
      </c>
      <c r="O47">
        <f t="shared" si="3"/>
        <v>292.82250905781984</v>
      </c>
      <c r="P47">
        <f t="shared" si="4"/>
        <v>0</v>
      </c>
    </row>
    <row r="48" spans="1:16" x14ac:dyDescent="0.3">
      <c r="A48" s="1">
        <v>42860</v>
      </c>
      <c r="B48">
        <v>292.75</v>
      </c>
      <c r="C48">
        <v>312.85000038146899</v>
      </c>
      <c r="D48">
        <v>20.100000381469702</v>
      </c>
      <c r="E48" s="1">
        <v>42951</v>
      </c>
      <c r="F48">
        <v>4.3040270805358798</v>
      </c>
      <c r="G48">
        <v>20.100000381469702</v>
      </c>
      <c r="J48">
        <v>6.4602585010000002</v>
      </c>
      <c r="K48" s="1">
        <v>42951</v>
      </c>
      <c r="L48">
        <f t="shared" si="0"/>
        <v>323.47066535711298</v>
      </c>
      <c r="M48">
        <f t="shared" si="1"/>
        <v>302.229335405825</v>
      </c>
      <c r="N48">
        <f t="shared" si="2"/>
        <v>312.85000038146899</v>
      </c>
      <c r="O48">
        <f t="shared" si="3"/>
        <v>297.05402708053589</v>
      </c>
      <c r="P48">
        <f t="shared" si="4"/>
        <v>0</v>
      </c>
    </row>
    <row r="49" spans="1:16" x14ac:dyDescent="0.3">
      <c r="A49" s="1">
        <v>42863</v>
      </c>
      <c r="B49">
        <v>300.7</v>
      </c>
      <c r="C49">
        <v>312.89999980926501</v>
      </c>
      <c r="D49">
        <v>12.199999809265099</v>
      </c>
      <c r="E49" s="1">
        <v>42954</v>
      </c>
      <c r="F49">
        <v>1.8067899942398</v>
      </c>
      <c r="G49">
        <v>12.199999809265099</v>
      </c>
      <c r="J49">
        <v>6.3934764299999998</v>
      </c>
      <c r="K49" s="1">
        <v>42954</v>
      </c>
      <c r="L49">
        <f t="shared" si="0"/>
        <v>323.41087506018499</v>
      </c>
      <c r="M49">
        <f t="shared" si="1"/>
        <v>302.38912455834503</v>
      </c>
      <c r="N49">
        <f t="shared" si="2"/>
        <v>312.89999980926501</v>
      </c>
      <c r="O49">
        <f t="shared" si="3"/>
        <v>302.5067899942398</v>
      </c>
      <c r="P49">
        <f t="shared" si="4"/>
        <v>1</v>
      </c>
    </row>
    <row r="50" spans="1:16" x14ac:dyDescent="0.3">
      <c r="A50" s="1">
        <v>42864</v>
      </c>
      <c r="B50">
        <v>300.7</v>
      </c>
      <c r="C50">
        <v>312.84999961852998</v>
      </c>
      <c r="D50">
        <v>12.149999618530201</v>
      </c>
      <c r="E50" s="1">
        <v>42955</v>
      </c>
      <c r="F50">
        <v>1.05076956748962</v>
      </c>
      <c r="G50">
        <v>12.149999618530201</v>
      </c>
      <c r="J50">
        <v>6.3198931380000003</v>
      </c>
      <c r="K50" s="1">
        <v>42955</v>
      </c>
      <c r="L50">
        <f t="shared" si="0"/>
        <v>323.239903937402</v>
      </c>
      <c r="M50">
        <f t="shared" si="1"/>
        <v>302.46009529965795</v>
      </c>
      <c r="N50">
        <f t="shared" si="2"/>
        <v>312.84999961852998</v>
      </c>
      <c r="O50">
        <f t="shared" si="3"/>
        <v>301.75076956748961</v>
      </c>
      <c r="P50">
        <f t="shared" si="4"/>
        <v>0</v>
      </c>
    </row>
    <row r="51" spans="1:16" x14ac:dyDescent="0.3">
      <c r="A51" s="1">
        <v>42865</v>
      </c>
      <c r="B51">
        <v>296.45</v>
      </c>
      <c r="C51">
        <v>308.64999980926501</v>
      </c>
      <c r="D51">
        <v>12.199999809265099</v>
      </c>
      <c r="E51" s="1">
        <v>42956</v>
      </c>
      <c r="F51">
        <v>7.6658825874328604</v>
      </c>
      <c r="G51">
        <v>12.199999809265099</v>
      </c>
      <c r="J51">
        <v>6.1089700950000001</v>
      </c>
      <c r="K51" s="1">
        <v>42956</v>
      </c>
      <c r="L51">
        <f t="shared" si="0"/>
        <v>318.69314664544504</v>
      </c>
      <c r="M51">
        <f t="shared" si="1"/>
        <v>298.60685297308498</v>
      </c>
      <c r="N51">
        <f t="shared" si="2"/>
        <v>308.64999980926501</v>
      </c>
      <c r="O51">
        <f t="shared" si="3"/>
        <v>304.11588258743285</v>
      </c>
      <c r="P51">
        <f t="shared" si="4"/>
        <v>1</v>
      </c>
    </row>
    <row r="52" spans="1:16" x14ac:dyDescent="0.3">
      <c r="A52" s="1">
        <v>42866</v>
      </c>
      <c r="B52">
        <v>300.10000000000002</v>
      </c>
      <c r="C52">
        <v>307.250000095367</v>
      </c>
      <c r="D52">
        <v>7.1500000953674299</v>
      </c>
      <c r="E52" s="1">
        <v>42957</v>
      </c>
      <c r="F52">
        <v>8.6094617843627894</v>
      </c>
      <c r="G52">
        <v>7.1500000953674299</v>
      </c>
      <c r="J52">
        <v>6.0001028639999996</v>
      </c>
      <c r="K52" s="1">
        <v>42957</v>
      </c>
      <c r="L52">
        <f t="shared" si="0"/>
        <v>317.11416920378298</v>
      </c>
      <c r="M52">
        <f t="shared" si="1"/>
        <v>297.38583098695102</v>
      </c>
      <c r="N52">
        <f t="shared" si="2"/>
        <v>307.250000095367</v>
      </c>
      <c r="O52">
        <f t="shared" si="3"/>
        <v>308.70946178436282</v>
      </c>
      <c r="P52">
        <f t="shared" si="4"/>
        <v>1</v>
      </c>
    </row>
    <row r="53" spans="1:16" x14ac:dyDescent="0.3">
      <c r="A53" s="1">
        <v>42867</v>
      </c>
      <c r="B53">
        <v>298.64999999999998</v>
      </c>
      <c r="C53">
        <v>301.49999990463198</v>
      </c>
      <c r="D53">
        <v>2.8499999046325599</v>
      </c>
      <c r="E53" s="1">
        <v>42958</v>
      </c>
      <c r="F53">
        <v>10.696147918701101</v>
      </c>
      <c r="G53">
        <v>2.8499999046325599</v>
      </c>
      <c r="J53">
        <v>5.9285993000000001</v>
      </c>
      <c r="K53" s="1">
        <v>42958</v>
      </c>
      <c r="L53">
        <f t="shared" si="0"/>
        <v>311.24661715383195</v>
      </c>
      <c r="M53">
        <f t="shared" si="1"/>
        <v>291.75338265543201</v>
      </c>
      <c r="N53">
        <f t="shared" si="2"/>
        <v>301.49999990463198</v>
      </c>
      <c r="O53">
        <f t="shared" si="3"/>
        <v>309.34614791870109</v>
      </c>
      <c r="P53">
        <f t="shared" si="4"/>
        <v>1</v>
      </c>
    </row>
    <row r="54" spans="1:16" x14ac:dyDescent="0.3">
      <c r="A54" s="1">
        <v>42870</v>
      </c>
      <c r="B54">
        <v>299.64999999999998</v>
      </c>
      <c r="C54">
        <v>304.599999809265</v>
      </c>
      <c r="D54">
        <v>4.9499998092651296</v>
      </c>
      <c r="E54" s="1">
        <v>42961</v>
      </c>
      <c r="F54">
        <v>14.445370674133301</v>
      </c>
      <c r="G54">
        <v>4.9499998092651296</v>
      </c>
      <c r="J54">
        <v>5.8287809619999997</v>
      </c>
      <c r="K54" s="1">
        <v>42961</v>
      </c>
      <c r="L54">
        <f t="shared" si="0"/>
        <v>314.18251571079298</v>
      </c>
      <c r="M54">
        <f t="shared" si="1"/>
        <v>295.01748390773702</v>
      </c>
      <c r="N54">
        <f t="shared" si="2"/>
        <v>304.599999809265</v>
      </c>
      <c r="O54">
        <f t="shared" si="3"/>
        <v>314.09537067413328</v>
      </c>
      <c r="P54">
        <f t="shared" si="4"/>
        <v>1</v>
      </c>
    </row>
    <row r="55" spans="1:16" x14ac:dyDescent="0.3">
      <c r="A55" s="1">
        <v>42871</v>
      </c>
      <c r="B55">
        <v>299.25</v>
      </c>
      <c r="C55">
        <v>304.599999904632</v>
      </c>
      <c r="D55">
        <v>5.3499999046325604</v>
      </c>
      <c r="E55" s="1">
        <v>42962</v>
      </c>
      <c r="F55">
        <v>14.8631935119628</v>
      </c>
      <c r="G55">
        <v>5.3499999046325604</v>
      </c>
      <c r="J55">
        <v>5.7148547580000004</v>
      </c>
      <c r="K55" s="1">
        <v>42962</v>
      </c>
      <c r="L55">
        <f t="shared" si="0"/>
        <v>313.99522112678397</v>
      </c>
      <c r="M55">
        <f t="shared" si="1"/>
        <v>295.20477868248003</v>
      </c>
      <c r="N55">
        <f t="shared" si="2"/>
        <v>304.599999904632</v>
      </c>
      <c r="O55">
        <f t="shared" si="3"/>
        <v>314.11319351196278</v>
      </c>
      <c r="P55">
        <f t="shared" si="4"/>
        <v>0</v>
      </c>
    </row>
    <row r="56" spans="1:16" x14ac:dyDescent="0.3">
      <c r="A56" s="1">
        <v>42872</v>
      </c>
      <c r="B56">
        <v>299.5</v>
      </c>
      <c r="C56">
        <v>306.25</v>
      </c>
      <c r="D56">
        <v>6.75</v>
      </c>
      <c r="E56" s="1">
        <v>42963</v>
      </c>
      <c r="F56">
        <v>0.34213435649871798</v>
      </c>
      <c r="G56">
        <v>6.75</v>
      </c>
      <c r="J56">
        <v>5.5839999359999997</v>
      </c>
      <c r="K56" s="1">
        <v>42963</v>
      </c>
      <c r="L56">
        <f t="shared" si="0"/>
        <v>315.43009589478402</v>
      </c>
      <c r="M56">
        <f t="shared" si="1"/>
        <v>297.06990410521598</v>
      </c>
      <c r="N56">
        <f t="shared" si="2"/>
        <v>306.25</v>
      </c>
      <c r="O56">
        <f t="shared" si="3"/>
        <v>299.84213435649872</v>
      </c>
      <c r="P56">
        <f t="shared" si="4"/>
        <v>1</v>
      </c>
    </row>
    <row r="57" spans="1:16" x14ac:dyDescent="0.3">
      <c r="A57" s="1">
        <v>42873</v>
      </c>
      <c r="B57">
        <v>298.64999999999998</v>
      </c>
      <c r="C57">
        <v>307.89999999999998</v>
      </c>
      <c r="D57">
        <v>9.25</v>
      </c>
      <c r="E57" s="1">
        <v>42964</v>
      </c>
      <c r="F57">
        <v>0.15185293555259699</v>
      </c>
      <c r="G57">
        <v>9.25</v>
      </c>
      <c r="J57">
        <v>5.4069397629999996</v>
      </c>
      <c r="K57" s="1">
        <v>42964</v>
      </c>
      <c r="L57">
        <f t="shared" si="0"/>
        <v>316.78900897037198</v>
      </c>
      <c r="M57">
        <f t="shared" si="1"/>
        <v>299.01099102962797</v>
      </c>
      <c r="N57">
        <f t="shared" si="2"/>
        <v>307.89999999999998</v>
      </c>
      <c r="O57">
        <f t="shared" si="3"/>
        <v>298.80185293555257</v>
      </c>
      <c r="P57">
        <f t="shared" si="4"/>
        <v>0</v>
      </c>
    </row>
    <row r="58" spans="1:16" x14ac:dyDescent="0.3">
      <c r="A58" s="1">
        <v>42874</v>
      </c>
      <c r="B58">
        <v>298.25</v>
      </c>
      <c r="C58">
        <v>307.75</v>
      </c>
      <c r="D58">
        <v>9.5</v>
      </c>
      <c r="E58" s="1">
        <v>42965</v>
      </c>
      <c r="F58">
        <v>8.5687999725341797</v>
      </c>
      <c r="G58">
        <v>9.5</v>
      </c>
      <c r="J58">
        <v>5.206907395</v>
      </c>
      <c r="K58" s="1">
        <v>42965</v>
      </c>
      <c r="L58">
        <f t="shared" si="0"/>
        <v>316.31015575738002</v>
      </c>
      <c r="M58">
        <f t="shared" si="1"/>
        <v>299.18984424261998</v>
      </c>
      <c r="N58">
        <f t="shared" si="2"/>
        <v>307.75</v>
      </c>
      <c r="O58">
        <f t="shared" si="3"/>
        <v>306.81879997253418</v>
      </c>
      <c r="P58">
        <f t="shared" si="4"/>
        <v>1</v>
      </c>
    </row>
    <row r="59" spans="1:16" x14ac:dyDescent="0.3">
      <c r="A59" s="1">
        <v>42877</v>
      </c>
      <c r="B59">
        <v>300.60000000000002</v>
      </c>
      <c r="C59">
        <v>307.04999980926499</v>
      </c>
      <c r="D59">
        <v>-6.4499998092651296</v>
      </c>
      <c r="E59" s="1">
        <v>42968</v>
      </c>
      <c r="F59">
        <v>-0.94425237178802401</v>
      </c>
      <c r="G59">
        <v>6.4499998092651296</v>
      </c>
      <c r="J59">
        <v>5.0805473660000002</v>
      </c>
      <c r="K59" s="1">
        <v>42968</v>
      </c>
      <c r="L59">
        <f t="shared" si="0"/>
        <v>315.40241967896901</v>
      </c>
      <c r="M59">
        <f t="shared" si="1"/>
        <v>298.69757993956097</v>
      </c>
      <c r="N59">
        <f t="shared" si="2"/>
        <v>307.04999980926499</v>
      </c>
      <c r="O59">
        <f t="shared" si="3"/>
        <v>299.655747628212</v>
      </c>
      <c r="P59">
        <f t="shared" si="4"/>
        <v>0</v>
      </c>
    </row>
    <row r="60" spans="1:16" x14ac:dyDescent="0.3">
      <c r="A60" s="1">
        <v>42878</v>
      </c>
      <c r="B60">
        <v>301.05</v>
      </c>
      <c r="C60">
        <v>308.70000009536699</v>
      </c>
      <c r="D60">
        <v>7.6500000953674299</v>
      </c>
      <c r="E60" s="1">
        <v>42969</v>
      </c>
      <c r="F60">
        <v>5.95739316940307</v>
      </c>
      <c r="G60">
        <v>7.6500000953674299</v>
      </c>
      <c r="J60">
        <v>4.9492705370000003</v>
      </c>
      <c r="K60" s="1">
        <v>42969</v>
      </c>
      <c r="L60">
        <f t="shared" si="0"/>
        <v>316.83660085819497</v>
      </c>
      <c r="M60">
        <f t="shared" si="1"/>
        <v>300.56339933253901</v>
      </c>
      <c r="N60">
        <f t="shared" si="2"/>
        <v>308.70000009536699</v>
      </c>
      <c r="O60">
        <f t="shared" si="3"/>
        <v>307.00739316940309</v>
      </c>
      <c r="P60">
        <f t="shared" si="4"/>
        <v>1</v>
      </c>
    </row>
    <row r="61" spans="1:16" x14ac:dyDescent="0.3">
      <c r="A61" s="1">
        <v>42879</v>
      </c>
      <c r="B61">
        <v>301.89999999999998</v>
      </c>
      <c r="C61">
        <v>308.599999809265</v>
      </c>
      <c r="D61">
        <v>6.6999998092651296</v>
      </c>
      <c r="E61" s="1">
        <v>42970</v>
      </c>
      <c r="F61">
        <v>8.8783340454101491</v>
      </c>
      <c r="G61">
        <v>6.6999998092651296</v>
      </c>
      <c r="J61">
        <v>4.8370972300000004</v>
      </c>
      <c r="K61" s="1">
        <v>42970</v>
      </c>
      <c r="L61">
        <f t="shared" si="0"/>
        <v>316.55218765538501</v>
      </c>
      <c r="M61">
        <f t="shared" si="1"/>
        <v>300.64781196314499</v>
      </c>
      <c r="N61">
        <f t="shared" si="2"/>
        <v>308.599999809265</v>
      </c>
      <c r="O61">
        <f t="shared" si="3"/>
        <v>310.77833404541013</v>
      </c>
      <c r="P61">
        <f t="shared" si="4"/>
        <v>1</v>
      </c>
    </row>
    <row r="62" spans="1:16" x14ac:dyDescent="0.3">
      <c r="A62" s="1">
        <v>42880</v>
      </c>
      <c r="B62">
        <v>305.5</v>
      </c>
      <c r="C62">
        <v>310.099999904632</v>
      </c>
      <c r="D62">
        <v>4.5999999046325604</v>
      </c>
      <c r="E62" s="1">
        <v>42971</v>
      </c>
      <c r="F62">
        <v>11.3867168426513</v>
      </c>
      <c r="G62">
        <v>4.5999999046325604</v>
      </c>
      <c r="J62">
        <v>4.7956109739999997</v>
      </c>
      <c r="K62" s="1">
        <v>42971</v>
      </c>
      <c r="L62">
        <f t="shared" si="0"/>
        <v>317.98398434588802</v>
      </c>
      <c r="M62">
        <f t="shared" si="1"/>
        <v>302.21601546337598</v>
      </c>
      <c r="N62">
        <f t="shared" si="2"/>
        <v>310.099999904632</v>
      </c>
      <c r="O62">
        <f t="shared" si="3"/>
        <v>316.88671684265131</v>
      </c>
      <c r="P62">
        <f t="shared" si="4"/>
        <v>1</v>
      </c>
    </row>
    <row r="63" spans="1:16" x14ac:dyDescent="0.3">
      <c r="A63" s="1">
        <v>42881</v>
      </c>
      <c r="B63">
        <v>307.35000000000002</v>
      </c>
      <c r="C63">
        <v>310.250000095367</v>
      </c>
      <c r="D63">
        <v>2.9000000953674299</v>
      </c>
      <c r="E63" s="1">
        <v>42972</v>
      </c>
      <c r="F63">
        <v>11.175347328186</v>
      </c>
      <c r="G63">
        <v>2.9000000953674299</v>
      </c>
      <c r="J63">
        <v>4.7782155399999997</v>
      </c>
      <c r="K63" s="1">
        <v>42972</v>
      </c>
      <c r="L63">
        <f t="shared" si="0"/>
        <v>318.10538644312697</v>
      </c>
      <c r="M63">
        <f t="shared" si="1"/>
        <v>302.39461374760702</v>
      </c>
      <c r="N63">
        <f t="shared" si="2"/>
        <v>310.250000095367</v>
      </c>
      <c r="O63">
        <f t="shared" si="3"/>
        <v>318.525347328186</v>
      </c>
      <c r="P63">
        <f t="shared" si="4"/>
        <v>0</v>
      </c>
    </row>
    <row r="64" spans="1:16" x14ac:dyDescent="0.3">
      <c r="A64" s="1">
        <v>42884</v>
      </c>
      <c r="B64">
        <v>306.8</v>
      </c>
      <c r="C64">
        <v>308.19999997615798</v>
      </c>
      <c r="D64">
        <v>1.3999999761581401</v>
      </c>
      <c r="E64" s="1">
        <v>42975</v>
      </c>
      <c r="F64">
        <v>12.4154872894287</v>
      </c>
      <c r="G64">
        <v>1.3999999761581401</v>
      </c>
      <c r="J64">
        <v>4.7636774239999999</v>
      </c>
      <c r="K64" s="1">
        <v>42975</v>
      </c>
      <c r="L64">
        <f t="shared" si="0"/>
        <v>316.03148566121399</v>
      </c>
      <c r="M64">
        <f t="shared" si="1"/>
        <v>300.36851429110197</v>
      </c>
      <c r="N64">
        <f t="shared" si="2"/>
        <v>308.19999997615798</v>
      </c>
      <c r="O64">
        <f t="shared" si="3"/>
        <v>319.21548728942872</v>
      </c>
      <c r="P64">
        <f t="shared" si="4"/>
        <v>0</v>
      </c>
    </row>
    <row r="65" spans="1:16" x14ac:dyDescent="0.3">
      <c r="A65" s="1">
        <v>42885</v>
      </c>
      <c r="B65">
        <v>304.35000000000002</v>
      </c>
      <c r="C65">
        <v>307.14999995231602</v>
      </c>
      <c r="D65">
        <v>2.7999999523162802</v>
      </c>
      <c r="E65" s="1">
        <v>42976</v>
      </c>
      <c r="F65">
        <v>11.5228939056396</v>
      </c>
      <c r="G65">
        <v>2.7999999523162802</v>
      </c>
      <c r="J65">
        <v>4.7179686690000002</v>
      </c>
      <c r="K65" s="1">
        <v>42976</v>
      </c>
      <c r="L65">
        <f t="shared" si="0"/>
        <v>314.90634044415202</v>
      </c>
      <c r="M65">
        <f t="shared" si="1"/>
        <v>299.39365946048002</v>
      </c>
      <c r="N65">
        <f t="shared" si="2"/>
        <v>307.14999995231602</v>
      </c>
      <c r="O65">
        <f t="shared" si="3"/>
        <v>315.87289390563961</v>
      </c>
      <c r="P65">
        <f t="shared" si="4"/>
        <v>0</v>
      </c>
    </row>
    <row r="66" spans="1:16" x14ac:dyDescent="0.3">
      <c r="A66" s="1">
        <v>42886</v>
      </c>
      <c r="B66">
        <v>305.05</v>
      </c>
      <c r="C66">
        <v>309.00000004768299</v>
      </c>
      <c r="D66">
        <v>-3.95000004768371</v>
      </c>
      <c r="E66" s="1">
        <v>42977</v>
      </c>
      <c r="F66">
        <v>-8.1370174884796101E-2</v>
      </c>
      <c r="G66">
        <v>3.95000004768371</v>
      </c>
      <c r="J66">
        <v>4.6689191990000003</v>
      </c>
      <c r="K66" s="1">
        <v>42977</v>
      </c>
      <c r="L66">
        <f t="shared" si="0"/>
        <v>316.675703210839</v>
      </c>
      <c r="M66">
        <f t="shared" si="1"/>
        <v>301.32429688452697</v>
      </c>
      <c r="N66">
        <f t="shared" si="2"/>
        <v>309.00000004768299</v>
      </c>
      <c r="O66">
        <f t="shared" si="3"/>
        <v>304.96862982511522</v>
      </c>
      <c r="P66">
        <f t="shared" si="4"/>
        <v>0</v>
      </c>
    </row>
    <row r="67" spans="1:16" x14ac:dyDescent="0.3">
      <c r="A67" s="1">
        <v>42887</v>
      </c>
      <c r="B67">
        <v>304.14999999999998</v>
      </c>
      <c r="C67">
        <v>306.64999999999998</v>
      </c>
      <c r="D67">
        <v>-2.5</v>
      </c>
      <c r="E67" s="1">
        <v>42978</v>
      </c>
      <c r="F67">
        <v>-0.47106331586837702</v>
      </c>
      <c r="G67">
        <v>2.5</v>
      </c>
      <c r="J67">
        <v>4.6234803900000001</v>
      </c>
      <c r="K67" s="1">
        <v>42978</v>
      </c>
      <c r="L67">
        <f t="shared" ref="L67:L130" si="5">C67+1.644*J67</f>
        <v>314.25100176115996</v>
      </c>
      <c r="M67">
        <f t="shared" ref="M67:M130" si="6">C67-1.644*J67</f>
        <v>299.04899823884</v>
      </c>
      <c r="N67">
        <f t="shared" ref="N67:N130" si="7">C67</f>
        <v>306.64999999999998</v>
      </c>
      <c r="O67">
        <f t="shared" ref="O67:O130" si="8">B67+F67</f>
        <v>303.6789366841316</v>
      </c>
      <c r="P67">
        <f t="shared" ref="P67:P130" si="9">IF(AND(D67&gt;0, AND(O67&lt;L67, O67&gt;M67)),1,0)</f>
        <v>0</v>
      </c>
    </row>
    <row r="68" spans="1:16" x14ac:dyDescent="0.3">
      <c r="A68" s="1">
        <v>42888</v>
      </c>
      <c r="B68">
        <v>307.75</v>
      </c>
      <c r="C68">
        <v>306.299999952316</v>
      </c>
      <c r="D68">
        <v>-1.45000004768371</v>
      </c>
      <c r="E68" s="1">
        <v>42979</v>
      </c>
      <c r="F68">
        <v>2.2106785774230899</v>
      </c>
      <c r="G68">
        <v>-1.45000004768371</v>
      </c>
      <c r="J68">
        <v>4.6420039549999998</v>
      </c>
      <c r="K68" s="1">
        <v>42979</v>
      </c>
      <c r="L68">
        <f t="shared" si="5"/>
        <v>313.93145445433601</v>
      </c>
      <c r="M68">
        <f t="shared" si="6"/>
        <v>298.66854545029599</v>
      </c>
      <c r="N68">
        <f t="shared" si="7"/>
        <v>306.299999952316</v>
      </c>
      <c r="O68">
        <f t="shared" si="8"/>
        <v>309.9606785774231</v>
      </c>
      <c r="P68">
        <f t="shared" si="9"/>
        <v>0</v>
      </c>
    </row>
    <row r="69" spans="1:16" x14ac:dyDescent="0.3">
      <c r="A69" s="1">
        <v>42891</v>
      </c>
      <c r="B69">
        <v>307.60000000000002</v>
      </c>
      <c r="C69">
        <v>303.500000095367</v>
      </c>
      <c r="D69">
        <v>4.0999999046325604</v>
      </c>
      <c r="E69" s="1">
        <v>42982</v>
      </c>
      <c r="F69">
        <v>-0.18855825066566401</v>
      </c>
      <c r="G69">
        <v>-4.0999999046325604</v>
      </c>
      <c r="J69">
        <v>4.7134926779999997</v>
      </c>
      <c r="K69" s="1">
        <v>42982</v>
      </c>
      <c r="L69">
        <f t="shared" si="5"/>
        <v>311.248982057999</v>
      </c>
      <c r="M69">
        <f t="shared" si="6"/>
        <v>295.751018132735</v>
      </c>
      <c r="N69">
        <f t="shared" si="7"/>
        <v>303.500000095367</v>
      </c>
      <c r="O69">
        <f t="shared" si="8"/>
        <v>307.41144174933436</v>
      </c>
      <c r="P69">
        <f t="shared" si="9"/>
        <v>1</v>
      </c>
    </row>
    <row r="70" spans="1:16" x14ac:dyDescent="0.3">
      <c r="A70" s="1">
        <v>42892</v>
      </c>
      <c r="B70">
        <v>307.60000000000002</v>
      </c>
      <c r="C70">
        <v>302.69999990463202</v>
      </c>
      <c r="D70">
        <v>-4.9000000953674299</v>
      </c>
      <c r="E70" s="1">
        <v>42983</v>
      </c>
      <c r="F70">
        <v>2.7089073657989502</v>
      </c>
      <c r="G70">
        <v>-4.9000000953674299</v>
      </c>
      <c r="J70">
        <v>4.8028090490000004</v>
      </c>
      <c r="K70" s="1">
        <v>42983</v>
      </c>
      <c r="L70">
        <f t="shared" si="5"/>
        <v>310.59581798118802</v>
      </c>
      <c r="M70">
        <f t="shared" si="6"/>
        <v>294.80418182807603</v>
      </c>
      <c r="N70">
        <f t="shared" si="7"/>
        <v>302.69999990463202</v>
      </c>
      <c r="O70">
        <f t="shared" si="8"/>
        <v>310.30890736579897</v>
      </c>
      <c r="P70">
        <f t="shared" si="9"/>
        <v>0</v>
      </c>
    </row>
    <row r="71" spans="1:16" x14ac:dyDescent="0.3">
      <c r="A71" s="1">
        <v>42893</v>
      </c>
      <c r="B71">
        <v>305.39999999999998</v>
      </c>
      <c r="C71">
        <v>302.30000009536701</v>
      </c>
      <c r="D71">
        <v>-3.0999999046325599</v>
      </c>
      <c r="E71" s="1">
        <v>42984</v>
      </c>
      <c r="F71">
        <v>11.7742652893066</v>
      </c>
      <c r="G71">
        <v>-3.0999999046325599</v>
      </c>
      <c r="J71">
        <v>4.8707988550000003</v>
      </c>
      <c r="K71" s="1">
        <v>42984</v>
      </c>
      <c r="L71">
        <f t="shared" si="5"/>
        <v>310.30759341298699</v>
      </c>
      <c r="M71">
        <f t="shared" si="6"/>
        <v>294.29240677774703</v>
      </c>
      <c r="N71">
        <f t="shared" si="7"/>
        <v>302.30000009536701</v>
      </c>
      <c r="O71">
        <f t="shared" si="8"/>
        <v>317.17426528930656</v>
      </c>
      <c r="P71">
        <f t="shared" si="9"/>
        <v>0</v>
      </c>
    </row>
    <row r="72" spans="1:16" x14ac:dyDescent="0.3">
      <c r="A72" s="1">
        <v>42894</v>
      </c>
      <c r="B72">
        <v>306.64999999999998</v>
      </c>
      <c r="C72">
        <v>306.20000001192</v>
      </c>
      <c r="D72">
        <v>-0.44999998807907099</v>
      </c>
      <c r="E72" s="1">
        <v>42985</v>
      </c>
      <c r="F72">
        <v>15.507021903991699</v>
      </c>
      <c r="G72">
        <v>-0.44999998807907099</v>
      </c>
      <c r="J72">
        <v>4.8768391500000003</v>
      </c>
      <c r="K72" s="1">
        <v>42985</v>
      </c>
      <c r="L72">
        <f t="shared" si="5"/>
        <v>314.21752357451999</v>
      </c>
      <c r="M72">
        <f t="shared" si="6"/>
        <v>298.18247644932001</v>
      </c>
      <c r="N72">
        <f t="shared" si="7"/>
        <v>306.20000001192</v>
      </c>
      <c r="O72">
        <f t="shared" si="8"/>
        <v>322.15702190399168</v>
      </c>
      <c r="P72">
        <f t="shared" si="9"/>
        <v>0</v>
      </c>
    </row>
    <row r="73" spans="1:16" x14ac:dyDescent="0.3">
      <c r="A73" s="1">
        <v>42895</v>
      </c>
      <c r="B73">
        <v>308.55</v>
      </c>
      <c r="C73">
        <v>306.25000004768299</v>
      </c>
      <c r="D73">
        <v>-2.2999999523162802</v>
      </c>
      <c r="E73" s="1">
        <v>42986</v>
      </c>
      <c r="F73">
        <v>7.6748270988464302</v>
      </c>
      <c r="G73">
        <v>-2.2999999523162802</v>
      </c>
      <c r="J73">
        <v>4.9002955659999996</v>
      </c>
      <c r="K73" s="1">
        <v>42986</v>
      </c>
      <c r="L73">
        <f t="shared" si="5"/>
        <v>314.306085958187</v>
      </c>
      <c r="M73">
        <f t="shared" si="6"/>
        <v>298.19391413717898</v>
      </c>
      <c r="N73">
        <f t="shared" si="7"/>
        <v>306.25000004768299</v>
      </c>
      <c r="O73">
        <f t="shared" si="8"/>
        <v>316.22482709884645</v>
      </c>
      <c r="P73">
        <f t="shared" si="9"/>
        <v>0</v>
      </c>
    </row>
    <row r="74" spans="1:16" x14ac:dyDescent="0.3">
      <c r="A74" s="1">
        <v>42898</v>
      </c>
      <c r="B74">
        <v>305.3</v>
      </c>
      <c r="C74">
        <v>309.25000004768299</v>
      </c>
      <c r="D74">
        <v>3.95000004768371</v>
      </c>
      <c r="E74" s="1">
        <v>42989</v>
      </c>
      <c r="F74">
        <v>14.432522773742599</v>
      </c>
      <c r="G74">
        <v>3.95000004768371</v>
      </c>
      <c r="J74">
        <v>4.8581930450000002</v>
      </c>
      <c r="K74" s="1">
        <v>42989</v>
      </c>
      <c r="L74">
        <f t="shared" si="5"/>
        <v>317.23686941366299</v>
      </c>
      <c r="M74">
        <f t="shared" si="6"/>
        <v>301.26313068170299</v>
      </c>
      <c r="N74">
        <f t="shared" si="7"/>
        <v>309.25000004768299</v>
      </c>
      <c r="O74">
        <f t="shared" si="8"/>
        <v>319.73252277374263</v>
      </c>
      <c r="P74">
        <f t="shared" si="9"/>
        <v>0</v>
      </c>
    </row>
    <row r="75" spans="1:16" x14ac:dyDescent="0.3">
      <c r="A75" s="1">
        <v>42899</v>
      </c>
      <c r="B75">
        <v>307.05</v>
      </c>
      <c r="C75">
        <v>309.20000009536699</v>
      </c>
      <c r="D75">
        <v>2.1500000953674299</v>
      </c>
      <c r="E75" s="1">
        <v>42990</v>
      </c>
      <c r="F75">
        <v>12.9677305221557</v>
      </c>
      <c r="G75">
        <v>2.1500000953674299</v>
      </c>
      <c r="J75">
        <v>4.8406988530000001</v>
      </c>
      <c r="K75" s="1">
        <v>42990</v>
      </c>
      <c r="L75">
        <f t="shared" si="5"/>
        <v>317.15810900969899</v>
      </c>
      <c r="M75">
        <f t="shared" si="6"/>
        <v>301.24189118103499</v>
      </c>
      <c r="N75">
        <f t="shared" si="7"/>
        <v>309.20000009536699</v>
      </c>
      <c r="O75">
        <f t="shared" si="8"/>
        <v>320.01773052215572</v>
      </c>
      <c r="P75">
        <f t="shared" si="9"/>
        <v>0</v>
      </c>
    </row>
    <row r="76" spans="1:16" x14ac:dyDescent="0.3">
      <c r="A76" s="1">
        <v>42900</v>
      </c>
      <c r="B76">
        <v>307.39999999999998</v>
      </c>
      <c r="C76">
        <v>308.54999997615801</v>
      </c>
      <c r="D76">
        <v>1.1499999761581401</v>
      </c>
      <c r="E76" s="1">
        <v>42991</v>
      </c>
      <c r="F76">
        <v>3.5797231197357098</v>
      </c>
      <c r="G76">
        <v>1.1499999761581401</v>
      </c>
      <c r="J76">
        <v>4.8306631519999996</v>
      </c>
      <c r="K76" s="1">
        <v>42991</v>
      </c>
      <c r="L76">
        <f t="shared" si="5"/>
        <v>316.49161019804603</v>
      </c>
      <c r="M76">
        <f t="shared" si="6"/>
        <v>300.60838975426998</v>
      </c>
      <c r="N76">
        <f t="shared" si="7"/>
        <v>308.54999997615801</v>
      </c>
      <c r="O76">
        <f t="shared" si="8"/>
        <v>310.9797231197357</v>
      </c>
      <c r="P76">
        <f t="shared" si="9"/>
        <v>1</v>
      </c>
    </row>
    <row r="77" spans="1:16" x14ac:dyDescent="0.3">
      <c r="A77" s="1">
        <v>42901</v>
      </c>
      <c r="B77">
        <v>305.64999999999998</v>
      </c>
      <c r="C77">
        <v>310.24999990463198</v>
      </c>
      <c r="D77">
        <v>4.5999999046325604</v>
      </c>
      <c r="E77" s="1">
        <v>42992</v>
      </c>
      <c r="F77">
        <v>0.87758505344390803</v>
      </c>
      <c r="G77">
        <v>4.5999999046325604</v>
      </c>
      <c r="J77">
        <v>4.7892712380000004</v>
      </c>
      <c r="K77" s="1">
        <v>42992</v>
      </c>
      <c r="L77">
        <f t="shared" si="5"/>
        <v>318.12356181990395</v>
      </c>
      <c r="M77">
        <f t="shared" si="6"/>
        <v>302.37643798936</v>
      </c>
      <c r="N77">
        <f t="shared" si="7"/>
        <v>310.24999990463198</v>
      </c>
      <c r="O77">
        <f t="shared" si="8"/>
        <v>306.52758505344389</v>
      </c>
      <c r="P77">
        <f t="shared" si="9"/>
        <v>1</v>
      </c>
    </row>
    <row r="78" spans="1:16" x14ac:dyDescent="0.3">
      <c r="A78" s="1">
        <v>42902</v>
      </c>
      <c r="B78">
        <v>306</v>
      </c>
      <c r="C78">
        <v>311.19999980926502</v>
      </c>
      <c r="D78">
        <v>5.1999998092651296</v>
      </c>
      <c r="E78" s="1">
        <v>42993</v>
      </c>
      <c r="F78">
        <v>6.2670593261718697</v>
      </c>
      <c r="G78">
        <v>5.1999998092651296</v>
      </c>
      <c r="J78">
        <v>4.7518805740000003</v>
      </c>
      <c r="K78" s="1">
        <v>42993</v>
      </c>
      <c r="L78">
        <f t="shared" si="5"/>
        <v>319.01209147292104</v>
      </c>
      <c r="M78">
        <f t="shared" si="6"/>
        <v>303.387908145609</v>
      </c>
      <c r="N78">
        <f t="shared" si="7"/>
        <v>311.19999980926502</v>
      </c>
      <c r="O78">
        <f t="shared" si="8"/>
        <v>312.26705932617187</v>
      </c>
      <c r="P78">
        <f t="shared" si="9"/>
        <v>1</v>
      </c>
    </row>
    <row r="79" spans="1:16" x14ac:dyDescent="0.3">
      <c r="A79" s="1">
        <v>42905</v>
      </c>
      <c r="B79">
        <v>307.8</v>
      </c>
      <c r="C79">
        <v>316.69999961853</v>
      </c>
      <c r="D79">
        <v>8.8999996185302699</v>
      </c>
      <c r="E79" s="1">
        <v>42996</v>
      </c>
      <c r="F79">
        <v>4.8545789718627903</v>
      </c>
      <c r="G79">
        <v>8.8999996185302699</v>
      </c>
      <c r="J79">
        <v>4.7911134439999996</v>
      </c>
      <c r="K79" s="1">
        <v>42996</v>
      </c>
      <c r="L79">
        <f t="shared" si="5"/>
        <v>324.57659012046599</v>
      </c>
      <c r="M79">
        <f t="shared" si="6"/>
        <v>308.82340911659401</v>
      </c>
      <c r="N79">
        <f t="shared" si="7"/>
        <v>316.69999961853</v>
      </c>
      <c r="O79">
        <f t="shared" si="8"/>
        <v>312.6545789718628</v>
      </c>
      <c r="P79">
        <f t="shared" si="9"/>
        <v>1</v>
      </c>
    </row>
    <row r="80" spans="1:16" x14ac:dyDescent="0.3">
      <c r="A80" s="1">
        <v>42906</v>
      </c>
      <c r="B80">
        <v>308.10000000000002</v>
      </c>
      <c r="C80">
        <v>316.04999980926499</v>
      </c>
      <c r="D80">
        <v>7.9499998092651296</v>
      </c>
      <c r="E80" s="1">
        <v>42997</v>
      </c>
      <c r="F80">
        <v>3.3396847248077299</v>
      </c>
      <c r="G80">
        <v>7.9499998092651296</v>
      </c>
      <c r="J80">
        <v>4.8180416399999997</v>
      </c>
      <c r="K80" s="1">
        <v>42997</v>
      </c>
      <c r="L80">
        <f t="shared" si="5"/>
        <v>323.97086026542496</v>
      </c>
      <c r="M80">
        <f t="shared" si="6"/>
        <v>308.12913935310502</v>
      </c>
      <c r="N80">
        <f t="shared" si="7"/>
        <v>316.04999980926499</v>
      </c>
      <c r="O80">
        <f t="shared" si="8"/>
        <v>311.43968472480776</v>
      </c>
      <c r="P80">
        <f t="shared" si="9"/>
        <v>1</v>
      </c>
    </row>
    <row r="81" spans="1:16" x14ac:dyDescent="0.3">
      <c r="A81" s="1">
        <v>42907</v>
      </c>
      <c r="B81">
        <v>306.8</v>
      </c>
      <c r="C81">
        <v>315.8</v>
      </c>
      <c r="D81">
        <v>9</v>
      </c>
      <c r="E81" s="1">
        <v>42998</v>
      </c>
      <c r="F81">
        <v>15.4327888488769</v>
      </c>
      <c r="G81">
        <v>9</v>
      </c>
      <c r="J81">
        <v>4.8220139470000003</v>
      </c>
      <c r="K81" s="1">
        <v>42998</v>
      </c>
      <c r="L81">
        <f t="shared" si="5"/>
        <v>323.72739092886803</v>
      </c>
      <c r="M81">
        <f t="shared" si="6"/>
        <v>307.87260907113199</v>
      </c>
      <c r="N81">
        <f t="shared" si="7"/>
        <v>315.8</v>
      </c>
      <c r="O81">
        <f t="shared" si="8"/>
        <v>322.23278884887691</v>
      </c>
      <c r="P81">
        <f t="shared" si="9"/>
        <v>1</v>
      </c>
    </row>
    <row r="82" spans="1:16" x14ac:dyDescent="0.3">
      <c r="A82" s="1">
        <v>42908</v>
      </c>
      <c r="B82">
        <v>308.55</v>
      </c>
      <c r="C82">
        <v>316.05</v>
      </c>
      <c r="D82">
        <v>7.5</v>
      </c>
      <c r="E82" s="1">
        <v>42999</v>
      </c>
      <c r="F82">
        <v>19.761287689208899</v>
      </c>
      <c r="G82">
        <v>7.5</v>
      </c>
      <c r="J82">
        <v>4.8464788219999999</v>
      </c>
      <c r="K82" s="1">
        <v>42999</v>
      </c>
      <c r="L82">
        <f t="shared" si="5"/>
        <v>324.01761118336799</v>
      </c>
      <c r="M82">
        <f t="shared" si="6"/>
        <v>308.08238881663203</v>
      </c>
      <c r="N82">
        <f t="shared" si="7"/>
        <v>316.05</v>
      </c>
      <c r="O82">
        <f t="shared" si="8"/>
        <v>328.31128768920894</v>
      </c>
      <c r="P82">
        <f t="shared" si="9"/>
        <v>0</v>
      </c>
    </row>
    <row r="83" spans="1:16" x14ac:dyDescent="0.3">
      <c r="A83" s="1">
        <v>42909</v>
      </c>
      <c r="B83">
        <v>309.25</v>
      </c>
      <c r="C83">
        <v>313.75</v>
      </c>
      <c r="D83">
        <v>4.5</v>
      </c>
      <c r="E83" s="1">
        <v>43000</v>
      </c>
      <c r="F83">
        <v>4.3087983131408603</v>
      </c>
      <c r="G83">
        <v>4.5</v>
      </c>
      <c r="J83">
        <v>4.8481748400000004</v>
      </c>
      <c r="K83" s="1">
        <v>43000</v>
      </c>
      <c r="L83">
        <f t="shared" si="5"/>
        <v>321.72039943696001</v>
      </c>
      <c r="M83">
        <f t="shared" si="6"/>
        <v>305.77960056303999</v>
      </c>
      <c r="N83">
        <f t="shared" si="7"/>
        <v>313.75</v>
      </c>
      <c r="O83">
        <f t="shared" si="8"/>
        <v>313.55879831314087</v>
      </c>
      <c r="P83">
        <f t="shared" si="9"/>
        <v>1</v>
      </c>
    </row>
    <row r="84" spans="1:16" x14ac:dyDescent="0.3">
      <c r="A84" s="1">
        <v>42912</v>
      </c>
      <c r="B84">
        <v>310.55</v>
      </c>
      <c r="C84">
        <v>313.8</v>
      </c>
      <c r="D84">
        <v>3.25</v>
      </c>
      <c r="E84" s="1">
        <v>43003</v>
      </c>
      <c r="F84">
        <v>6.63067531585693</v>
      </c>
      <c r="G84">
        <v>3.25</v>
      </c>
      <c r="J84">
        <v>4.8558391939999996</v>
      </c>
      <c r="K84" s="1">
        <v>43003</v>
      </c>
      <c r="L84">
        <f t="shared" si="5"/>
        <v>321.782999634936</v>
      </c>
      <c r="M84">
        <f t="shared" si="6"/>
        <v>305.81700036506402</v>
      </c>
      <c r="N84">
        <f t="shared" si="7"/>
        <v>313.8</v>
      </c>
      <c r="O84">
        <f t="shared" si="8"/>
        <v>317.18067531585694</v>
      </c>
      <c r="P84">
        <f t="shared" si="9"/>
        <v>1</v>
      </c>
    </row>
    <row r="85" spans="1:16" x14ac:dyDescent="0.3">
      <c r="A85" s="1">
        <v>42913</v>
      </c>
      <c r="B85">
        <v>311.10000000000002</v>
      </c>
      <c r="C85">
        <v>311.79999998807898</v>
      </c>
      <c r="D85">
        <v>0.69999998807907104</v>
      </c>
      <c r="E85" s="1">
        <v>43004</v>
      </c>
      <c r="F85">
        <v>2.0049269199371298</v>
      </c>
      <c r="G85">
        <v>0.69999998807907104</v>
      </c>
      <c r="J85">
        <v>4.8557872140000002</v>
      </c>
      <c r="K85" s="1">
        <v>43004</v>
      </c>
      <c r="L85">
        <f t="shared" si="5"/>
        <v>319.782914167895</v>
      </c>
      <c r="M85">
        <f t="shared" si="6"/>
        <v>303.81708580826296</v>
      </c>
      <c r="N85">
        <f t="shared" si="7"/>
        <v>311.79999998807898</v>
      </c>
      <c r="O85">
        <f t="shared" si="8"/>
        <v>313.10492691993716</v>
      </c>
      <c r="P85">
        <f t="shared" si="9"/>
        <v>1</v>
      </c>
    </row>
    <row r="86" spans="1:16" x14ac:dyDescent="0.3">
      <c r="A86" s="1">
        <v>42914</v>
      </c>
      <c r="B86">
        <v>310.25</v>
      </c>
      <c r="C86">
        <v>311.39999997615803</v>
      </c>
      <c r="D86">
        <v>1.1499999761581401</v>
      </c>
      <c r="E86" s="1">
        <v>43005</v>
      </c>
      <c r="F86">
        <v>14.0740461349487</v>
      </c>
      <c r="G86">
        <v>1.1499999761581401</v>
      </c>
      <c r="J86">
        <v>4.8533357380000002</v>
      </c>
      <c r="K86" s="1">
        <v>43005</v>
      </c>
      <c r="L86">
        <f t="shared" si="5"/>
        <v>319.37888392943</v>
      </c>
      <c r="M86">
        <f t="shared" si="6"/>
        <v>303.42111602288605</v>
      </c>
      <c r="N86">
        <f t="shared" si="7"/>
        <v>311.39999997615803</v>
      </c>
      <c r="O86">
        <f t="shared" si="8"/>
        <v>324.32404613494867</v>
      </c>
      <c r="P86">
        <f t="shared" si="9"/>
        <v>0</v>
      </c>
    </row>
    <row r="87" spans="1:16" x14ac:dyDescent="0.3">
      <c r="A87" s="1">
        <v>42915</v>
      </c>
      <c r="B87">
        <v>312.35000000000002</v>
      </c>
      <c r="C87">
        <v>311.60000000000002</v>
      </c>
      <c r="D87">
        <v>-0.75</v>
      </c>
      <c r="E87" s="1">
        <v>43006</v>
      </c>
      <c r="F87">
        <v>3.4840900897979701</v>
      </c>
      <c r="G87">
        <v>-0.75</v>
      </c>
      <c r="J87">
        <v>4.8521654559999998</v>
      </c>
      <c r="K87" s="1">
        <v>43006</v>
      </c>
      <c r="L87">
        <f t="shared" si="5"/>
        <v>319.57696000966405</v>
      </c>
      <c r="M87">
        <f t="shared" si="6"/>
        <v>303.623039990336</v>
      </c>
      <c r="N87">
        <f t="shared" si="7"/>
        <v>311.60000000000002</v>
      </c>
      <c r="O87">
        <f t="shared" si="8"/>
        <v>315.834090089798</v>
      </c>
      <c r="P87">
        <f t="shared" si="9"/>
        <v>0</v>
      </c>
    </row>
    <row r="88" spans="1:16" x14ac:dyDescent="0.3">
      <c r="A88" s="1">
        <v>42916</v>
      </c>
      <c r="B88">
        <v>311.55</v>
      </c>
      <c r="C88">
        <v>314.3</v>
      </c>
      <c r="D88">
        <v>2.75</v>
      </c>
      <c r="E88" s="1">
        <v>43007</v>
      </c>
      <c r="F88">
        <v>9.2722797393798793</v>
      </c>
      <c r="G88">
        <v>2.75</v>
      </c>
      <c r="J88">
        <v>4.864717336</v>
      </c>
      <c r="K88" s="1">
        <v>43007</v>
      </c>
      <c r="L88">
        <f t="shared" si="5"/>
        <v>322.29759530038399</v>
      </c>
      <c r="M88">
        <f t="shared" si="6"/>
        <v>306.30240469961603</v>
      </c>
      <c r="N88">
        <f t="shared" si="7"/>
        <v>314.3</v>
      </c>
      <c r="O88">
        <f t="shared" si="8"/>
        <v>320.82227973937989</v>
      </c>
      <c r="P88">
        <f t="shared" si="9"/>
        <v>1</v>
      </c>
    </row>
    <row r="89" spans="1:16" x14ac:dyDescent="0.3">
      <c r="A89" s="1">
        <v>42919</v>
      </c>
      <c r="B89">
        <v>311.95</v>
      </c>
      <c r="C89">
        <v>314.29999990463199</v>
      </c>
      <c r="D89">
        <v>2.3499999046325599</v>
      </c>
      <c r="E89" s="1">
        <v>43010</v>
      </c>
      <c r="F89">
        <v>14.451773643493601</v>
      </c>
      <c r="G89">
        <v>2.3499999046325599</v>
      </c>
      <c r="J89">
        <v>4.8766285490000003</v>
      </c>
      <c r="K89" s="1">
        <v>43010</v>
      </c>
      <c r="L89">
        <f t="shared" si="5"/>
        <v>322.31717723918797</v>
      </c>
      <c r="M89">
        <f t="shared" si="6"/>
        <v>306.28282257007601</v>
      </c>
      <c r="N89">
        <f t="shared" si="7"/>
        <v>314.29999990463199</v>
      </c>
      <c r="O89">
        <f t="shared" si="8"/>
        <v>326.40177364349358</v>
      </c>
      <c r="P89">
        <f t="shared" si="9"/>
        <v>0</v>
      </c>
    </row>
    <row r="90" spans="1:16" x14ac:dyDescent="0.3">
      <c r="A90" s="1">
        <v>42920</v>
      </c>
      <c r="B90">
        <v>309.64999999999998</v>
      </c>
      <c r="C90">
        <v>314.30000009536701</v>
      </c>
      <c r="D90">
        <v>4.6500000953674299</v>
      </c>
      <c r="E90" s="1">
        <v>43011</v>
      </c>
      <c r="F90">
        <v>4.84063243865966</v>
      </c>
      <c r="G90">
        <v>4.6500000953674299</v>
      </c>
      <c r="J90">
        <v>4.8822295999999996</v>
      </c>
      <c r="K90" s="1">
        <v>43011</v>
      </c>
      <c r="L90">
        <f t="shared" si="5"/>
        <v>322.32638555776703</v>
      </c>
      <c r="M90">
        <f t="shared" si="6"/>
        <v>306.273614632967</v>
      </c>
      <c r="N90">
        <f t="shared" si="7"/>
        <v>314.30000009536701</v>
      </c>
      <c r="O90">
        <f t="shared" si="8"/>
        <v>314.49063243865965</v>
      </c>
      <c r="P90">
        <f t="shared" si="9"/>
        <v>1</v>
      </c>
    </row>
    <row r="91" spans="1:16" x14ac:dyDescent="0.3">
      <c r="A91" s="1">
        <v>42921</v>
      </c>
      <c r="B91">
        <v>311.10000000000002</v>
      </c>
      <c r="C91">
        <v>314.300000047683</v>
      </c>
      <c r="D91">
        <v>3.20000004768371</v>
      </c>
      <c r="E91" s="1">
        <v>43012</v>
      </c>
      <c r="F91">
        <v>9.1775169372558594</v>
      </c>
      <c r="G91">
        <v>3.20000004768371</v>
      </c>
      <c r="J91">
        <v>4.8928767400000002</v>
      </c>
      <c r="K91" s="1">
        <v>43012</v>
      </c>
      <c r="L91">
        <f t="shared" si="5"/>
        <v>322.343889408243</v>
      </c>
      <c r="M91">
        <f t="shared" si="6"/>
        <v>306.256110687123</v>
      </c>
      <c r="N91">
        <f t="shared" si="7"/>
        <v>314.300000047683</v>
      </c>
      <c r="O91">
        <f t="shared" si="8"/>
        <v>320.27751693725588</v>
      </c>
      <c r="P91">
        <f t="shared" si="9"/>
        <v>1</v>
      </c>
    </row>
    <row r="92" spans="1:16" x14ac:dyDescent="0.3">
      <c r="A92" s="1">
        <v>42922</v>
      </c>
      <c r="B92">
        <v>311.10000000000002</v>
      </c>
      <c r="C92">
        <v>314.300000047683</v>
      </c>
      <c r="D92">
        <v>3.20000004768371</v>
      </c>
      <c r="E92" s="1">
        <v>43013</v>
      </c>
      <c r="F92">
        <v>9.8131380081176705</v>
      </c>
      <c r="G92">
        <v>3.20000004768371</v>
      </c>
      <c r="J92">
        <v>4.9029987390000001</v>
      </c>
      <c r="K92" s="1">
        <v>43013</v>
      </c>
      <c r="L92">
        <f t="shared" si="5"/>
        <v>322.36052997459899</v>
      </c>
      <c r="M92">
        <f t="shared" si="6"/>
        <v>306.23947012076701</v>
      </c>
      <c r="N92">
        <f t="shared" si="7"/>
        <v>314.300000047683</v>
      </c>
      <c r="O92">
        <f t="shared" si="8"/>
        <v>320.9131380081177</v>
      </c>
      <c r="P92">
        <f t="shared" si="9"/>
        <v>1</v>
      </c>
    </row>
    <row r="93" spans="1:16" x14ac:dyDescent="0.3">
      <c r="A93" s="1">
        <v>42923</v>
      </c>
      <c r="B93">
        <v>310.25</v>
      </c>
      <c r="C93">
        <v>314.30000019073401</v>
      </c>
      <c r="D93">
        <v>4.0500001907348597</v>
      </c>
      <c r="E93" s="1">
        <v>43014</v>
      </c>
      <c r="F93">
        <v>2.5345432758331299</v>
      </c>
      <c r="G93">
        <v>4.0500001907348597</v>
      </c>
      <c r="J93">
        <v>4.9095866289999996</v>
      </c>
      <c r="K93" s="1">
        <v>43014</v>
      </c>
      <c r="L93">
        <f t="shared" si="5"/>
        <v>322.37136060880999</v>
      </c>
      <c r="M93">
        <f t="shared" si="6"/>
        <v>306.22863977265803</v>
      </c>
      <c r="N93">
        <f t="shared" si="7"/>
        <v>314.30000019073401</v>
      </c>
      <c r="O93">
        <f t="shared" si="8"/>
        <v>312.78454327583313</v>
      </c>
      <c r="P93">
        <f t="shared" si="9"/>
        <v>1</v>
      </c>
    </row>
    <row r="94" spans="1:16" x14ac:dyDescent="0.3">
      <c r="A94" s="1">
        <v>42926</v>
      </c>
      <c r="B94">
        <v>310.8</v>
      </c>
      <c r="C94">
        <v>314.3</v>
      </c>
      <c r="D94">
        <v>3.5</v>
      </c>
      <c r="E94" s="1">
        <v>43017</v>
      </c>
      <c r="F94">
        <v>5.2228436470031703</v>
      </c>
      <c r="G94">
        <v>3.5</v>
      </c>
      <c r="J94">
        <v>4.9176856559999997</v>
      </c>
      <c r="K94" s="1">
        <v>43017</v>
      </c>
      <c r="L94">
        <f t="shared" si="5"/>
        <v>322.384675218464</v>
      </c>
      <c r="M94">
        <f t="shared" si="6"/>
        <v>306.21532478153603</v>
      </c>
      <c r="N94">
        <f t="shared" si="7"/>
        <v>314.3</v>
      </c>
      <c r="O94">
        <f t="shared" si="8"/>
        <v>316.02284364700319</v>
      </c>
      <c r="P94">
        <f t="shared" si="9"/>
        <v>1</v>
      </c>
    </row>
    <row r="95" spans="1:16" x14ac:dyDescent="0.3">
      <c r="A95" s="1">
        <v>42927</v>
      </c>
      <c r="B95">
        <v>312.7</v>
      </c>
      <c r="C95">
        <v>320.14999980926501</v>
      </c>
      <c r="D95">
        <v>7.4499998092651296</v>
      </c>
      <c r="E95" s="1">
        <v>43018</v>
      </c>
      <c r="F95">
        <v>2.3603596687316801</v>
      </c>
      <c r="G95">
        <v>7.4499998092651296</v>
      </c>
      <c r="J95">
        <v>5.0235034130000003</v>
      </c>
      <c r="K95" s="1">
        <v>43018</v>
      </c>
      <c r="L95">
        <f t="shared" si="5"/>
        <v>328.40863942023702</v>
      </c>
      <c r="M95">
        <f t="shared" si="6"/>
        <v>311.891360198293</v>
      </c>
      <c r="N95">
        <f t="shared" si="7"/>
        <v>320.14999980926501</v>
      </c>
      <c r="O95">
        <f t="shared" si="8"/>
        <v>315.06035966873168</v>
      </c>
      <c r="P95">
        <f t="shared" si="9"/>
        <v>1</v>
      </c>
    </row>
    <row r="96" spans="1:16" x14ac:dyDescent="0.3">
      <c r="A96" s="1">
        <v>42928</v>
      </c>
      <c r="B96">
        <v>312.60000000000002</v>
      </c>
      <c r="C96">
        <v>323.24999961853001</v>
      </c>
      <c r="D96">
        <v>10.649999618530201</v>
      </c>
      <c r="E96" s="1">
        <v>43019</v>
      </c>
      <c r="F96">
        <v>14.346916198730399</v>
      </c>
      <c r="G96">
        <v>10.649999618530201</v>
      </c>
      <c r="J96">
        <v>5.2146206030000002</v>
      </c>
      <c r="K96" s="1">
        <v>43019</v>
      </c>
      <c r="L96">
        <f t="shared" si="5"/>
        <v>331.82283588986201</v>
      </c>
      <c r="M96">
        <f t="shared" si="6"/>
        <v>314.67716334719802</v>
      </c>
      <c r="N96">
        <f t="shared" si="7"/>
        <v>323.24999961853001</v>
      </c>
      <c r="O96">
        <f t="shared" si="8"/>
        <v>326.94691619873043</v>
      </c>
      <c r="P96">
        <f t="shared" si="9"/>
        <v>1</v>
      </c>
    </row>
    <row r="97" spans="1:16" x14ac:dyDescent="0.3">
      <c r="A97" s="1">
        <v>42929</v>
      </c>
      <c r="B97">
        <v>316.55</v>
      </c>
      <c r="C97">
        <v>325.650000381469</v>
      </c>
      <c r="D97">
        <v>9.1000003814697195</v>
      </c>
      <c r="E97" s="1">
        <v>43020</v>
      </c>
      <c r="F97">
        <v>3.0054941177368102</v>
      </c>
      <c r="G97">
        <v>9.1000003814697195</v>
      </c>
      <c r="J97">
        <v>5.4519594439999999</v>
      </c>
      <c r="K97" s="1">
        <v>43020</v>
      </c>
      <c r="L97">
        <f t="shared" si="5"/>
        <v>334.61302170740498</v>
      </c>
      <c r="M97">
        <f t="shared" si="6"/>
        <v>316.68697905553302</v>
      </c>
      <c r="N97">
        <f t="shared" si="7"/>
        <v>325.650000381469</v>
      </c>
      <c r="O97">
        <f t="shared" si="8"/>
        <v>319.55549411773683</v>
      </c>
      <c r="P97">
        <f t="shared" si="9"/>
        <v>1</v>
      </c>
    </row>
    <row r="98" spans="1:16" x14ac:dyDescent="0.3">
      <c r="A98" s="1">
        <v>42930</v>
      </c>
      <c r="B98">
        <v>316.7</v>
      </c>
      <c r="C98">
        <v>325.30000038146898</v>
      </c>
      <c r="D98">
        <v>8.6000003814697195</v>
      </c>
      <c r="E98" s="1">
        <v>43021</v>
      </c>
      <c r="F98">
        <v>4.34912014007568</v>
      </c>
      <c r="G98">
        <v>8.6000003814697195</v>
      </c>
      <c r="J98">
        <v>5.6615272340000002</v>
      </c>
      <c r="K98" s="1">
        <v>43021</v>
      </c>
      <c r="L98">
        <f t="shared" si="5"/>
        <v>334.60755115416498</v>
      </c>
      <c r="M98">
        <f t="shared" si="6"/>
        <v>315.99244960877297</v>
      </c>
      <c r="N98">
        <f t="shared" si="7"/>
        <v>325.30000038146898</v>
      </c>
      <c r="O98">
        <f t="shared" si="8"/>
        <v>321.04912014007567</v>
      </c>
      <c r="P98">
        <f t="shared" si="9"/>
        <v>1</v>
      </c>
    </row>
    <row r="99" spans="1:16" x14ac:dyDescent="0.3">
      <c r="A99" s="1">
        <v>42933</v>
      </c>
      <c r="B99">
        <v>317.5</v>
      </c>
      <c r="C99">
        <v>325.5</v>
      </c>
      <c r="D99">
        <v>8</v>
      </c>
      <c r="E99" s="1">
        <v>43024</v>
      </c>
      <c r="F99">
        <v>15.2133359909057</v>
      </c>
      <c r="G99">
        <v>8</v>
      </c>
      <c r="J99">
        <v>5.8576877700000001</v>
      </c>
      <c r="K99" s="1">
        <v>43024</v>
      </c>
      <c r="L99">
        <f t="shared" si="5"/>
        <v>335.13003869388001</v>
      </c>
      <c r="M99">
        <f t="shared" si="6"/>
        <v>315.86996130611999</v>
      </c>
      <c r="N99">
        <f t="shared" si="7"/>
        <v>325.5</v>
      </c>
      <c r="O99">
        <f t="shared" si="8"/>
        <v>332.7133359909057</v>
      </c>
      <c r="P99">
        <f t="shared" si="9"/>
        <v>1</v>
      </c>
    </row>
    <row r="100" spans="1:16" x14ac:dyDescent="0.3">
      <c r="A100" s="1">
        <v>42934</v>
      </c>
      <c r="B100">
        <v>318.05</v>
      </c>
      <c r="C100">
        <v>325.8</v>
      </c>
      <c r="D100">
        <v>7.75</v>
      </c>
      <c r="E100" s="1">
        <v>43025</v>
      </c>
      <c r="F100">
        <v>18.062791824340799</v>
      </c>
      <c r="G100">
        <v>7.75</v>
      </c>
      <c r="J100">
        <v>6.0477347950000002</v>
      </c>
      <c r="K100" s="1">
        <v>43025</v>
      </c>
      <c r="L100">
        <f t="shared" si="5"/>
        <v>335.74247600298003</v>
      </c>
      <c r="M100">
        <f t="shared" si="6"/>
        <v>315.85752399702</v>
      </c>
      <c r="N100">
        <f t="shared" si="7"/>
        <v>325.8</v>
      </c>
      <c r="O100">
        <f t="shared" si="8"/>
        <v>336.11279182434083</v>
      </c>
      <c r="P100">
        <f t="shared" si="9"/>
        <v>0</v>
      </c>
    </row>
    <row r="101" spans="1:16" x14ac:dyDescent="0.3">
      <c r="A101" s="1">
        <v>42935</v>
      </c>
      <c r="B101">
        <v>318.7</v>
      </c>
      <c r="C101">
        <v>325.85000009536702</v>
      </c>
      <c r="D101">
        <v>7.1500000953674299</v>
      </c>
      <c r="E101" s="1">
        <v>43026</v>
      </c>
      <c r="F101">
        <v>16.270917892456001</v>
      </c>
      <c r="G101">
        <v>7.1500000953674299</v>
      </c>
      <c r="J101">
        <v>6.2221468790000003</v>
      </c>
      <c r="K101" s="1">
        <v>43026</v>
      </c>
      <c r="L101">
        <f t="shared" si="5"/>
        <v>336.07920956444303</v>
      </c>
      <c r="M101">
        <f t="shared" si="6"/>
        <v>315.62079062629101</v>
      </c>
      <c r="N101">
        <f t="shared" si="7"/>
        <v>325.85000009536702</v>
      </c>
      <c r="O101">
        <f t="shared" si="8"/>
        <v>334.97091789245599</v>
      </c>
      <c r="P101">
        <f t="shared" si="9"/>
        <v>1</v>
      </c>
    </row>
    <row r="102" spans="1:16" x14ac:dyDescent="0.3">
      <c r="A102" s="1">
        <v>42936</v>
      </c>
      <c r="B102">
        <v>319.60000000000002</v>
      </c>
      <c r="C102">
        <v>324.10000000000002</v>
      </c>
      <c r="D102">
        <v>4.5</v>
      </c>
      <c r="E102" s="1">
        <v>43027</v>
      </c>
      <c r="F102">
        <v>20.353578567504801</v>
      </c>
      <c r="G102">
        <v>4.5</v>
      </c>
      <c r="J102">
        <v>6.3237336260000001</v>
      </c>
      <c r="K102" s="1">
        <v>43027</v>
      </c>
      <c r="L102">
        <f t="shared" si="5"/>
        <v>334.49621808114404</v>
      </c>
      <c r="M102">
        <f t="shared" si="6"/>
        <v>313.70378191885601</v>
      </c>
      <c r="N102">
        <f t="shared" si="7"/>
        <v>324.10000000000002</v>
      </c>
      <c r="O102">
        <f t="shared" si="8"/>
        <v>339.95357856750485</v>
      </c>
      <c r="P102">
        <f t="shared" si="9"/>
        <v>0</v>
      </c>
    </row>
    <row r="103" spans="1:16" x14ac:dyDescent="0.3">
      <c r="A103" s="1">
        <v>42937</v>
      </c>
      <c r="B103">
        <v>321.10000000000002</v>
      </c>
      <c r="C103">
        <v>326.250000095367</v>
      </c>
      <c r="D103">
        <v>5.1500000953674299</v>
      </c>
      <c r="E103" s="1">
        <v>43028</v>
      </c>
      <c r="F103">
        <v>17.259107589721602</v>
      </c>
      <c r="G103">
        <v>5.1500000953674299</v>
      </c>
      <c r="J103">
        <v>6.4598730900000003</v>
      </c>
      <c r="K103" s="1">
        <v>43028</v>
      </c>
      <c r="L103">
        <f t="shared" si="5"/>
        <v>336.87003145532702</v>
      </c>
      <c r="M103">
        <f t="shared" si="6"/>
        <v>315.62996873540698</v>
      </c>
      <c r="N103">
        <f t="shared" si="7"/>
        <v>326.250000095367</v>
      </c>
      <c r="O103">
        <f t="shared" si="8"/>
        <v>338.35910758972165</v>
      </c>
      <c r="P103">
        <f t="shared" si="9"/>
        <v>0</v>
      </c>
    </row>
    <row r="104" spans="1:16" x14ac:dyDescent="0.3">
      <c r="A104" s="1">
        <v>42940</v>
      </c>
      <c r="B104">
        <v>321.25</v>
      </c>
      <c r="C104">
        <v>327.05000019073401</v>
      </c>
      <c r="D104">
        <v>5.8000001907348597</v>
      </c>
      <c r="E104" s="1">
        <v>43031</v>
      </c>
      <c r="F104">
        <v>23.5242519378662</v>
      </c>
      <c r="G104">
        <v>5.8000001907348597</v>
      </c>
      <c r="J104">
        <v>6.6151943940000004</v>
      </c>
      <c r="K104" s="1">
        <v>43031</v>
      </c>
      <c r="L104">
        <f t="shared" si="5"/>
        <v>337.92537977447</v>
      </c>
      <c r="M104">
        <f t="shared" si="6"/>
        <v>316.17462060699802</v>
      </c>
      <c r="N104">
        <f t="shared" si="7"/>
        <v>327.05000019073401</v>
      </c>
      <c r="O104">
        <f t="shared" si="8"/>
        <v>344.77425193786621</v>
      </c>
      <c r="P104">
        <f t="shared" si="9"/>
        <v>0</v>
      </c>
    </row>
    <row r="105" spans="1:16" x14ac:dyDescent="0.3">
      <c r="A105" s="1">
        <v>42941</v>
      </c>
      <c r="B105">
        <v>319.64999999999998</v>
      </c>
      <c r="C105">
        <v>326.55000009536701</v>
      </c>
      <c r="D105">
        <v>6.9000000953674299</v>
      </c>
      <c r="E105" s="1">
        <v>43032</v>
      </c>
      <c r="F105">
        <v>25.8946819305419</v>
      </c>
      <c r="G105">
        <v>6.9000000953674299</v>
      </c>
      <c r="J105">
        <v>6.7771174490000003</v>
      </c>
      <c r="K105" s="1">
        <v>43032</v>
      </c>
      <c r="L105">
        <f t="shared" si="5"/>
        <v>337.69158118152302</v>
      </c>
      <c r="M105">
        <f t="shared" si="6"/>
        <v>315.408419009211</v>
      </c>
      <c r="N105">
        <f t="shared" si="7"/>
        <v>326.55000009536701</v>
      </c>
      <c r="O105">
        <f t="shared" si="8"/>
        <v>345.54468193054186</v>
      </c>
      <c r="P105">
        <f t="shared" si="9"/>
        <v>0</v>
      </c>
    </row>
    <row r="106" spans="1:16" x14ac:dyDescent="0.3">
      <c r="A106" s="1">
        <v>42942</v>
      </c>
      <c r="B106">
        <v>318.95</v>
      </c>
      <c r="C106">
        <v>326.750000190734</v>
      </c>
      <c r="D106">
        <v>7.8000001907348597</v>
      </c>
      <c r="E106" s="1">
        <v>43033</v>
      </c>
      <c r="F106">
        <v>19.972478866577099</v>
      </c>
      <c r="G106">
        <v>7.8000001907348597</v>
      </c>
      <c r="J106">
        <v>6.9492586589999998</v>
      </c>
      <c r="K106" s="1">
        <v>43033</v>
      </c>
      <c r="L106">
        <f t="shared" si="5"/>
        <v>338.17458142612998</v>
      </c>
      <c r="M106">
        <f t="shared" si="6"/>
        <v>315.32541895533802</v>
      </c>
      <c r="N106">
        <f t="shared" si="7"/>
        <v>326.750000190734</v>
      </c>
      <c r="O106">
        <f t="shared" si="8"/>
        <v>338.92247886657708</v>
      </c>
      <c r="P106">
        <f t="shared" si="9"/>
        <v>0</v>
      </c>
    </row>
    <row r="107" spans="1:16" x14ac:dyDescent="0.3">
      <c r="A107" s="1">
        <v>42943</v>
      </c>
      <c r="B107">
        <v>319.85000000000002</v>
      </c>
      <c r="C107">
        <v>323.750000095367</v>
      </c>
      <c r="D107">
        <v>3.9000000953674299</v>
      </c>
      <c r="E107" s="1">
        <v>43034</v>
      </c>
      <c r="F107">
        <v>26.082307815551701</v>
      </c>
      <c r="G107">
        <v>3.9000000953674299</v>
      </c>
      <c r="J107">
        <v>7.0238661660000004</v>
      </c>
      <c r="K107" s="1">
        <v>43034</v>
      </c>
      <c r="L107">
        <f t="shared" si="5"/>
        <v>335.29723607227101</v>
      </c>
      <c r="M107">
        <f t="shared" si="6"/>
        <v>312.20276411846299</v>
      </c>
      <c r="N107">
        <f t="shared" si="7"/>
        <v>323.750000095367</v>
      </c>
      <c r="O107">
        <f t="shared" si="8"/>
        <v>345.93230781555172</v>
      </c>
      <c r="P107">
        <f t="shared" si="9"/>
        <v>0</v>
      </c>
    </row>
    <row r="108" spans="1:16" x14ac:dyDescent="0.3">
      <c r="A108" s="1">
        <v>42944</v>
      </c>
      <c r="B108">
        <v>312.55</v>
      </c>
      <c r="C108">
        <v>326.85000019073402</v>
      </c>
      <c r="D108">
        <v>14.300000190734799</v>
      </c>
      <c r="E108" s="1">
        <v>43035</v>
      </c>
      <c r="F108">
        <v>20.535255432128899</v>
      </c>
      <c r="G108">
        <v>14.300000190734799</v>
      </c>
      <c r="J108">
        <v>7.2219246679999998</v>
      </c>
      <c r="K108" s="1">
        <v>43035</v>
      </c>
      <c r="L108">
        <f t="shared" si="5"/>
        <v>338.72284434492605</v>
      </c>
      <c r="M108">
        <f t="shared" si="6"/>
        <v>314.977156036542</v>
      </c>
      <c r="N108">
        <f t="shared" si="7"/>
        <v>326.85000019073402</v>
      </c>
      <c r="O108">
        <f t="shared" si="8"/>
        <v>333.08525543212892</v>
      </c>
      <c r="P108">
        <f t="shared" si="9"/>
        <v>1</v>
      </c>
    </row>
    <row r="109" spans="1:16" x14ac:dyDescent="0.3">
      <c r="A109" s="1">
        <v>42947</v>
      </c>
      <c r="B109">
        <v>313.55</v>
      </c>
      <c r="C109">
        <v>327.44999961853</v>
      </c>
      <c r="D109">
        <v>13.899999618530201</v>
      </c>
      <c r="E109" s="1">
        <v>43038</v>
      </c>
      <c r="F109">
        <v>16.780162811279201</v>
      </c>
      <c r="G109">
        <v>13.899999618530201</v>
      </c>
      <c r="J109">
        <v>7.4264424099999999</v>
      </c>
      <c r="K109" s="1">
        <v>43038</v>
      </c>
      <c r="L109">
        <f t="shared" si="5"/>
        <v>339.65907094057002</v>
      </c>
      <c r="M109">
        <f t="shared" si="6"/>
        <v>315.24092829648998</v>
      </c>
      <c r="N109">
        <f t="shared" si="7"/>
        <v>327.44999961853</v>
      </c>
      <c r="O109">
        <f t="shared" si="8"/>
        <v>330.33016281127919</v>
      </c>
      <c r="P109">
        <f t="shared" si="9"/>
        <v>1</v>
      </c>
    </row>
    <row r="110" spans="1:16" x14ac:dyDescent="0.3">
      <c r="A110" s="1">
        <v>42948</v>
      </c>
      <c r="B110">
        <v>316.55</v>
      </c>
      <c r="C110">
        <v>331.05</v>
      </c>
      <c r="D110">
        <v>14.5</v>
      </c>
      <c r="E110" s="1">
        <v>43039</v>
      </c>
      <c r="F110">
        <v>19.233566284179599</v>
      </c>
      <c r="G110">
        <v>14.5</v>
      </c>
      <c r="J110">
        <v>7.7248648700000002</v>
      </c>
      <c r="K110" s="1">
        <v>43039</v>
      </c>
      <c r="L110">
        <f t="shared" si="5"/>
        <v>343.74967784628001</v>
      </c>
      <c r="M110">
        <f t="shared" si="6"/>
        <v>318.35032215372001</v>
      </c>
      <c r="N110">
        <f t="shared" si="7"/>
        <v>331.05</v>
      </c>
      <c r="O110">
        <f t="shared" si="8"/>
        <v>335.78356628417959</v>
      </c>
      <c r="P110">
        <f t="shared" si="9"/>
        <v>1</v>
      </c>
    </row>
    <row r="111" spans="1:16" x14ac:dyDescent="0.3">
      <c r="A111" s="1">
        <v>42949</v>
      </c>
      <c r="B111">
        <v>317.14999999999998</v>
      </c>
      <c r="C111">
        <v>336.54999961853002</v>
      </c>
      <c r="D111">
        <v>19.399999618530199</v>
      </c>
      <c r="E111" s="1">
        <v>43040</v>
      </c>
      <c r="F111">
        <v>20.380147933959901</v>
      </c>
      <c r="G111">
        <v>19.399999618530199</v>
      </c>
      <c r="J111">
        <v>8.2105999000000001</v>
      </c>
      <c r="K111" s="1">
        <v>43040</v>
      </c>
      <c r="L111">
        <f t="shared" si="5"/>
        <v>350.04822585413001</v>
      </c>
      <c r="M111">
        <f t="shared" si="6"/>
        <v>323.05177338293004</v>
      </c>
      <c r="N111">
        <f t="shared" si="7"/>
        <v>336.54999961853002</v>
      </c>
      <c r="O111">
        <f t="shared" si="8"/>
        <v>337.53014793395988</v>
      </c>
      <c r="P111">
        <f t="shared" si="9"/>
        <v>1</v>
      </c>
    </row>
    <row r="112" spans="1:16" x14ac:dyDescent="0.3">
      <c r="A112" s="1">
        <v>42950</v>
      </c>
      <c r="B112">
        <v>311.64999999999998</v>
      </c>
      <c r="C112">
        <v>335.04999961853002</v>
      </c>
      <c r="D112">
        <v>23.399999618530199</v>
      </c>
      <c r="E112" s="1">
        <v>43041</v>
      </c>
      <c r="F112">
        <v>21.524541854858398</v>
      </c>
      <c r="G112">
        <v>23.399999618530199</v>
      </c>
      <c r="J112">
        <v>8.5994302559999998</v>
      </c>
      <c r="K112" s="1">
        <v>43041</v>
      </c>
      <c r="L112">
        <f t="shared" si="5"/>
        <v>349.187462959394</v>
      </c>
      <c r="M112">
        <f t="shared" si="6"/>
        <v>320.91253627766605</v>
      </c>
      <c r="N112">
        <f t="shared" si="7"/>
        <v>335.04999961853002</v>
      </c>
      <c r="O112">
        <f t="shared" si="8"/>
        <v>333.17454185485838</v>
      </c>
      <c r="P112">
        <f t="shared" si="9"/>
        <v>1</v>
      </c>
    </row>
    <row r="113" spans="1:16" x14ac:dyDescent="0.3">
      <c r="A113" s="1">
        <v>42951</v>
      </c>
      <c r="B113">
        <v>312.85000000000002</v>
      </c>
      <c r="C113">
        <v>336.35</v>
      </c>
      <c r="D113">
        <v>23.5</v>
      </c>
      <c r="E113" s="1">
        <v>43042</v>
      </c>
      <c r="F113">
        <v>20.487697601318299</v>
      </c>
      <c r="G113">
        <v>23.5</v>
      </c>
      <c r="J113">
        <v>9.0092958799999998</v>
      </c>
      <c r="K113" s="1">
        <v>43042</v>
      </c>
      <c r="L113">
        <f t="shared" si="5"/>
        <v>351.16128242672005</v>
      </c>
      <c r="M113">
        <f t="shared" si="6"/>
        <v>321.53871757328</v>
      </c>
      <c r="N113">
        <f t="shared" si="7"/>
        <v>336.35</v>
      </c>
      <c r="O113">
        <f t="shared" si="8"/>
        <v>333.33769760131833</v>
      </c>
      <c r="P113">
        <f t="shared" si="9"/>
        <v>1</v>
      </c>
    </row>
    <row r="114" spans="1:16" x14ac:dyDescent="0.3">
      <c r="A114" s="1">
        <v>42954</v>
      </c>
      <c r="B114">
        <v>312.89999999999998</v>
      </c>
      <c r="C114">
        <v>334.15</v>
      </c>
      <c r="D114">
        <v>21.25</v>
      </c>
      <c r="E114" s="1">
        <v>43045</v>
      </c>
      <c r="F114">
        <v>19.408086776733398</v>
      </c>
      <c r="G114">
        <v>21.25</v>
      </c>
      <c r="J114">
        <v>9.3140300759999999</v>
      </c>
      <c r="K114" s="1">
        <v>43045</v>
      </c>
      <c r="L114">
        <f t="shared" si="5"/>
        <v>349.46226544494397</v>
      </c>
      <c r="M114">
        <f t="shared" si="6"/>
        <v>318.83773455505599</v>
      </c>
      <c r="N114">
        <f t="shared" si="7"/>
        <v>334.15</v>
      </c>
      <c r="O114">
        <f t="shared" si="8"/>
        <v>332.30808677673338</v>
      </c>
      <c r="P114">
        <f t="shared" si="9"/>
        <v>1</v>
      </c>
    </row>
    <row r="115" spans="1:16" x14ac:dyDescent="0.3">
      <c r="A115" s="1">
        <v>42955</v>
      </c>
      <c r="B115">
        <v>312.85000000000002</v>
      </c>
      <c r="C115">
        <v>333.74999961853001</v>
      </c>
      <c r="D115">
        <v>20.899999618530199</v>
      </c>
      <c r="E115" s="1">
        <v>43046</v>
      </c>
      <c r="F115">
        <v>19.2455444335937</v>
      </c>
      <c r="G115">
        <v>20.899999618530199</v>
      </c>
      <c r="J115">
        <v>9.5856255059999995</v>
      </c>
      <c r="K115" s="1">
        <v>43046</v>
      </c>
      <c r="L115">
        <f t="shared" si="5"/>
        <v>349.50876795039403</v>
      </c>
      <c r="M115">
        <f t="shared" si="6"/>
        <v>317.99123128666599</v>
      </c>
      <c r="N115">
        <f t="shared" si="7"/>
        <v>333.74999961853001</v>
      </c>
      <c r="O115">
        <f t="shared" si="8"/>
        <v>332.09554443359372</v>
      </c>
      <c r="P115">
        <f t="shared" si="9"/>
        <v>1</v>
      </c>
    </row>
    <row r="116" spans="1:16" x14ac:dyDescent="0.3">
      <c r="A116" s="1">
        <v>42956</v>
      </c>
      <c r="B116">
        <v>308.64999999999998</v>
      </c>
      <c r="C116">
        <v>335.25000038146902</v>
      </c>
      <c r="D116">
        <v>26.600000381469702</v>
      </c>
      <c r="E116" s="1">
        <v>43047</v>
      </c>
      <c r="F116">
        <v>20.1299324035644</v>
      </c>
      <c r="G116">
        <v>26.600000381469702</v>
      </c>
      <c r="J116">
        <v>9.8484155310000006</v>
      </c>
      <c r="K116" s="1">
        <v>43047</v>
      </c>
      <c r="L116">
        <f t="shared" si="5"/>
        <v>351.44079551443303</v>
      </c>
      <c r="M116">
        <f t="shared" si="6"/>
        <v>319.05920524850501</v>
      </c>
      <c r="N116">
        <f t="shared" si="7"/>
        <v>335.25000038146902</v>
      </c>
      <c r="O116">
        <f t="shared" si="8"/>
        <v>328.77993240356437</v>
      </c>
      <c r="P116">
        <f t="shared" si="9"/>
        <v>1</v>
      </c>
    </row>
    <row r="117" spans="1:16" x14ac:dyDescent="0.3">
      <c r="A117" s="1">
        <v>42957</v>
      </c>
      <c r="B117">
        <v>307.25</v>
      </c>
      <c r="C117">
        <v>333.64999961852999</v>
      </c>
      <c r="D117">
        <v>26.399999618530199</v>
      </c>
      <c r="E117" s="1">
        <v>43048</v>
      </c>
      <c r="F117">
        <v>20.156549453735298</v>
      </c>
      <c r="G117">
        <v>26.399999618530199</v>
      </c>
      <c r="J117">
        <v>10.0242763</v>
      </c>
      <c r="K117" s="1">
        <v>43048</v>
      </c>
      <c r="L117">
        <f t="shared" si="5"/>
        <v>350.12990985572998</v>
      </c>
      <c r="M117">
        <f t="shared" si="6"/>
        <v>317.17008938133</v>
      </c>
      <c r="N117">
        <f t="shared" si="7"/>
        <v>333.64999961852999</v>
      </c>
      <c r="O117">
        <f t="shared" si="8"/>
        <v>327.40654945373529</v>
      </c>
      <c r="P117">
        <f t="shared" si="9"/>
        <v>1</v>
      </c>
    </row>
    <row r="118" spans="1:16" x14ac:dyDescent="0.3">
      <c r="A118" s="1">
        <v>42958</v>
      </c>
      <c r="B118">
        <v>301.5</v>
      </c>
      <c r="C118">
        <v>332.89999961852999</v>
      </c>
      <c r="D118">
        <v>31.399999618530199</v>
      </c>
      <c r="E118" s="1">
        <v>43049</v>
      </c>
      <c r="F118">
        <v>22.773454666137599</v>
      </c>
      <c r="G118">
        <v>31.399999618530199</v>
      </c>
      <c r="J118">
        <v>10.05074624</v>
      </c>
      <c r="K118" s="1">
        <v>43049</v>
      </c>
      <c r="L118">
        <f t="shared" si="5"/>
        <v>349.42342643708997</v>
      </c>
      <c r="M118">
        <f t="shared" si="6"/>
        <v>316.37657279997001</v>
      </c>
      <c r="N118">
        <f t="shared" si="7"/>
        <v>332.89999961852999</v>
      </c>
      <c r="O118">
        <f t="shared" si="8"/>
        <v>324.27345466613758</v>
      </c>
      <c r="P118">
        <f t="shared" si="9"/>
        <v>1</v>
      </c>
    </row>
    <row r="119" spans="1:16" x14ac:dyDescent="0.3">
      <c r="A119" s="1">
        <v>42961</v>
      </c>
      <c r="B119">
        <v>304.60000000000002</v>
      </c>
      <c r="C119">
        <v>331.55000076293902</v>
      </c>
      <c r="D119">
        <v>26.9500007629394</v>
      </c>
      <c r="E119" s="1">
        <v>43052</v>
      </c>
      <c r="F119">
        <v>21.9878330230712</v>
      </c>
      <c r="G119">
        <v>26.9500007629394</v>
      </c>
      <c r="J119">
        <v>10.091207969999999</v>
      </c>
      <c r="K119" s="1">
        <v>43052</v>
      </c>
      <c r="L119">
        <f t="shared" si="5"/>
        <v>348.13994666561899</v>
      </c>
      <c r="M119">
        <f t="shared" si="6"/>
        <v>314.96005486025905</v>
      </c>
      <c r="N119">
        <f t="shared" si="7"/>
        <v>331.55000076293902</v>
      </c>
      <c r="O119">
        <f t="shared" si="8"/>
        <v>326.5878330230712</v>
      </c>
      <c r="P119">
        <f t="shared" si="9"/>
        <v>1</v>
      </c>
    </row>
    <row r="120" spans="1:16" x14ac:dyDescent="0.3">
      <c r="A120" s="1">
        <v>42962</v>
      </c>
      <c r="B120">
        <v>304.60000000000002</v>
      </c>
      <c r="C120">
        <v>331.30000076293902</v>
      </c>
      <c r="D120">
        <v>26.7000007629394</v>
      </c>
      <c r="E120" s="1">
        <v>43053</v>
      </c>
      <c r="F120">
        <v>24.722925186157202</v>
      </c>
      <c r="G120">
        <v>26.7000007629394</v>
      </c>
      <c r="J120">
        <v>10.108969269999999</v>
      </c>
      <c r="K120" s="1">
        <v>43053</v>
      </c>
      <c r="L120">
        <f t="shared" si="5"/>
        <v>347.91914624281901</v>
      </c>
      <c r="M120">
        <f t="shared" si="6"/>
        <v>314.68085528305903</v>
      </c>
      <c r="N120">
        <f t="shared" si="7"/>
        <v>331.30000076293902</v>
      </c>
      <c r="O120">
        <f t="shared" si="8"/>
        <v>329.32292518615725</v>
      </c>
      <c r="P120">
        <f t="shared" si="9"/>
        <v>1</v>
      </c>
    </row>
    <row r="121" spans="1:16" x14ac:dyDescent="0.3">
      <c r="A121" s="1">
        <v>42963</v>
      </c>
      <c r="B121">
        <v>306.25</v>
      </c>
      <c r="C121">
        <v>329.14999961852999</v>
      </c>
      <c r="D121">
        <v>22.899999618530199</v>
      </c>
      <c r="E121" s="1">
        <v>43054</v>
      </c>
      <c r="F121">
        <v>15.4969482421875</v>
      </c>
      <c r="G121">
        <v>22.899999618530199</v>
      </c>
      <c r="J121">
        <v>10.10183318</v>
      </c>
      <c r="K121" s="1">
        <v>43054</v>
      </c>
      <c r="L121">
        <f t="shared" si="5"/>
        <v>345.75741336645001</v>
      </c>
      <c r="M121">
        <f t="shared" si="6"/>
        <v>312.54258587060997</v>
      </c>
      <c r="N121">
        <f t="shared" si="7"/>
        <v>329.14999961852999</v>
      </c>
      <c r="O121">
        <f t="shared" si="8"/>
        <v>321.7469482421875</v>
      </c>
      <c r="P121">
        <f t="shared" si="9"/>
        <v>1</v>
      </c>
    </row>
    <row r="122" spans="1:16" x14ac:dyDescent="0.3">
      <c r="A122" s="1">
        <v>42964</v>
      </c>
      <c r="B122">
        <v>307.89999999999998</v>
      </c>
      <c r="C122">
        <v>331.29999961853002</v>
      </c>
      <c r="D122">
        <v>23.399999618530199</v>
      </c>
      <c r="E122" s="1">
        <v>43055</v>
      </c>
      <c r="F122">
        <v>16.728935241699201</v>
      </c>
      <c r="G122">
        <v>23.399999618530199</v>
      </c>
      <c r="J122">
        <v>10.1503003</v>
      </c>
      <c r="K122" s="1">
        <v>43055</v>
      </c>
      <c r="L122">
        <f t="shared" si="5"/>
        <v>347.98709331173001</v>
      </c>
      <c r="M122">
        <f t="shared" si="6"/>
        <v>314.61290592533004</v>
      </c>
      <c r="N122">
        <f t="shared" si="7"/>
        <v>331.29999961853002</v>
      </c>
      <c r="O122">
        <f t="shared" si="8"/>
        <v>324.6289352416992</v>
      </c>
      <c r="P122">
        <f t="shared" si="9"/>
        <v>1</v>
      </c>
    </row>
    <row r="123" spans="1:16" x14ac:dyDescent="0.3">
      <c r="A123" s="1">
        <v>42965</v>
      </c>
      <c r="B123">
        <v>307.75</v>
      </c>
      <c r="C123">
        <v>330.950000762939</v>
      </c>
      <c r="D123">
        <v>23.2000007629394</v>
      </c>
      <c r="E123" s="1">
        <v>43056</v>
      </c>
      <c r="F123">
        <v>17.747901916503899</v>
      </c>
      <c r="G123">
        <v>23.2000007629394</v>
      </c>
      <c r="J123">
        <v>10.17647457</v>
      </c>
      <c r="K123" s="1">
        <v>43056</v>
      </c>
      <c r="L123">
        <f t="shared" si="5"/>
        <v>347.68012495601897</v>
      </c>
      <c r="M123">
        <f t="shared" si="6"/>
        <v>314.21987656985903</v>
      </c>
      <c r="N123">
        <f t="shared" si="7"/>
        <v>330.950000762939</v>
      </c>
      <c r="O123">
        <f t="shared" si="8"/>
        <v>325.49790191650391</v>
      </c>
      <c r="P123">
        <f t="shared" si="9"/>
        <v>1</v>
      </c>
    </row>
    <row r="124" spans="1:16" x14ac:dyDescent="0.3">
      <c r="A124" s="1">
        <v>42968</v>
      </c>
      <c r="B124">
        <v>307.05</v>
      </c>
      <c r="C124">
        <v>329.44999961853</v>
      </c>
      <c r="D124">
        <v>22.399999618530199</v>
      </c>
      <c r="E124" s="1">
        <v>43059</v>
      </c>
      <c r="F124">
        <v>17.075477600097599</v>
      </c>
      <c r="G124">
        <v>22.399999618530199</v>
      </c>
      <c r="J124">
        <v>10.15178745</v>
      </c>
      <c r="K124" s="1">
        <v>43059</v>
      </c>
      <c r="L124">
        <f t="shared" si="5"/>
        <v>346.13953818633001</v>
      </c>
      <c r="M124">
        <f t="shared" si="6"/>
        <v>312.76046105072999</v>
      </c>
      <c r="N124">
        <f t="shared" si="7"/>
        <v>329.44999961853</v>
      </c>
      <c r="O124">
        <f t="shared" si="8"/>
        <v>324.12547760009761</v>
      </c>
      <c r="P124">
        <f t="shared" si="9"/>
        <v>1</v>
      </c>
    </row>
    <row r="125" spans="1:16" x14ac:dyDescent="0.3">
      <c r="A125" s="1">
        <v>42969</v>
      </c>
      <c r="B125">
        <v>308.7</v>
      </c>
      <c r="C125">
        <v>330.84999961852998</v>
      </c>
      <c r="D125">
        <v>22.149999618530199</v>
      </c>
      <c r="E125" s="1">
        <v>43060</v>
      </c>
      <c r="F125">
        <v>19.282426834106399</v>
      </c>
      <c r="G125">
        <v>22.149999618530199</v>
      </c>
      <c r="J125">
        <v>10.16764092</v>
      </c>
      <c r="K125" s="1">
        <v>43060</v>
      </c>
      <c r="L125">
        <f t="shared" si="5"/>
        <v>347.56560129100995</v>
      </c>
      <c r="M125">
        <f t="shared" si="6"/>
        <v>314.13439794605</v>
      </c>
      <c r="N125">
        <f t="shared" si="7"/>
        <v>330.84999961852998</v>
      </c>
      <c r="O125">
        <f t="shared" si="8"/>
        <v>327.98242683410638</v>
      </c>
      <c r="P125">
        <f t="shared" si="9"/>
        <v>1</v>
      </c>
    </row>
    <row r="126" spans="1:16" x14ac:dyDescent="0.3">
      <c r="A126" s="1">
        <v>42970</v>
      </c>
      <c r="B126">
        <v>308.60000000000002</v>
      </c>
      <c r="C126">
        <v>332.55000076293902</v>
      </c>
      <c r="D126">
        <v>23.9500007629394</v>
      </c>
      <c r="E126" s="1">
        <v>43061</v>
      </c>
      <c r="F126">
        <v>17.3963413238525</v>
      </c>
      <c r="G126">
        <v>23.9500007629394</v>
      </c>
      <c r="J126">
        <v>10.20110659</v>
      </c>
      <c r="K126" s="1">
        <v>43061</v>
      </c>
      <c r="L126">
        <f t="shared" si="5"/>
        <v>349.32061999689904</v>
      </c>
      <c r="M126">
        <f t="shared" si="6"/>
        <v>315.779381528979</v>
      </c>
      <c r="N126">
        <f t="shared" si="7"/>
        <v>332.55000076293902</v>
      </c>
      <c r="O126">
        <f t="shared" si="8"/>
        <v>325.9963413238525</v>
      </c>
      <c r="P126">
        <f t="shared" si="9"/>
        <v>1</v>
      </c>
    </row>
    <row r="127" spans="1:16" x14ac:dyDescent="0.3">
      <c r="A127" s="1">
        <v>42971</v>
      </c>
      <c r="B127">
        <v>310.10000000000002</v>
      </c>
      <c r="C127">
        <v>331.45000038146901</v>
      </c>
      <c r="D127">
        <v>21.350000381469702</v>
      </c>
      <c r="E127" s="1">
        <v>43062</v>
      </c>
      <c r="F127">
        <v>13.535742759704499</v>
      </c>
      <c r="G127">
        <v>21.350000381469702</v>
      </c>
      <c r="J127">
        <v>10.226004980000001</v>
      </c>
      <c r="K127" s="1">
        <v>43062</v>
      </c>
      <c r="L127">
        <f t="shared" si="5"/>
        <v>348.26155256858902</v>
      </c>
      <c r="M127">
        <f t="shared" si="6"/>
        <v>314.638448194349</v>
      </c>
      <c r="N127">
        <f t="shared" si="7"/>
        <v>331.45000038146901</v>
      </c>
      <c r="O127">
        <f t="shared" si="8"/>
        <v>323.6357427597045</v>
      </c>
      <c r="P127">
        <f t="shared" si="9"/>
        <v>1</v>
      </c>
    </row>
    <row r="128" spans="1:16" x14ac:dyDescent="0.3">
      <c r="A128" s="1">
        <v>42972</v>
      </c>
      <c r="B128">
        <v>310.25</v>
      </c>
      <c r="C128">
        <v>332.25</v>
      </c>
      <c r="D128">
        <v>22</v>
      </c>
      <c r="E128" s="1">
        <v>43063</v>
      </c>
      <c r="F128">
        <v>13.4291114807128</v>
      </c>
      <c r="G128">
        <v>22</v>
      </c>
      <c r="J128">
        <v>10.256343019999999</v>
      </c>
      <c r="K128" s="1">
        <v>43063</v>
      </c>
      <c r="L128">
        <f t="shared" si="5"/>
        <v>349.11142792487999</v>
      </c>
      <c r="M128">
        <f t="shared" si="6"/>
        <v>315.38857207512001</v>
      </c>
      <c r="N128">
        <f t="shared" si="7"/>
        <v>332.25</v>
      </c>
      <c r="O128">
        <f t="shared" si="8"/>
        <v>323.67911148071278</v>
      </c>
      <c r="P128">
        <f t="shared" si="9"/>
        <v>1</v>
      </c>
    </row>
    <row r="129" spans="1:16" x14ac:dyDescent="0.3">
      <c r="A129" s="1">
        <v>42975</v>
      </c>
      <c r="B129">
        <v>308.2</v>
      </c>
      <c r="C129">
        <v>325.90000076293899</v>
      </c>
      <c r="D129">
        <v>17.7000007629394</v>
      </c>
      <c r="E129" s="1">
        <v>43066</v>
      </c>
      <c r="F129">
        <v>13.9655494689941</v>
      </c>
      <c r="G129">
        <v>17.7000007629394</v>
      </c>
      <c r="J129">
        <v>10.15876327</v>
      </c>
      <c r="K129" s="1">
        <v>43066</v>
      </c>
      <c r="L129">
        <f t="shared" si="5"/>
        <v>342.60100757881901</v>
      </c>
      <c r="M129">
        <f t="shared" si="6"/>
        <v>309.19899394705897</v>
      </c>
      <c r="N129">
        <f t="shared" si="7"/>
        <v>325.90000076293899</v>
      </c>
      <c r="O129">
        <f t="shared" si="8"/>
        <v>322.16554946899407</v>
      </c>
      <c r="P129">
        <f t="shared" si="9"/>
        <v>1</v>
      </c>
    </row>
    <row r="130" spans="1:16" x14ac:dyDescent="0.3">
      <c r="A130" s="1">
        <v>42976</v>
      </c>
      <c r="B130">
        <v>307.14999999999998</v>
      </c>
      <c r="C130">
        <v>327.69999923706001</v>
      </c>
      <c r="D130">
        <v>20.549999237060501</v>
      </c>
      <c r="E130" s="1">
        <v>43067</v>
      </c>
      <c r="F130">
        <v>13.458517074584901</v>
      </c>
      <c r="G130">
        <v>20.549999237060501</v>
      </c>
      <c r="J130">
        <v>10.04686405</v>
      </c>
      <c r="K130" s="1">
        <v>43067</v>
      </c>
      <c r="L130">
        <f t="shared" si="5"/>
        <v>344.21704373526001</v>
      </c>
      <c r="M130">
        <f t="shared" si="6"/>
        <v>311.18295473886002</v>
      </c>
      <c r="N130">
        <f t="shared" si="7"/>
        <v>327.69999923706001</v>
      </c>
      <c r="O130">
        <f t="shared" si="8"/>
        <v>320.60851707458488</v>
      </c>
      <c r="P130">
        <f t="shared" si="9"/>
        <v>1</v>
      </c>
    </row>
    <row r="131" spans="1:16" x14ac:dyDescent="0.3">
      <c r="A131" s="1">
        <v>42977</v>
      </c>
      <c r="B131">
        <v>309</v>
      </c>
      <c r="C131">
        <v>327.700000762939</v>
      </c>
      <c r="D131">
        <v>18.7000007629394</v>
      </c>
      <c r="E131" s="1">
        <v>43068</v>
      </c>
      <c r="F131">
        <v>15.0905609130859</v>
      </c>
      <c r="G131">
        <v>18.7000007629394</v>
      </c>
      <c r="J131">
        <v>9.962235604</v>
      </c>
      <c r="K131" s="1">
        <v>43068</v>
      </c>
      <c r="L131">
        <f t="shared" ref="L131:L194" si="10">C131+1.644*J131</f>
        <v>344.07791609591499</v>
      </c>
      <c r="M131">
        <f t="shared" ref="M131:M194" si="11">C131-1.644*J131</f>
        <v>311.32208542996301</v>
      </c>
      <c r="N131">
        <f t="shared" ref="N131:N194" si="12">C131</f>
        <v>327.700000762939</v>
      </c>
      <c r="O131">
        <f t="shared" ref="O131:O194" si="13">B131+F131</f>
        <v>324.09056091308588</v>
      </c>
      <c r="P131">
        <f t="shared" ref="P131:P194" si="14">IF(AND(D131&gt;0, AND(O131&lt;L131, O131&gt;M131)),1,0)</f>
        <v>1</v>
      </c>
    </row>
    <row r="132" spans="1:16" x14ac:dyDescent="0.3">
      <c r="A132" s="1">
        <v>42978</v>
      </c>
      <c r="B132">
        <v>306.64999999999998</v>
      </c>
      <c r="C132">
        <v>322.25000038146902</v>
      </c>
      <c r="D132">
        <v>15.6000003814697</v>
      </c>
      <c r="E132" s="1">
        <v>43069</v>
      </c>
      <c r="F132">
        <v>17.575624465942301</v>
      </c>
      <c r="G132">
        <v>15.6000003814697</v>
      </c>
      <c r="J132">
        <v>9.7879332970000004</v>
      </c>
      <c r="K132" s="1">
        <v>43069</v>
      </c>
      <c r="L132">
        <f t="shared" si="10"/>
        <v>338.34136272173703</v>
      </c>
      <c r="M132">
        <f t="shared" si="11"/>
        <v>306.15863804120102</v>
      </c>
      <c r="N132">
        <f t="shared" si="12"/>
        <v>322.25000038146902</v>
      </c>
      <c r="O132">
        <f t="shared" si="13"/>
        <v>324.2256244659423</v>
      </c>
      <c r="P132">
        <f t="shared" si="14"/>
        <v>1</v>
      </c>
    </row>
    <row r="133" spans="1:16" x14ac:dyDescent="0.3">
      <c r="A133" s="1">
        <v>42979</v>
      </c>
      <c r="B133">
        <v>306.3</v>
      </c>
      <c r="C133">
        <v>321.85000019073402</v>
      </c>
      <c r="D133">
        <v>15.550000190734799</v>
      </c>
      <c r="E133" s="1">
        <v>43070</v>
      </c>
      <c r="F133">
        <v>15.008484840393001</v>
      </c>
      <c r="G133">
        <v>15.550000190734799</v>
      </c>
      <c r="J133">
        <v>9.5954941100000006</v>
      </c>
      <c r="K133" s="1">
        <v>43070</v>
      </c>
      <c r="L133">
        <f t="shared" si="10"/>
        <v>337.62499250757401</v>
      </c>
      <c r="M133">
        <f t="shared" si="11"/>
        <v>306.07500787389404</v>
      </c>
      <c r="N133">
        <f t="shared" si="12"/>
        <v>321.85000019073402</v>
      </c>
      <c r="O133">
        <f t="shared" si="13"/>
        <v>321.30848484039302</v>
      </c>
      <c r="P133">
        <f t="shared" si="14"/>
        <v>1</v>
      </c>
    </row>
    <row r="134" spans="1:16" x14ac:dyDescent="0.3">
      <c r="A134" s="1">
        <v>42982</v>
      </c>
      <c r="B134">
        <v>303.5</v>
      </c>
      <c r="C134">
        <v>325</v>
      </c>
      <c r="D134">
        <v>21.5</v>
      </c>
      <c r="E134" s="1">
        <v>43073</v>
      </c>
      <c r="F134">
        <v>20.042924880981399</v>
      </c>
      <c r="G134">
        <v>21.5</v>
      </c>
      <c r="J134">
        <v>9.3189154460000001</v>
      </c>
      <c r="K134" s="1">
        <v>43073</v>
      </c>
      <c r="L134">
        <f t="shared" si="10"/>
        <v>340.32029699322402</v>
      </c>
      <c r="M134">
        <f t="shared" si="11"/>
        <v>309.67970300677598</v>
      </c>
      <c r="N134">
        <f t="shared" si="12"/>
        <v>325</v>
      </c>
      <c r="O134">
        <f t="shared" si="13"/>
        <v>323.54292488098139</v>
      </c>
      <c r="P134">
        <f t="shared" si="14"/>
        <v>1</v>
      </c>
    </row>
    <row r="135" spans="1:16" x14ac:dyDescent="0.3">
      <c r="A135" s="1">
        <v>42983</v>
      </c>
      <c r="B135">
        <v>302.7</v>
      </c>
      <c r="C135">
        <v>326.59999961852998</v>
      </c>
      <c r="D135">
        <v>23.899999618530199</v>
      </c>
      <c r="E135" s="1">
        <v>43074</v>
      </c>
      <c r="F135">
        <v>18.799716949462798</v>
      </c>
      <c r="G135">
        <v>23.899999618530199</v>
      </c>
      <c r="J135">
        <v>9.0036003749999995</v>
      </c>
      <c r="K135" s="1">
        <v>43074</v>
      </c>
      <c r="L135">
        <f t="shared" si="10"/>
        <v>341.40191863502997</v>
      </c>
      <c r="M135">
        <f t="shared" si="11"/>
        <v>311.79808060202998</v>
      </c>
      <c r="N135">
        <f t="shared" si="12"/>
        <v>326.59999961852998</v>
      </c>
      <c r="O135">
        <f t="shared" si="13"/>
        <v>321.49971694946277</v>
      </c>
      <c r="P135">
        <f t="shared" si="14"/>
        <v>1</v>
      </c>
    </row>
    <row r="136" spans="1:16" x14ac:dyDescent="0.3">
      <c r="A136" s="1">
        <v>42984</v>
      </c>
      <c r="B136">
        <v>302.3</v>
      </c>
      <c r="C136">
        <v>321.650000381469</v>
      </c>
      <c r="D136">
        <v>19.350000381469702</v>
      </c>
      <c r="E136" s="1">
        <v>43075</v>
      </c>
      <c r="F136">
        <v>16.988664627075099</v>
      </c>
      <c r="G136">
        <v>19.350000381469702</v>
      </c>
      <c r="J136">
        <v>8.635312119</v>
      </c>
      <c r="K136" s="1">
        <v>43075</v>
      </c>
      <c r="L136">
        <f t="shared" si="10"/>
        <v>335.84645350510499</v>
      </c>
      <c r="M136">
        <f t="shared" si="11"/>
        <v>307.45354725783301</v>
      </c>
      <c r="N136">
        <f t="shared" si="12"/>
        <v>321.650000381469</v>
      </c>
      <c r="O136">
        <f t="shared" si="13"/>
        <v>319.28866462707509</v>
      </c>
      <c r="P136">
        <f t="shared" si="14"/>
        <v>1</v>
      </c>
    </row>
    <row r="137" spans="1:16" x14ac:dyDescent="0.3">
      <c r="A137" s="1">
        <v>42985</v>
      </c>
      <c r="B137">
        <v>306.2</v>
      </c>
      <c r="C137">
        <v>320.7</v>
      </c>
      <c r="D137">
        <v>14.5</v>
      </c>
      <c r="E137" s="1">
        <v>43076</v>
      </c>
      <c r="F137">
        <v>15.321907043456999</v>
      </c>
      <c r="G137">
        <v>14.5</v>
      </c>
      <c r="J137">
        <v>8.3815888259999998</v>
      </c>
      <c r="K137" s="1">
        <v>43076</v>
      </c>
      <c r="L137">
        <f t="shared" si="10"/>
        <v>334.47933202994398</v>
      </c>
      <c r="M137">
        <f t="shared" si="11"/>
        <v>306.920667970056</v>
      </c>
      <c r="N137">
        <f t="shared" si="12"/>
        <v>320.7</v>
      </c>
      <c r="O137">
        <f t="shared" si="13"/>
        <v>321.52190704345696</v>
      </c>
      <c r="P137">
        <f t="shared" si="14"/>
        <v>1</v>
      </c>
    </row>
    <row r="138" spans="1:16" x14ac:dyDescent="0.3">
      <c r="A138" s="1">
        <v>42986</v>
      </c>
      <c r="B138">
        <v>306.25</v>
      </c>
      <c r="C138">
        <v>321.39999961852999</v>
      </c>
      <c r="D138">
        <v>15.149999618530201</v>
      </c>
      <c r="E138" s="1">
        <v>43077</v>
      </c>
      <c r="F138">
        <v>15.870866775512599</v>
      </c>
      <c r="G138">
        <v>15.149999618530201</v>
      </c>
      <c r="J138">
        <v>8.112302949</v>
      </c>
      <c r="K138" s="1">
        <v>43077</v>
      </c>
      <c r="L138">
        <f t="shared" si="10"/>
        <v>334.736625666686</v>
      </c>
      <c r="M138">
        <f t="shared" si="11"/>
        <v>308.06337357037398</v>
      </c>
      <c r="N138">
        <f t="shared" si="12"/>
        <v>321.39999961852999</v>
      </c>
      <c r="O138">
        <f t="shared" si="13"/>
        <v>322.12086677551258</v>
      </c>
      <c r="P138">
        <f t="shared" si="14"/>
        <v>1</v>
      </c>
    </row>
    <row r="139" spans="1:16" x14ac:dyDescent="0.3">
      <c r="A139" s="1">
        <v>42989</v>
      </c>
      <c r="B139">
        <v>309.25</v>
      </c>
      <c r="C139">
        <v>321.5</v>
      </c>
      <c r="D139">
        <v>12.25</v>
      </c>
      <c r="E139" s="1">
        <v>43080</v>
      </c>
      <c r="F139">
        <v>7.9588270187377903</v>
      </c>
      <c r="G139">
        <v>12.25</v>
      </c>
      <c r="J139">
        <v>7.9202754510000002</v>
      </c>
      <c r="K139" s="1">
        <v>43080</v>
      </c>
      <c r="L139">
        <f t="shared" si="10"/>
        <v>334.52093284144399</v>
      </c>
      <c r="M139">
        <f t="shared" si="11"/>
        <v>308.47906715855601</v>
      </c>
      <c r="N139">
        <f t="shared" si="12"/>
        <v>321.5</v>
      </c>
      <c r="O139">
        <f t="shared" si="13"/>
        <v>317.20882701873779</v>
      </c>
      <c r="P139">
        <f t="shared" si="14"/>
        <v>1</v>
      </c>
    </row>
    <row r="140" spans="1:16" x14ac:dyDescent="0.3">
      <c r="A140" s="1">
        <v>42990</v>
      </c>
      <c r="B140">
        <v>309.2</v>
      </c>
      <c r="C140">
        <v>320.45</v>
      </c>
      <c r="D140">
        <v>11.25</v>
      </c>
      <c r="E140" s="1">
        <v>43081</v>
      </c>
      <c r="F140">
        <v>7.49954986572265</v>
      </c>
      <c r="G140">
        <v>11.25</v>
      </c>
      <c r="J140">
        <v>7.7231132560000004</v>
      </c>
      <c r="K140" s="1">
        <v>43081</v>
      </c>
      <c r="L140">
        <f t="shared" si="10"/>
        <v>333.14679819286397</v>
      </c>
      <c r="M140">
        <f t="shared" si="11"/>
        <v>307.75320180713601</v>
      </c>
      <c r="N140">
        <f t="shared" si="12"/>
        <v>320.45</v>
      </c>
      <c r="O140">
        <f t="shared" si="13"/>
        <v>316.69954986572264</v>
      </c>
      <c r="P140">
        <f t="shared" si="14"/>
        <v>1</v>
      </c>
    </row>
    <row r="141" spans="1:16" x14ac:dyDescent="0.3">
      <c r="A141" s="1">
        <v>42991</v>
      </c>
      <c r="B141">
        <v>308.55</v>
      </c>
      <c r="C141">
        <v>322.85000019073402</v>
      </c>
      <c r="D141">
        <v>14.300000190734799</v>
      </c>
      <c r="E141" s="1">
        <v>43082</v>
      </c>
      <c r="F141">
        <v>3.5868494510650599</v>
      </c>
      <c r="G141">
        <v>14.300000190734799</v>
      </c>
      <c r="J141">
        <v>7.4852653340000002</v>
      </c>
      <c r="K141" s="1">
        <v>43082</v>
      </c>
      <c r="L141">
        <f t="shared" si="10"/>
        <v>335.15577639983002</v>
      </c>
      <c r="M141">
        <f t="shared" si="11"/>
        <v>310.54422398163803</v>
      </c>
      <c r="N141">
        <f t="shared" si="12"/>
        <v>322.85000019073402</v>
      </c>
      <c r="O141">
        <f t="shared" si="13"/>
        <v>312.13684945106507</v>
      </c>
      <c r="P141">
        <f t="shared" si="14"/>
        <v>1</v>
      </c>
    </row>
    <row r="142" spans="1:16" x14ac:dyDescent="0.3">
      <c r="A142" s="1">
        <v>42992</v>
      </c>
      <c r="B142">
        <v>310.25</v>
      </c>
      <c r="C142">
        <v>324.30000019073401</v>
      </c>
      <c r="D142">
        <v>14.050000190734799</v>
      </c>
      <c r="E142" s="1">
        <v>43083</v>
      </c>
      <c r="F142">
        <v>4.93088626861572</v>
      </c>
      <c r="G142">
        <v>14.050000190734799</v>
      </c>
      <c r="J142">
        <v>7.2849796900000001</v>
      </c>
      <c r="K142" s="1">
        <v>43083</v>
      </c>
      <c r="L142">
        <f t="shared" si="10"/>
        <v>336.276506801094</v>
      </c>
      <c r="M142">
        <f t="shared" si="11"/>
        <v>312.32349358037402</v>
      </c>
      <c r="N142">
        <f t="shared" si="12"/>
        <v>324.30000019073401</v>
      </c>
      <c r="O142">
        <f t="shared" si="13"/>
        <v>315.18088626861572</v>
      </c>
      <c r="P142">
        <f t="shared" si="14"/>
        <v>1</v>
      </c>
    </row>
    <row r="143" spans="1:16" x14ac:dyDescent="0.3">
      <c r="A143" s="1">
        <v>42993</v>
      </c>
      <c r="B143">
        <v>311.2</v>
      </c>
      <c r="C143">
        <v>322.750000190734</v>
      </c>
      <c r="D143">
        <v>11.550000190734799</v>
      </c>
      <c r="E143" s="1">
        <v>43084</v>
      </c>
      <c r="F143">
        <v>10.750617027282701</v>
      </c>
      <c r="G143">
        <v>11.550000190734799</v>
      </c>
      <c r="J143">
        <v>7.1034980890000003</v>
      </c>
      <c r="K143" s="1">
        <v>43084</v>
      </c>
      <c r="L143">
        <f t="shared" si="10"/>
        <v>334.42815104904997</v>
      </c>
      <c r="M143">
        <f t="shared" si="11"/>
        <v>311.07184933241803</v>
      </c>
      <c r="N143">
        <f t="shared" si="12"/>
        <v>322.750000190734</v>
      </c>
      <c r="O143">
        <f t="shared" si="13"/>
        <v>321.9506170272827</v>
      </c>
      <c r="P143">
        <f t="shared" si="14"/>
        <v>1</v>
      </c>
    </row>
    <row r="144" spans="1:16" x14ac:dyDescent="0.3">
      <c r="A144" s="1">
        <v>42996</v>
      </c>
      <c r="B144">
        <v>316.7</v>
      </c>
      <c r="C144">
        <v>324.14999980926501</v>
      </c>
      <c r="D144">
        <v>7.4499998092651296</v>
      </c>
      <c r="E144" s="1">
        <v>43087</v>
      </c>
      <c r="F144">
        <v>5.9904212951660103</v>
      </c>
      <c r="G144">
        <v>7.4499998092651296</v>
      </c>
      <c r="J144">
        <v>7.0387891629999997</v>
      </c>
      <c r="K144" s="1">
        <v>43087</v>
      </c>
      <c r="L144">
        <f t="shared" si="10"/>
        <v>335.72176919323704</v>
      </c>
      <c r="M144">
        <f t="shared" si="11"/>
        <v>312.57823042529299</v>
      </c>
      <c r="N144">
        <f t="shared" si="12"/>
        <v>324.14999980926501</v>
      </c>
      <c r="O144">
        <f t="shared" si="13"/>
        <v>322.690421295166</v>
      </c>
      <c r="P144">
        <f t="shared" si="14"/>
        <v>1</v>
      </c>
    </row>
    <row r="145" spans="1:16" x14ac:dyDescent="0.3">
      <c r="A145" s="1">
        <v>42997</v>
      </c>
      <c r="B145">
        <v>316.05</v>
      </c>
      <c r="C145">
        <v>323.85000019073402</v>
      </c>
      <c r="D145">
        <v>7.8000001907348597</v>
      </c>
      <c r="E145" s="1">
        <v>43088</v>
      </c>
      <c r="F145">
        <v>11.1099891662597</v>
      </c>
      <c r="G145">
        <v>7.8000001907348597</v>
      </c>
      <c r="J145">
        <v>6.9600325349999999</v>
      </c>
      <c r="K145" s="1">
        <v>43088</v>
      </c>
      <c r="L145">
        <f t="shared" si="10"/>
        <v>335.29229367827401</v>
      </c>
      <c r="M145">
        <f t="shared" si="11"/>
        <v>312.40770670319404</v>
      </c>
      <c r="N145">
        <f t="shared" si="12"/>
        <v>323.85000019073402</v>
      </c>
      <c r="O145">
        <f t="shared" si="13"/>
        <v>327.15998916625972</v>
      </c>
      <c r="P145">
        <f t="shared" si="14"/>
        <v>1</v>
      </c>
    </row>
    <row r="146" spans="1:16" x14ac:dyDescent="0.3">
      <c r="A146" s="1">
        <v>42998</v>
      </c>
      <c r="B146">
        <v>315.8</v>
      </c>
      <c r="C146">
        <v>323.55</v>
      </c>
      <c r="D146">
        <v>7.75</v>
      </c>
      <c r="E146" s="1">
        <v>43089</v>
      </c>
      <c r="F146">
        <v>7.8706583976745597</v>
      </c>
      <c r="G146">
        <v>7.75</v>
      </c>
      <c r="J146">
        <v>6.8739398659999997</v>
      </c>
      <c r="K146" s="1">
        <v>43089</v>
      </c>
      <c r="L146">
        <f t="shared" si="10"/>
        <v>334.850757139704</v>
      </c>
      <c r="M146">
        <f t="shared" si="11"/>
        <v>312.24924286029602</v>
      </c>
      <c r="N146">
        <f t="shared" si="12"/>
        <v>323.55</v>
      </c>
      <c r="O146">
        <f t="shared" si="13"/>
        <v>323.67065839767457</v>
      </c>
      <c r="P146">
        <f t="shared" si="14"/>
        <v>1</v>
      </c>
    </row>
    <row r="147" spans="1:16" x14ac:dyDescent="0.3">
      <c r="A147" s="1">
        <v>42999</v>
      </c>
      <c r="B147">
        <v>316.05</v>
      </c>
      <c r="C147">
        <v>316.85000001191997</v>
      </c>
      <c r="D147">
        <v>0.80000001192092896</v>
      </c>
      <c r="E147" s="1">
        <v>43090</v>
      </c>
      <c r="F147">
        <v>8.5476884841918892</v>
      </c>
      <c r="G147">
        <v>0.80000001192092896</v>
      </c>
      <c r="J147">
        <v>6.8589968470000002</v>
      </c>
      <c r="K147" s="1">
        <v>43090</v>
      </c>
      <c r="L147">
        <f t="shared" si="10"/>
        <v>328.12619082838796</v>
      </c>
      <c r="M147">
        <f t="shared" si="11"/>
        <v>305.57380919545199</v>
      </c>
      <c r="N147">
        <f t="shared" si="12"/>
        <v>316.85000001191997</v>
      </c>
      <c r="O147">
        <f t="shared" si="13"/>
        <v>324.59768848419191</v>
      </c>
      <c r="P147">
        <f t="shared" si="14"/>
        <v>1</v>
      </c>
    </row>
    <row r="148" spans="1:16" x14ac:dyDescent="0.3">
      <c r="A148" s="1">
        <v>43000</v>
      </c>
      <c r="B148">
        <v>313.75</v>
      </c>
      <c r="C148">
        <v>318.5</v>
      </c>
      <c r="D148">
        <v>4.75</v>
      </c>
      <c r="E148" s="1">
        <v>43091</v>
      </c>
      <c r="F148">
        <v>9.0339899063110298</v>
      </c>
      <c r="G148">
        <v>4.75</v>
      </c>
      <c r="J148">
        <v>6.7655609449999998</v>
      </c>
      <c r="K148" s="1">
        <v>43091</v>
      </c>
      <c r="L148">
        <f t="shared" si="10"/>
        <v>329.62258219358</v>
      </c>
      <c r="M148">
        <f t="shared" si="11"/>
        <v>307.37741780642</v>
      </c>
      <c r="N148">
        <f t="shared" si="12"/>
        <v>318.5</v>
      </c>
      <c r="O148">
        <f t="shared" si="13"/>
        <v>322.78398990631104</v>
      </c>
      <c r="P148">
        <f t="shared" si="14"/>
        <v>1</v>
      </c>
    </row>
    <row r="149" spans="1:16" x14ac:dyDescent="0.3">
      <c r="A149" s="1">
        <v>43003</v>
      </c>
      <c r="B149">
        <v>313.8</v>
      </c>
      <c r="C149">
        <v>318.49999980926498</v>
      </c>
      <c r="D149">
        <v>4.6999998092651296</v>
      </c>
      <c r="E149" s="1">
        <v>43094</v>
      </c>
      <c r="F149">
        <v>10.574758529663001</v>
      </c>
      <c r="G149">
        <v>4.6999998092651296</v>
      </c>
      <c r="J149">
        <v>6.6712957890000002</v>
      </c>
      <c r="K149" s="1">
        <v>43094</v>
      </c>
      <c r="L149">
        <f t="shared" si="10"/>
        <v>329.467610086381</v>
      </c>
      <c r="M149">
        <f t="shared" si="11"/>
        <v>307.53238953214895</v>
      </c>
      <c r="N149">
        <f t="shared" si="12"/>
        <v>318.49999980926498</v>
      </c>
      <c r="O149">
        <f t="shared" si="13"/>
        <v>324.37475852966304</v>
      </c>
      <c r="P149">
        <f t="shared" si="14"/>
        <v>1</v>
      </c>
    </row>
    <row r="150" spans="1:16" x14ac:dyDescent="0.3">
      <c r="A150" s="1">
        <v>43004</v>
      </c>
      <c r="B150">
        <v>311.8</v>
      </c>
      <c r="C150">
        <v>317.45000009536699</v>
      </c>
      <c r="D150">
        <v>5.6500000953674299</v>
      </c>
      <c r="E150" s="1">
        <v>43095</v>
      </c>
      <c r="F150">
        <v>9.9167976379394496</v>
      </c>
      <c r="G150">
        <v>5.6500000953674299</v>
      </c>
      <c r="J150">
        <v>6.5345408989999996</v>
      </c>
      <c r="K150" s="1">
        <v>43095</v>
      </c>
      <c r="L150">
        <f t="shared" si="10"/>
        <v>328.192785333323</v>
      </c>
      <c r="M150">
        <f t="shared" si="11"/>
        <v>306.70721485741097</v>
      </c>
      <c r="N150">
        <f t="shared" si="12"/>
        <v>317.45000009536699</v>
      </c>
      <c r="O150">
        <f t="shared" si="13"/>
        <v>321.71679763793946</v>
      </c>
      <c r="P150">
        <f t="shared" si="14"/>
        <v>1</v>
      </c>
    </row>
    <row r="151" spans="1:16" x14ac:dyDescent="0.3">
      <c r="A151" s="1">
        <v>43005</v>
      </c>
      <c r="B151">
        <v>311.39999999999998</v>
      </c>
      <c r="C151">
        <v>321.20000019073399</v>
      </c>
      <c r="D151">
        <v>9.8000001907348597</v>
      </c>
      <c r="E151" s="1">
        <v>43096</v>
      </c>
      <c r="F151">
        <v>12.8919982910156</v>
      </c>
      <c r="G151">
        <v>9.8000001907348597</v>
      </c>
      <c r="J151">
        <v>6.3280589860000003</v>
      </c>
      <c r="K151" s="1">
        <v>43096</v>
      </c>
      <c r="L151">
        <f t="shared" si="10"/>
        <v>331.603329163718</v>
      </c>
      <c r="M151">
        <f t="shared" si="11"/>
        <v>310.79667121774997</v>
      </c>
      <c r="N151">
        <f t="shared" si="12"/>
        <v>321.20000019073399</v>
      </c>
      <c r="O151">
        <f t="shared" si="13"/>
        <v>324.2919982910156</v>
      </c>
      <c r="P151">
        <f t="shared" si="14"/>
        <v>1</v>
      </c>
    </row>
    <row r="152" spans="1:16" x14ac:dyDescent="0.3">
      <c r="A152" s="1">
        <v>43006</v>
      </c>
      <c r="B152">
        <v>311.60000000000002</v>
      </c>
      <c r="C152">
        <v>325.65000019073398</v>
      </c>
      <c r="D152">
        <v>14.050000190734799</v>
      </c>
      <c r="E152" s="1">
        <v>43097</v>
      </c>
      <c r="F152">
        <v>10.1550197601318</v>
      </c>
      <c r="G152">
        <v>14.050000190734799</v>
      </c>
      <c r="J152">
        <v>6.0972874839999998</v>
      </c>
      <c r="K152" s="1">
        <v>43097</v>
      </c>
      <c r="L152">
        <f t="shared" si="10"/>
        <v>335.67394081442995</v>
      </c>
      <c r="M152">
        <f t="shared" si="11"/>
        <v>315.626059567038</v>
      </c>
      <c r="N152">
        <f t="shared" si="12"/>
        <v>325.65000019073398</v>
      </c>
      <c r="O152">
        <f t="shared" si="13"/>
        <v>321.7550197601318</v>
      </c>
      <c r="P152">
        <f t="shared" si="14"/>
        <v>1</v>
      </c>
    </row>
    <row r="153" spans="1:16" x14ac:dyDescent="0.3">
      <c r="A153" s="1">
        <v>43007</v>
      </c>
      <c r="B153">
        <v>314.3</v>
      </c>
      <c r="C153">
        <v>325.650000381469</v>
      </c>
      <c r="D153">
        <v>11.3500003814697</v>
      </c>
      <c r="E153" s="1">
        <v>43098</v>
      </c>
      <c r="F153">
        <v>6.7723712921142498</v>
      </c>
      <c r="G153">
        <v>11.3500003814697</v>
      </c>
      <c r="J153">
        <v>5.9388601679999997</v>
      </c>
      <c r="K153" s="1">
        <v>43098</v>
      </c>
      <c r="L153">
        <f t="shared" si="10"/>
        <v>335.41348649766098</v>
      </c>
      <c r="M153">
        <f t="shared" si="11"/>
        <v>315.88651426527701</v>
      </c>
      <c r="N153">
        <f t="shared" si="12"/>
        <v>325.650000381469</v>
      </c>
      <c r="O153">
        <f t="shared" si="13"/>
        <v>321.07237129211427</v>
      </c>
      <c r="P153">
        <f t="shared" si="14"/>
        <v>1</v>
      </c>
    </row>
    <row r="154" spans="1:16" x14ac:dyDescent="0.3">
      <c r="A154" s="1">
        <v>43010</v>
      </c>
      <c r="B154">
        <v>314.3</v>
      </c>
      <c r="C154">
        <v>325.650000381469</v>
      </c>
      <c r="D154">
        <v>11.3500003814697</v>
      </c>
      <c r="E154" s="1">
        <v>43101</v>
      </c>
      <c r="F154">
        <v>12.381940841674799</v>
      </c>
      <c r="G154">
        <v>11.3500003814697</v>
      </c>
      <c r="J154">
        <v>5.7707253989999998</v>
      </c>
      <c r="K154" s="1">
        <v>43101</v>
      </c>
      <c r="L154">
        <f t="shared" si="10"/>
        <v>335.13707293742499</v>
      </c>
      <c r="M154">
        <f t="shared" si="11"/>
        <v>316.16292782551301</v>
      </c>
      <c r="N154">
        <f t="shared" si="12"/>
        <v>325.650000381469</v>
      </c>
      <c r="O154">
        <f t="shared" si="13"/>
        <v>326.68194084167482</v>
      </c>
      <c r="P154">
        <f t="shared" si="14"/>
        <v>1</v>
      </c>
    </row>
    <row r="155" spans="1:16" x14ac:dyDescent="0.3">
      <c r="A155" s="1">
        <v>43011</v>
      </c>
      <c r="B155">
        <v>314.3</v>
      </c>
      <c r="C155">
        <v>326.49999980926498</v>
      </c>
      <c r="D155">
        <v>12.199999809265099</v>
      </c>
      <c r="E155" s="1">
        <v>43102</v>
      </c>
      <c r="F155">
        <v>15.265921592712401</v>
      </c>
      <c r="G155">
        <v>12.199999809265099</v>
      </c>
      <c r="J155">
        <v>5.5926744240000001</v>
      </c>
      <c r="K155" s="1">
        <v>43102</v>
      </c>
      <c r="L155">
        <f t="shared" si="10"/>
        <v>335.69435656232099</v>
      </c>
      <c r="M155">
        <f t="shared" si="11"/>
        <v>317.30564305620896</v>
      </c>
      <c r="N155">
        <f t="shared" si="12"/>
        <v>326.49999980926498</v>
      </c>
      <c r="O155">
        <f t="shared" si="13"/>
        <v>329.56592159271241</v>
      </c>
      <c r="P155">
        <f t="shared" si="14"/>
        <v>1</v>
      </c>
    </row>
    <row r="156" spans="1:16" x14ac:dyDescent="0.3">
      <c r="A156" s="1">
        <v>43012</v>
      </c>
      <c r="B156">
        <v>314.3</v>
      </c>
      <c r="C156">
        <v>327.69999961853</v>
      </c>
      <c r="D156">
        <v>13.399999618530201</v>
      </c>
      <c r="E156" s="1">
        <v>43103</v>
      </c>
      <c r="F156">
        <v>13.8097743988037</v>
      </c>
      <c r="G156">
        <v>13.399999618530201</v>
      </c>
      <c r="J156">
        <v>5.405970924</v>
      </c>
      <c r="K156" s="1">
        <v>43103</v>
      </c>
      <c r="L156">
        <f t="shared" si="10"/>
        <v>336.58741581758602</v>
      </c>
      <c r="M156">
        <f t="shared" si="11"/>
        <v>318.81258341947398</v>
      </c>
      <c r="N156">
        <f t="shared" si="12"/>
        <v>327.69999961853</v>
      </c>
      <c r="O156">
        <f t="shared" si="13"/>
        <v>328.10977439880372</v>
      </c>
      <c r="P156">
        <f t="shared" si="14"/>
        <v>1</v>
      </c>
    </row>
    <row r="157" spans="1:16" x14ac:dyDescent="0.3">
      <c r="A157" s="1">
        <v>43013</v>
      </c>
      <c r="B157">
        <v>314.3</v>
      </c>
      <c r="C157">
        <v>324.99999980926498</v>
      </c>
      <c r="D157">
        <v>10.699999809265099</v>
      </c>
      <c r="E157" s="1">
        <v>43104</v>
      </c>
      <c r="F157">
        <v>16.502313613891602</v>
      </c>
      <c r="G157">
        <v>10.699999809265099</v>
      </c>
      <c r="J157">
        <v>5.2030187239999997</v>
      </c>
      <c r="K157" s="1">
        <v>43104</v>
      </c>
      <c r="L157">
        <f t="shared" si="10"/>
        <v>333.55376259152098</v>
      </c>
      <c r="M157">
        <f t="shared" si="11"/>
        <v>316.44623702700898</v>
      </c>
      <c r="N157">
        <f t="shared" si="12"/>
        <v>324.99999980926498</v>
      </c>
      <c r="O157">
        <f t="shared" si="13"/>
        <v>330.80231361389161</v>
      </c>
      <c r="P157">
        <f t="shared" si="14"/>
        <v>1</v>
      </c>
    </row>
    <row r="158" spans="1:16" x14ac:dyDescent="0.3">
      <c r="A158" s="1">
        <v>43014</v>
      </c>
      <c r="B158">
        <v>314.3</v>
      </c>
      <c r="C158">
        <v>328.94999961853</v>
      </c>
      <c r="D158">
        <v>14.649999618530201</v>
      </c>
      <c r="E158" s="1">
        <v>43105</v>
      </c>
      <c r="F158">
        <v>14.171308517456</v>
      </c>
      <c r="G158">
        <v>14.649999618530201</v>
      </c>
      <c r="J158">
        <v>4.9938311710000001</v>
      </c>
      <c r="K158" s="1">
        <v>43105</v>
      </c>
      <c r="L158">
        <f t="shared" si="10"/>
        <v>337.15985806365399</v>
      </c>
      <c r="M158">
        <f t="shared" si="11"/>
        <v>320.74014117340602</v>
      </c>
      <c r="N158">
        <f t="shared" si="12"/>
        <v>328.94999961853</v>
      </c>
      <c r="O158">
        <f t="shared" si="13"/>
        <v>328.47130851745601</v>
      </c>
      <c r="P158">
        <f t="shared" si="14"/>
        <v>1</v>
      </c>
    </row>
    <row r="159" spans="1:16" x14ac:dyDescent="0.3">
      <c r="A159" s="1">
        <v>43017</v>
      </c>
      <c r="B159">
        <v>314.3</v>
      </c>
      <c r="C159">
        <v>331.25000076293901</v>
      </c>
      <c r="D159">
        <v>16.9500007629394</v>
      </c>
      <c r="E159" s="1">
        <v>43108</v>
      </c>
      <c r="F159">
        <v>17.233474731445298</v>
      </c>
      <c r="G159">
        <v>16.9500007629394</v>
      </c>
      <c r="J159">
        <v>4.790699247</v>
      </c>
      <c r="K159" s="1">
        <v>43108</v>
      </c>
      <c r="L159">
        <f t="shared" si="10"/>
        <v>339.125910325007</v>
      </c>
      <c r="M159">
        <f t="shared" si="11"/>
        <v>323.37409120087102</v>
      </c>
      <c r="N159">
        <f t="shared" si="12"/>
        <v>331.25000076293901</v>
      </c>
      <c r="O159">
        <f t="shared" si="13"/>
        <v>331.53347473144532</v>
      </c>
      <c r="P159">
        <f t="shared" si="14"/>
        <v>1</v>
      </c>
    </row>
    <row r="160" spans="1:16" x14ac:dyDescent="0.3">
      <c r="A160" s="1">
        <v>43018</v>
      </c>
      <c r="B160">
        <v>320.14999999999998</v>
      </c>
      <c r="C160">
        <v>330.45000019073399</v>
      </c>
      <c r="D160">
        <v>10.300000190734799</v>
      </c>
      <c r="E160" s="1">
        <v>43109</v>
      </c>
      <c r="F160">
        <v>11.478996276855399</v>
      </c>
      <c r="G160">
        <v>10.300000190734799</v>
      </c>
      <c r="J160">
        <v>4.7421819520000001</v>
      </c>
      <c r="K160" s="1">
        <v>43109</v>
      </c>
      <c r="L160">
        <f t="shared" si="10"/>
        <v>338.246147319822</v>
      </c>
      <c r="M160">
        <f t="shared" si="11"/>
        <v>322.65385306164598</v>
      </c>
      <c r="N160">
        <f t="shared" si="12"/>
        <v>330.45000019073399</v>
      </c>
      <c r="O160">
        <f t="shared" si="13"/>
        <v>331.62899627685539</v>
      </c>
      <c r="P160">
        <f t="shared" si="14"/>
        <v>1</v>
      </c>
    </row>
    <row r="161" spans="1:16" x14ac:dyDescent="0.3">
      <c r="A161" s="1">
        <v>43019</v>
      </c>
      <c r="B161">
        <v>323.25</v>
      </c>
      <c r="C161">
        <v>327.849999904632</v>
      </c>
      <c r="D161">
        <v>4.5999999046325604</v>
      </c>
      <c r="E161" s="1">
        <v>43110</v>
      </c>
      <c r="F161">
        <v>15.1613054275512</v>
      </c>
      <c r="G161">
        <v>4.5999999046325604</v>
      </c>
      <c r="J161">
        <v>4.7224139489999999</v>
      </c>
      <c r="K161" s="1">
        <v>43110</v>
      </c>
      <c r="L161">
        <f t="shared" si="10"/>
        <v>335.61364843678803</v>
      </c>
      <c r="M161">
        <f t="shared" si="11"/>
        <v>320.08635137247597</v>
      </c>
      <c r="N161">
        <f t="shared" si="12"/>
        <v>327.849999904632</v>
      </c>
      <c r="O161">
        <f t="shared" si="13"/>
        <v>338.41130542755121</v>
      </c>
      <c r="P161">
        <f t="shared" si="14"/>
        <v>0</v>
      </c>
    </row>
    <row r="162" spans="1:16" x14ac:dyDescent="0.3">
      <c r="A162" s="1">
        <v>43020</v>
      </c>
      <c r="B162">
        <v>325.64999999999998</v>
      </c>
      <c r="C162">
        <v>326.50000002384098</v>
      </c>
      <c r="D162">
        <v>0.85000002384185702</v>
      </c>
      <c r="E162" s="1">
        <v>43111</v>
      </c>
      <c r="F162">
        <v>14.9511394500732</v>
      </c>
      <c r="G162">
        <v>0.85000002384185702</v>
      </c>
      <c r="J162">
        <v>4.7201115590000002</v>
      </c>
      <c r="K162" s="1">
        <v>43111</v>
      </c>
      <c r="L162">
        <f t="shared" si="10"/>
        <v>334.259863426837</v>
      </c>
      <c r="M162">
        <f t="shared" si="11"/>
        <v>318.74013662084496</v>
      </c>
      <c r="N162">
        <f t="shared" si="12"/>
        <v>326.50000002384098</v>
      </c>
      <c r="O162">
        <f t="shared" si="13"/>
        <v>340.60113945007316</v>
      </c>
      <c r="P162">
        <f t="shared" si="14"/>
        <v>0</v>
      </c>
    </row>
    <row r="163" spans="1:16" x14ac:dyDescent="0.3">
      <c r="A163" s="1">
        <v>43021</v>
      </c>
      <c r="B163">
        <v>325.3</v>
      </c>
      <c r="C163">
        <v>326.84999995231601</v>
      </c>
      <c r="D163">
        <v>1.54999995231628</v>
      </c>
      <c r="E163" s="1">
        <v>43112</v>
      </c>
      <c r="F163">
        <v>16.810491561889599</v>
      </c>
      <c r="G163">
        <v>1.54999995231628</v>
      </c>
      <c r="J163">
        <v>4.7158153760000001</v>
      </c>
      <c r="K163" s="1">
        <v>43112</v>
      </c>
      <c r="L163">
        <f t="shared" si="10"/>
        <v>334.60280043046004</v>
      </c>
      <c r="M163">
        <f t="shared" si="11"/>
        <v>319.09719947417199</v>
      </c>
      <c r="N163">
        <f t="shared" si="12"/>
        <v>326.84999995231601</v>
      </c>
      <c r="O163">
        <f t="shared" si="13"/>
        <v>342.1104915618896</v>
      </c>
      <c r="P163">
        <f t="shared" si="14"/>
        <v>0</v>
      </c>
    </row>
    <row r="164" spans="1:16" x14ac:dyDescent="0.3">
      <c r="A164" s="1">
        <v>43024</v>
      </c>
      <c r="B164">
        <v>325.5</v>
      </c>
      <c r="C164">
        <v>327.299999952316</v>
      </c>
      <c r="D164">
        <v>1.79999995231628</v>
      </c>
      <c r="E164" s="1">
        <v>43115</v>
      </c>
      <c r="F164">
        <v>16.215806961059499</v>
      </c>
      <c r="G164">
        <v>1.79999995231628</v>
      </c>
      <c r="J164">
        <v>4.712607502</v>
      </c>
      <c r="K164" s="1">
        <v>43115</v>
      </c>
      <c r="L164">
        <f t="shared" si="10"/>
        <v>335.047526685604</v>
      </c>
      <c r="M164">
        <f t="shared" si="11"/>
        <v>319.552473219028</v>
      </c>
      <c r="N164">
        <f t="shared" si="12"/>
        <v>327.299999952316</v>
      </c>
      <c r="O164">
        <f t="shared" si="13"/>
        <v>341.71580696105951</v>
      </c>
      <c r="P164">
        <f t="shared" si="14"/>
        <v>0</v>
      </c>
    </row>
    <row r="165" spans="1:16" x14ac:dyDescent="0.3">
      <c r="A165" s="1">
        <v>43025</v>
      </c>
      <c r="B165">
        <v>325.8</v>
      </c>
      <c r="C165">
        <v>330.49999980926498</v>
      </c>
      <c r="D165">
        <v>4.6999998092651296</v>
      </c>
      <c r="E165" s="1">
        <v>43116</v>
      </c>
      <c r="F165">
        <v>17.443853378295898</v>
      </c>
      <c r="G165">
        <v>4.6999998092651296</v>
      </c>
      <c r="J165">
        <v>4.7306853010000003</v>
      </c>
      <c r="K165" s="1">
        <v>43116</v>
      </c>
      <c r="L165">
        <f t="shared" si="10"/>
        <v>338.27724644410898</v>
      </c>
      <c r="M165">
        <f t="shared" si="11"/>
        <v>322.72275317442097</v>
      </c>
      <c r="N165">
        <f t="shared" si="12"/>
        <v>330.49999980926498</v>
      </c>
      <c r="O165">
        <f t="shared" si="13"/>
        <v>343.24385337829591</v>
      </c>
      <c r="P165">
        <f t="shared" si="14"/>
        <v>0</v>
      </c>
    </row>
    <row r="166" spans="1:16" x14ac:dyDescent="0.3">
      <c r="A166" s="1">
        <v>43026</v>
      </c>
      <c r="B166">
        <v>325.85000000000002</v>
      </c>
      <c r="C166">
        <v>329.19999990463202</v>
      </c>
      <c r="D166">
        <v>3.3499999046325599</v>
      </c>
      <c r="E166" s="1">
        <v>43117</v>
      </c>
      <c r="F166">
        <v>16.892194747924801</v>
      </c>
      <c r="G166">
        <v>3.3499999046325599</v>
      </c>
      <c r="J166">
        <v>4.7359423810000001</v>
      </c>
      <c r="K166" s="1">
        <v>43117</v>
      </c>
      <c r="L166">
        <f t="shared" si="10"/>
        <v>336.98588917899605</v>
      </c>
      <c r="M166">
        <f t="shared" si="11"/>
        <v>321.414110630268</v>
      </c>
      <c r="N166">
        <f t="shared" si="12"/>
        <v>329.19999990463202</v>
      </c>
      <c r="O166">
        <f t="shared" si="13"/>
        <v>342.74219474792483</v>
      </c>
      <c r="P166">
        <f t="shared" si="14"/>
        <v>0</v>
      </c>
    </row>
    <row r="167" spans="1:16" x14ac:dyDescent="0.3">
      <c r="A167" s="1">
        <v>43027</v>
      </c>
      <c r="B167">
        <v>324.10000000000002</v>
      </c>
      <c r="C167">
        <v>329.40000019073398</v>
      </c>
      <c r="D167">
        <v>5.3000001907348597</v>
      </c>
      <c r="E167" s="1">
        <v>43118</v>
      </c>
      <c r="F167">
        <v>16.060359954833899</v>
      </c>
      <c r="G167">
        <v>5.3000001907348597</v>
      </c>
      <c r="J167">
        <v>4.7295354959999996</v>
      </c>
      <c r="K167" s="1">
        <v>43118</v>
      </c>
      <c r="L167">
        <f t="shared" si="10"/>
        <v>337.17535654615796</v>
      </c>
      <c r="M167">
        <f t="shared" si="11"/>
        <v>321.62464383531</v>
      </c>
      <c r="N167">
        <f t="shared" si="12"/>
        <v>329.40000019073398</v>
      </c>
      <c r="O167">
        <f t="shared" si="13"/>
        <v>340.16035995483389</v>
      </c>
      <c r="P167">
        <f t="shared" si="14"/>
        <v>0</v>
      </c>
    </row>
    <row r="168" spans="1:16" x14ac:dyDescent="0.3">
      <c r="A168" s="1">
        <v>43028</v>
      </c>
      <c r="B168">
        <v>326.25</v>
      </c>
      <c r="C168">
        <v>329.599999904632</v>
      </c>
      <c r="D168">
        <v>3.3499999046325599</v>
      </c>
      <c r="E168" s="1">
        <v>43119</v>
      </c>
      <c r="F168">
        <v>17.932222366333001</v>
      </c>
      <c r="G168">
        <v>3.3499999046325599</v>
      </c>
      <c r="J168">
        <v>4.7377438029999999</v>
      </c>
      <c r="K168" s="1">
        <v>43119</v>
      </c>
      <c r="L168">
        <f t="shared" si="10"/>
        <v>337.38885071676401</v>
      </c>
      <c r="M168">
        <f t="shared" si="11"/>
        <v>321.81114909249999</v>
      </c>
      <c r="N168">
        <f t="shared" si="12"/>
        <v>329.599999904632</v>
      </c>
      <c r="O168">
        <f t="shared" si="13"/>
        <v>344.18222236633301</v>
      </c>
      <c r="P168">
        <f t="shared" si="14"/>
        <v>0</v>
      </c>
    </row>
    <row r="169" spans="1:16" x14ac:dyDescent="0.3">
      <c r="A169" s="1">
        <v>43031</v>
      </c>
      <c r="B169">
        <v>327.05</v>
      </c>
      <c r="C169">
        <v>326.24999998807903</v>
      </c>
      <c r="D169">
        <v>-0.80000001192092896</v>
      </c>
      <c r="E169" s="1">
        <v>43122</v>
      </c>
      <c r="F169">
        <v>15.2870788574218</v>
      </c>
      <c r="G169">
        <v>-0.80000001192092896</v>
      </c>
      <c r="J169">
        <v>4.7392007810000001</v>
      </c>
      <c r="K169" s="1">
        <v>43122</v>
      </c>
      <c r="L169">
        <f t="shared" si="10"/>
        <v>334.04124607204301</v>
      </c>
      <c r="M169">
        <f t="shared" si="11"/>
        <v>318.45875390411504</v>
      </c>
      <c r="N169">
        <f t="shared" si="12"/>
        <v>326.24999998807903</v>
      </c>
      <c r="O169">
        <f t="shared" si="13"/>
        <v>342.33707885742183</v>
      </c>
      <c r="P169">
        <f t="shared" si="14"/>
        <v>0</v>
      </c>
    </row>
    <row r="170" spans="1:16" x14ac:dyDescent="0.3">
      <c r="A170" s="1">
        <v>43032</v>
      </c>
      <c r="B170">
        <v>326.55</v>
      </c>
      <c r="C170">
        <v>331.24999980926498</v>
      </c>
      <c r="D170">
        <v>4.6999998092651296</v>
      </c>
      <c r="E170" s="1">
        <v>43123</v>
      </c>
      <c r="F170">
        <v>16.721746444702099</v>
      </c>
      <c r="G170">
        <v>4.6999998092651296</v>
      </c>
      <c r="J170">
        <v>4.7649728590000002</v>
      </c>
      <c r="K170" s="1">
        <v>43123</v>
      </c>
      <c r="L170">
        <f t="shared" si="10"/>
        <v>339.083615189461</v>
      </c>
      <c r="M170">
        <f t="shared" si="11"/>
        <v>323.41638442906896</v>
      </c>
      <c r="N170">
        <f t="shared" si="12"/>
        <v>331.24999980926498</v>
      </c>
      <c r="O170">
        <f t="shared" si="13"/>
        <v>343.2717464447021</v>
      </c>
      <c r="P170">
        <f t="shared" si="14"/>
        <v>0</v>
      </c>
    </row>
    <row r="171" spans="1:16" x14ac:dyDescent="0.3">
      <c r="A171" s="1">
        <v>43033</v>
      </c>
      <c r="B171">
        <v>326.75</v>
      </c>
      <c r="C171">
        <v>331.599999904632</v>
      </c>
      <c r="D171">
        <v>4.8499999046325604</v>
      </c>
      <c r="E171" s="1">
        <v>43124</v>
      </c>
      <c r="F171">
        <v>17.2472419738769</v>
      </c>
      <c r="G171">
        <v>4.8499999046325604</v>
      </c>
      <c r="J171">
        <v>4.7946086010000002</v>
      </c>
      <c r="K171" s="1">
        <v>43124</v>
      </c>
      <c r="L171">
        <f t="shared" si="10"/>
        <v>339.48233644467598</v>
      </c>
      <c r="M171">
        <f t="shared" si="11"/>
        <v>323.71766336458802</v>
      </c>
      <c r="N171">
        <f t="shared" si="12"/>
        <v>331.599999904632</v>
      </c>
      <c r="O171">
        <f t="shared" si="13"/>
        <v>343.9972419738769</v>
      </c>
      <c r="P171">
        <f t="shared" si="14"/>
        <v>0</v>
      </c>
    </row>
    <row r="172" spans="1:16" x14ac:dyDescent="0.3">
      <c r="A172" s="1">
        <v>43034</v>
      </c>
      <c r="B172">
        <v>323.75</v>
      </c>
      <c r="C172">
        <v>334.30000019073401</v>
      </c>
      <c r="D172">
        <v>10.550000190734799</v>
      </c>
      <c r="E172" s="1">
        <v>43125</v>
      </c>
      <c r="F172">
        <v>20.818363189697202</v>
      </c>
      <c r="G172">
        <v>10.550000190734799</v>
      </c>
      <c r="J172">
        <v>4.8493324529999997</v>
      </c>
      <c r="K172" s="1">
        <v>43125</v>
      </c>
      <c r="L172">
        <f t="shared" si="10"/>
        <v>342.27230274346601</v>
      </c>
      <c r="M172">
        <f t="shared" si="11"/>
        <v>326.32769763800201</v>
      </c>
      <c r="N172">
        <f t="shared" si="12"/>
        <v>334.30000019073401</v>
      </c>
      <c r="O172">
        <f t="shared" si="13"/>
        <v>344.56836318969721</v>
      </c>
      <c r="P172">
        <f t="shared" si="14"/>
        <v>0</v>
      </c>
    </row>
    <row r="173" spans="1:16" x14ac:dyDescent="0.3">
      <c r="A173" s="1">
        <v>43035</v>
      </c>
      <c r="B173">
        <v>326.85000000000002</v>
      </c>
      <c r="C173">
        <v>335.95000038146901</v>
      </c>
      <c r="D173">
        <v>9.1000003814697195</v>
      </c>
      <c r="E173" s="1">
        <v>43126</v>
      </c>
      <c r="F173">
        <v>22.3643283843994</v>
      </c>
      <c r="G173">
        <v>9.1000003814697195</v>
      </c>
      <c r="J173">
        <v>4.9602066730000001</v>
      </c>
      <c r="K173" s="1">
        <v>43126</v>
      </c>
      <c r="L173">
        <f t="shared" si="10"/>
        <v>344.10458015188101</v>
      </c>
      <c r="M173">
        <f t="shared" si="11"/>
        <v>327.79542061105701</v>
      </c>
      <c r="N173">
        <f t="shared" si="12"/>
        <v>335.95000038146901</v>
      </c>
      <c r="O173">
        <f t="shared" si="13"/>
        <v>349.21432838439944</v>
      </c>
      <c r="P173">
        <f t="shared" si="14"/>
        <v>0</v>
      </c>
    </row>
    <row r="174" spans="1:16" x14ac:dyDescent="0.3">
      <c r="A174" s="1">
        <v>43038</v>
      </c>
      <c r="B174">
        <v>327.45</v>
      </c>
      <c r="C174">
        <v>338.500000190734</v>
      </c>
      <c r="D174">
        <v>11.050000190734799</v>
      </c>
      <c r="E174" s="1">
        <v>43129</v>
      </c>
      <c r="F174">
        <v>19.6302585601806</v>
      </c>
      <c r="G174">
        <v>11.050000190734799</v>
      </c>
      <c r="J174">
        <v>5.139521523</v>
      </c>
      <c r="K174" s="1">
        <v>43129</v>
      </c>
      <c r="L174">
        <f t="shared" si="10"/>
        <v>346.94937357454597</v>
      </c>
      <c r="M174">
        <f t="shared" si="11"/>
        <v>330.05062680692203</v>
      </c>
      <c r="N174">
        <f t="shared" si="12"/>
        <v>338.500000190734</v>
      </c>
      <c r="O174">
        <f t="shared" si="13"/>
        <v>347.0802585601806</v>
      </c>
      <c r="P174">
        <f t="shared" si="14"/>
        <v>0</v>
      </c>
    </row>
    <row r="175" spans="1:16" x14ac:dyDescent="0.3">
      <c r="A175" s="1">
        <v>43039</v>
      </c>
      <c r="B175">
        <v>331.05</v>
      </c>
      <c r="C175">
        <v>333.89999990463201</v>
      </c>
      <c r="D175">
        <v>2.8499999046325599</v>
      </c>
      <c r="E175" s="1">
        <v>43130</v>
      </c>
      <c r="F175">
        <v>15.4855794906616</v>
      </c>
      <c r="G175">
        <v>2.8499999046325599</v>
      </c>
      <c r="J175">
        <v>5.1795488179999998</v>
      </c>
      <c r="K175" s="1">
        <v>43130</v>
      </c>
      <c r="L175">
        <f t="shared" si="10"/>
        <v>342.41517816142402</v>
      </c>
      <c r="M175">
        <f t="shared" si="11"/>
        <v>325.38482164784</v>
      </c>
      <c r="N175">
        <f t="shared" si="12"/>
        <v>333.89999990463201</v>
      </c>
      <c r="O175">
        <f t="shared" si="13"/>
        <v>346.53557949066163</v>
      </c>
      <c r="P175">
        <f t="shared" si="14"/>
        <v>0</v>
      </c>
    </row>
    <row r="176" spans="1:16" x14ac:dyDescent="0.3">
      <c r="A176" s="1">
        <v>43040</v>
      </c>
      <c r="B176">
        <v>336.55</v>
      </c>
      <c r="C176">
        <v>334.45000009536699</v>
      </c>
      <c r="D176">
        <v>-2.0999999046325599</v>
      </c>
      <c r="E176" s="1">
        <v>43131</v>
      </c>
      <c r="F176">
        <v>15.8850440979003</v>
      </c>
      <c r="G176">
        <v>-2.0999999046325599</v>
      </c>
      <c r="J176">
        <v>5.1308128389999998</v>
      </c>
      <c r="K176" s="1">
        <v>43131</v>
      </c>
      <c r="L176">
        <f t="shared" si="10"/>
        <v>342.88505640268301</v>
      </c>
      <c r="M176">
        <f t="shared" si="11"/>
        <v>326.01494378805097</v>
      </c>
      <c r="N176">
        <f t="shared" si="12"/>
        <v>334.45000009536699</v>
      </c>
      <c r="O176">
        <f t="shared" si="13"/>
        <v>352.43504409790029</v>
      </c>
      <c r="P176">
        <f t="shared" si="14"/>
        <v>0</v>
      </c>
    </row>
    <row r="177" spans="1:16" x14ac:dyDescent="0.3">
      <c r="A177" s="1">
        <v>43041</v>
      </c>
      <c r="B177">
        <v>335.05</v>
      </c>
      <c r="C177">
        <v>333.65000002384102</v>
      </c>
      <c r="D177">
        <v>-1.3999999761581401</v>
      </c>
      <c r="E177" s="1">
        <v>43132</v>
      </c>
      <c r="F177">
        <v>19.3190002441406</v>
      </c>
      <c r="G177">
        <v>-1.3999999761581401</v>
      </c>
      <c r="J177">
        <v>5.1028800309999998</v>
      </c>
      <c r="K177" s="1">
        <v>43132</v>
      </c>
      <c r="L177">
        <f t="shared" si="10"/>
        <v>342.03913479480502</v>
      </c>
      <c r="M177">
        <f t="shared" si="11"/>
        <v>325.26086525287701</v>
      </c>
      <c r="N177">
        <f t="shared" si="12"/>
        <v>333.65000002384102</v>
      </c>
      <c r="O177">
        <f t="shared" si="13"/>
        <v>354.36900024414064</v>
      </c>
      <c r="P177">
        <f t="shared" si="14"/>
        <v>0</v>
      </c>
    </row>
    <row r="178" spans="1:16" x14ac:dyDescent="0.3">
      <c r="A178" s="1">
        <v>43042</v>
      </c>
      <c r="B178">
        <v>336.35</v>
      </c>
      <c r="C178">
        <v>327.40000019073398</v>
      </c>
      <c r="D178">
        <v>-8.9499998092651296</v>
      </c>
      <c r="E178" s="1">
        <v>43133</v>
      </c>
      <c r="F178">
        <v>15.938716888427701</v>
      </c>
      <c r="G178">
        <v>-8.9499998092651296</v>
      </c>
      <c r="J178">
        <v>4.9881768869999998</v>
      </c>
      <c r="K178" s="1">
        <v>43133</v>
      </c>
      <c r="L178">
        <f t="shared" si="10"/>
        <v>335.60056299296195</v>
      </c>
      <c r="M178">
        <f t="shared" si="11"/>
        <v>319.199437388506</v>
      </c>
      <c r="N178">
        <f t="shared" si="12"/>
        <v>327.40000019073398</v>
      </c>
      <c r="O178">
        <f t="shared" si="13"/>
        <v>352.2887168884277</v>
      </c>
      <c r="P178">
        <f t="shared" si="14"/>
        <v>0</v>
      </c>
    </row>
    <row r="179" spans="1:16" x14ac:dyDescent="0.3">
      <c r="A179" s="1">
        <v>43045</v>
      </c>
      <c r="B179">
        <v>334.15</v>
      </c>
      <c r="C179">
        <v>323.00000038146902</v>
      </c>
      <c r="D179">
        <v>-11.149999618530201</v>
      </c>
      <c r="E179" s="1">
        <v>43136</v>
      </c>
      <c r="F179">
        <v>15.2912740707397</v>
      </c>
      <c r="G179">
        <v>-11.149999618530201</v>
      </c>
      <c r="J179">
        <v>4.9533709139999997</v>
      </c>
      <c r="K179" s="1">
        <v>43136</v>
      </c>
      <c r="L179">
        <f t="shared" si="10"/>
        <v>331.14334216408503</v>
      </c>
      <c r="M179">
        <f t="shared" si="11"/>
        <v>314.85665859885302</v>
      </c>
      <c r="N179">
        <f t="shared" si="12"/>
        <v>323.00000038146902</v>
      </c>
      <c r="O179">
        <f t="shared" si="13"/>
        <v>349.44127407073967</v>
      </c>
      <c r="P179">
        <f t="shared" si="14"/>
        <v>0</v>
      </c>
    </row>
    <row r="180" spans="1:16" x14ac:dyDescent="0.3">
      <c r="A180" s="1">
        <v>43046</v>
      </c>
      <c r="B180">
        <v>333.75</v>
      </c>
      <c r="C180">
        <v>317.64999961852999</v>
      </c>
      <c r="D180">
        <v>-16.100000381469702</v>
      </c>
      <c r="E180" s="1">
        <v>43137</v>
      </c>
      <c r="F180">
        <v>14.197404861450099</v>
      </c>
      <c r="G180">
        <v>-16.100000381469702</v>
      </c>
      <c r="J180">
        <v>5.0375850580000003</v>
      </c>
      <c r="K180" s="1">
        <v>43137</v>
      </c>
      <c r="L180">
        <f t="shared" si="10"/>
        <v>325.931789453882</v>
      </c>
      <c r="M180">
        <f t="shared" si="11"/>
        <v>309.36820978317797</v>
      </c>
      <c r="N180">
        <f t="shared" si="12"/>
        <v>317.64999961852999</v>
      </c>
      <c r="O180">
        <f t="shared" si="13"/>
        <v>347.94740486145008</v>
      </c>
      <c r="P180">
        <f t="shared" si="14"/>
        <v>0</v>
      </c>
    </row>
    <row r="181" spans="1:16" x14ac:dyDescent="0.3">
      <c r="A181" s="1">
        <v>43047</v>
      </c>
      <c r="B181">
        <v>335.25</v>
      </c>
      <c r="C181">
        <v>309.5</v>
      </c>
      <c r="D181">
        <v>-25.75</v>
      </c>
      <c r="E181" s="1">
        <v>43138</v>
      </c>
      <c r="F181">
        <v>14.7217502593994</v>
      </c>
      <c r="G181">
        <v>-25.75</v>
      </c>
      <c r="J181">
        <v>5.3981002939999998</v>
      </c>
      <c r="K181" s="1">
        <v>43138</v>
      </c>
      <c r="L181">
        <f t="shared" si="10"/>
        <v>318.374476883336</v>
      </c>
      <c r="M181">
        <f t="shared" si="11"/>
        <v>300.625523116664</v>
      </c>
      <c r="N181">
        <f t="shared" si="12"/>
        <v>309.5</v>
      </c>
      <c r="O181">
        <f t="shared" si="13"/>
        <v>349.97175025939941</v>
      </c>
      <c r="P181">
        <f t="shared" si="14"/>
        <v>0</v>
      </c>
    </row>
    <row r="182" spans="1:16" x14ac:dyDescent="0.3">
      <c r="A182" s="1">
        <v>43048</v>
      </c>
      <c r="B182">
        <v>333.65</v>
      </c>
      <c r="C182">
        <v>312.50000038146902</v>
      </c>
      <c r="D182">
        <v>-21.149999618530199</v>
      </c>
      <c r="E182" s="1">
        <v>43139</v>
      </c>
      <c r="F182">
        <v>9.2823371887206996</v>
      </c>
      <c r="G182">
        <v>-21.149999618530199</v>
      </c>
      <c r="J182">
        <v>5.6150264139999999</v>
      </c>
      <c r="K182" s="1">
        <v>43139</v>
      </c>
      <c r="L182">
        <f t="shared" si="10"/>
        <v>321.731103806085</v>
      </c>
      <c r="M182">
        <f t="shared" si="11"/>
        <v>303.26889695685304</v>
      </c>
      <c r="N182">
        <f t="shared" si="12"/>
        <v>312.50000038146902</v>
      </c>
      <c r="O182">
        <f t="shared" si="13"/>
        <v>342.93233718872068</v>
      </c>
      <c r="P182">
        <f t="shared" si="14"/>
        <v>0</v>
      </c>
    </row>
    <row r="183" spans="1:16" x14ac:dyDescent="0.3">
      <c r="A183" s="1">
        <v>43049</v>
      </c>
      <c r="B183">
        <v>332.9</v>
      </c>
      <c r="C183">
        <v>303.85000076293898</v>
      </c>
      <c r="D183">
        <v>-29.049999237060501</v>
      </c>
      <c r="E183" s="1">
        <v>43140</v>
      </c>
      <c r="F183">
        <v>11.5642948150634</v>
      </c>
      <c r="G183">
        <v>-29.049999237060501</v>
      </c>
      <c r="J183">
        <v>6.223028051</v>
      </c>
      <c r="K183" s="1">
        <v>43140</v>
      </c>
      <c r="L183">
        <f t="shared" si="10"/>
        <v>314.08065887878297</v>
      </c>
      <c r="M183">
        <f t="shared" si="11"/>
        <v>293.61934264709498</v>
      </c>
      <c r="N183">
        <f t="shared" si="12"/>
        <v>303.85000076293898</v>
      </c>
      <c r="O183">
        <f t="shared" si="13"/>
        <v>344.4642948150634</v>
      </c>
      <c r="P183">
        <f t="shared" si="14"/>
        <v>0</v>
      </c>
    </row>
    <row r="184" spans="1:16" x14ac:dyDescent="0.3">
      <c r="A184" s="1">
        <v>43052</v>
      </c>
      <c r="B184">
        <v>331.55</v>
      </c>
      <c r="C184">
        <v>308.09999923705999</v>
      </c>
      <c r="D184">
        <v>-23.4500007629394</v>
      </c>
      <c r="E184" s="1">
        <v>43143</v>
      </c>
      <c r="F184">
        <v>16.519309997558501</v>
      </c>
      <c r="G184">
        <v>-23.4500007629394</v>
      </c>
      <c r="J184">
        <v>6.5709688939999999</v>
      </c>
      <c r="K184" s="1">
        <v>43143</v>
      </c>
      <c r="L184">
        <f t="shared" si="10"/>
        <v>318.90267209879596</v>
      </c>
      <c r="M184">
        <f t="shared" si="11"/>
        <v>297.29732637532402</v>
      </c>
      <c r="N184">
        <f t="shared" si="12"/>
        <v>308.09999923705999</v>
      </c>
      <c r="O184">
        <f t="shared" si="13"/>
        <v>348.06930999755849</v>
      </c>
      <c r="P184">
        <f t="shared" si="14"/>
        <v>0</v>
      </c>
    </row>
    <row r="185" spans="1:16" x14ac:dyDescent="0.3">
      <c r="A185" s="1">
        <v>43053</v>
      </c>
      <c r="B185">
        <v>331.3</v>
      </c>
      <c r="C185">
        <v>311.400000381469</v>
      </c>
      <c r="D185">
        <v>-19.899999618530199</v>
      </c>
      <c r="E185" s="1">
        <v>43144</v>
      </c>
      <c r="F185">
        <v>14.418210029601999</v>
      </c>
      <c r="G185">
        <v>-19.899999618530199</v>
      </c>
      <c r="J185">
        <v>6.7675366930000003</v>
      </c>
      <c r="K185" s="1">
        <v>43144</v>
      </c>
      <c r="L185">
        <f t="shared" si="10"/>
        <v>322.52583070476101</v>
      </c>
      <c r="M185">
        <f t="shared" si="11"/>
        <v>300.27417005817699</v>
      </c>
      <c r="N185">
        <f t="shared" si="12"/>
        <v>311.400000381469</v>
      </c>
      <c r="O185">
        <f t="shared" si="13"/>
        <v>345.71821002960201</v>
      </c>
      <c r="P185">
        <f t="shared" si="14"/>
        <v>0</v>
      </c>
    </row>
    <row r="186" spans="1:16" x14ac:dyDescent="0.3">
      <c r="A186" s="1">
        <v>43054</v>
      </c>
      <c r="B186">
        <v>329.15</v>
      </c>
      <c r="C186">
        <v>314.29999961853002</v>
      </c>
      <c r="D186">
        <v>-14.8500003814697</v>
      </c>
      <c r="E186" s="1">
        <v>43145</v>
      </c>
      <c r="F186">
        <v>16.942037582397401</v>
      </c>
      <c r="G186">
        <v>-14.8500003814697</v>
      </c>
      <c r="J186">
        <v>6.8889796680000002</v>
      </c>
      <c r="K186" s="1">
        <v>43145</v>
      </c>
      <c r="L186">
        <f t="shared" si="10"/>
        <v>325.62548219272202</v>
      </c>
      <c r="M186">
        <f t="shared" si="11"/>
        <v>302.97451704433803</v>
      </c>
      <c r="N186">
        <f t="shared" si="12"/>
        <v>314.29999961853002</v>
      </c>
      <c r="O186">
        <f t="shared" si="13"/>
        <v>346.09203758239738</v>
      </c>
      <c r="P186">
        <f t="shared" si="14"/>
        <v>0</v>
      </c>
    </row>
    <row r="187" spans="1:16" x14ac:dyDescent="0.3">
      <c r="A187" s="1">
        <v>43055</v>
      </c>
      <c r="B187">
        <v>331.3</v>
      </c>
      <c r="C187">
        <v>314.3</v>
      </c>
      <c r="D187">
        <v>-17</v>
      </c>
      <c r="E187" s="1">
        <v>43146</v>
      </c>
      <c r="F187">
        <v>14.6163063049316</v>
      </c>
      <c r="G187">
        <v>-17</v>
      </c>
      <c r="J187">
        <v>6.9753420439999996</v>
      </c>
      <c r="K187" s="1">
        <v>43146</v>
      </c>
      <c r="L187">
        <f t="shared" si="10"/>
        <v>325.76746232033599</v>
      </c>
      <c r="M187">
        <f t="shared" si="11"/>
        <v>302.83253767966403</v>
      </c>
      <c r="N187">
        <f t="shared" si="12"/>
        <v>314.3</v>
      </c>
      <c r="O187">
        <f t="shared" si="13"/>
        <v>345.9163063049316</v>
      </c>
      <c r="P187">
        <f t="shared" si="14"/>
        <v>0</v>
      </c>
    </row>
    <row r="188" spans="1:16" x14ac:dyDescent="0.3">
      <c r="A188" s="1">
        <v>43056</v>
      </c>
      <c r="B188">
        <v>330.95</v>
      </c>
      <c r="C188">
        <v>314.30000038146898</v>
      </c>
      <c r="D188">
        <v>-16.649999618530199</v>
      </c>
      <c r="E188" s="1">
        <v>43147</v>
      </c>
      <c r="F188">
        <v>22.267427444458001</v>
      </c>
      <c r="G188">
        <v>-16.649999618530199</v>
      </c>
      <c r="J188">
        <v>7.0558114180000002</v>
      </c>
      <c r="K188" s="1">
        <v>43147</v>
      </c>
      <c r="L188">
        <f t="shared" si="10"/>
        <v>325.89975435266098</v>
      </c>
      <c r="M188">
        <f t="shared" si="11"/>
        <v>302.70024641027697</v>
      </c>
      <c r="N188">
        <f t="shared" si="12"/>
        <v>314.30000038146898</v>
      </c>
      <c r="O188">
        <f t="shared" si="13"/>
        <v>353.217427444458</v>
      </c>
      <c r="P188">
        <f t="shared" si="14"/>
        <v>0</v>
      </c>
    </row>
    <row r="189" spans="1:16" x14ac:dyDescent="0.3">
      <c r="A189" s="1">
        <v>43059</v>
      </c>
      <c r="B189">
        <v>329.45</v>
      </c>
      <c r="C189">
        <v>316.250000190734</v>
      </c>
      <c r="D189">
        <v>-13.199999809265099</v>
      </c>
      <c r="E189" s="1">
        <v>43150</v>
      </c>
      <c r="F189">
        <v>22.231182098388601</v>
      </c>
      <c r="G189">
        <v>-13.199999809265099</v>
      </c>
      <c r="J189">
        <v>7.1057772909999999</v>
      </c>
      <c r="K189" s="1">
        <v>43150</v>
      </c>
      <c r="L189">
        <f t="shared" si="10"/>
        <v>327.93189805713797</v>
      </c>
      <c r="M189">
        <f t="shared" si="11"/>
        <v>304.56810232433003</v>
      </c>
      <c r="N189">
        <f t="shared" si="12"/>
        <v>316.250000190734</v>
      </c>
      <c r="O189">
        <f t="shared" si="13"/>
        <v>351.6811820983886</v>
      </c>
      <c r="P189">
        <f t="shared" si="14"/>
        <v>0</v>
      </c>
    </row>
    <row r="190" spans="1:16" x14ac:dyDescent="0.3">
      <c r="A190" s="1">
        <v>43060</v>
      </c>
      <c r="B190">
        <v>330.85</v>
      </c>
      <c r="C190">
        <v>311.99999961853001</v>
      </c>
      <c r="D190">
        <v>-18.850000381469702</v>
      </c>
      <c r="E190" s="1">
        <v>43151</v>
      </c>
      <c r="F190">
        <v>19.341438293456999</v>
      </c>
      <c r="G190">
        <v>-18.850000381469702</v>
      </c>
      <c r="J190">
        <v>7.2247302480000002</v>
      </c>
      <c r="K190" s="1">
        <v>43151</v>
      </c>
      <c r="L190">
        <f t="shared" si="10"/>
        <v>323.87745614624203</v>
      </c>
      <c r="M190">
        <f t="shared" si="11"/>
        <v>300.122543090818</v>
      </c>
      <c r="N190">
        <f t="shared" si="12"/>
        <v>311.99999961853001</v>
      </c>
      <c r="O190">
        <f t="shared" si="13"/>
        <v>350.191438293457</v>
      </c>
      <c r="P190">
        <f t="shared" si="14"/>
        <v>0</v>
      </c>
    </row>
    <row r="191" spans="1:16" x14ac:dyDescent="0.3">
      <c r="A191" s="1">
        <v>43061</v>
      </c>
      <c r="B191">
        <v>332.55</v>
      </c>
      <c r="C191">
        <v>314.05</v>
      </c>
      <c r="D191">
        <v>-18.5</v>
      </c>
      <c r="E191" s="1">
        <v>43152</v>
      </c>
      <c r="F191">
        <v>23.643445968627901</v>
      </c>
      <c r="G191">
        <v>-18.5</v>
      </c>
      <c r="J191">
        <v>7.2539401589999999</v>
      </c>
      <c r="K191" s="1">
        <v>43152</v>
      </c>
      <c r="L191">
        <f t="shared" si="10"/>
        <v>325.97547762139601</v>
      </c>
      <c r="M191">
        <f t="shared" si="11"/>
        <v>302.12452237860401</v>
      </c>
      <c r="N191">
        <f t="shared" si="12"/>
        <v>314.05</v>
      </c>
      <c r="O191">
        <f t="shared" si="13"/>
        <v>356.19344596862788</v>
      </c>
      <c r="P191">
        <f t="shared" si="14"/>
        <v>0</v>
      </c>
    </row>
    <row r="192" spans="1:16" x14ac:dyDescent="0.3">
      <c r="A192" s="1">
        <v>43062</v>
      </c>
      <c r="B192">
        <v>331.45</v>
      </c>
      <c r="C192">
        <v>311.84999961852998</v>
      </c>
      <c r="D192">
        <v>-19.600000381469702</v>
      </c>
      <c r="E192" s="1">
        <v>43153</v>
      </c>
      <c r="F192">
        <v>14.6625499725341</v>
      </c>
      <c r="G192">
        <v>-19.600000381469702</v>
      </c>
      <c r="J192">
        <v>7.3415822909999999</v>
      </c>
      <c r="K192" s="1">
        <v>43153</v>
      </c>
      <c r="L192">
        <f t="shared" si="10"/>
        <v>323.91956090493397</v>
      </c>
      <c r="M192">
        <f t="shared" si="11"/>
        <v>299.78043833212598</v>
      </c>
      <c r="N192">
        <f t="shared" si="12"/>
        <v>311.84999961852998</v>
      </c>
      <c r="O192">
        <f t="shared" si="13"/>
        <v>346.11254997253411</v>
      </c>
      <c r="P192">
        <f t="shared" si="14"/>
        <v>0</v>
      </c>
    </row>
    <row r="193" spans="1:16" x14ac:dyDescent="0.3">
      <c r="A193" s="1">
        <v>43063</v>
      </c>
      <c r="B193">
        <v>332.25</v>
      </c>
      <c r="C193">
        <v>316.94999980926502</v>
      </c>
      <c r="D193">
        <v>-15.300000190734799</v>
      </c>
      <c r="E193" s="1">
        <v>43154</v>
      </c>
      <c r="F193">
        <v>13.623639106750399</v>
      </c>
      <c r="G193">
        <v>-15.300000190734799</v>
      </c>
      <c r="J193">
        <v>7.3046936469999997</v>
      </c>
      <c r="K193" s="1">
        <v>43154</v>
      </c>
      <c r="L193">
        <f t="shared" si="10"/>
        <v>328.95891616493304</v>
      </c>
      <c r="M193">
        <f t="shared" si="11"/>
        <v>304.941083453597</v>
      </c>
      <c r="N193">
        <f t="shared" si="12"/>
        <v>316.94999980926502</v>
      </c>
      <c r="O193">
        <f t="shared" si="13"/>
        <v>345.87363910675037</v>
      </c>
      <c r="P193">
        <f t="shared" si="14"/>
        <v>0</v>
      </c>
    </row>
    <row r="194" spans="1:16" x14ac:dyDescent="0.3">
      <c r="A194" s="1">
        <v>43066</v>
      </c>
      <c r="B194">
        <v>325.89999999999998</v>
      </c>
      <c r="C194">
        <v>317.099999809265</v>
      </c>
      <c r="D194">
        <v>-8.8000001907348597</v>
      </c>
      <c r="E194" s="1">
        <v>43157</v>
      </c>
      <c r="F194">
        <v>16.7967109680175</v>
      </c>
      <c r="G194">
        <v>-8.8000001907348597</v>
      </c>
      <c r="J194">
        <v>7.3382094889999996</v>
      </c>
      <c r="K194" s="1">
        <v>43157</v>
      </c>
      <c r="L194">
        <f t="shared" si="10"/>
        <v>329.164016209181</v>
      </c>
      <c r="M194">
        <f t="shared" si="11"/>
        <v>305.035983409349</v>
      </c>
      <c r="N194">
        <f t="shared" si="12"/>
        <v>317.099999809265</v>
      </c>
      <c r="O194">
        <f t="shared" si="13"/>
        <v>342.6967109680175</v>
      </c>
      <c r="P194">
        <f t="shared" si="14"/>
        <v>0</v>
      </c>
    </row>
    <row r="195" spans="1:16" x14ac:dyDescent="0.3">
      <c r="A195" s="1">
        <v>43067</v>
      </c>
      <c r="B195">
        <v>327.7</v>
      </c>
      <c r="C195">
        <v>315.750000190734</v>
      </c>
      <c r="D195">
        <v>-11.949999809265099</v>
      </c>
      <c r="E195" s="1">
        <v>43158</v>
      </c>
      <c r="F195">
        <v>15.895297050476</v>
      </c>
      <c r="G195">
        <v>-11.949999809265099</v>
      </c>
      <c r="J195">
        <v>7.3737460639999997</v>
      </c>
      <c r="K195" s="1">
        <v>43158</v>
      </c>
      <c r="L195">
        <f t="shared" ref="L195:L197" si="15">C195+1.644*J195</f>
        <v>327.87243871994997</v>
      </c>
      <c r="M195">
        <f t="shared" ref="M195:M197" si="16">C195-1.644*J195</f>
        <v>303.62756166151803</v>
      </c>
      <c r="N195">
        <f t="shared" ref="N195:N197" si="17">C195</f>
        <v>315.750000190734</v>
      </c>
      <c r="O195">
        <f t="shared" ref="O195:O197" si="18">B195+F195</f>
        <v>343.59529705047601</v>
      </c>
      <c r="P195">
        <f t="shared" ref="P195:P197" si="19">IF(AND(D195&gt;0, AND(O195&lt;L195, O195&gt;M195)),1,0)</f>
        <v>0</v>
      </c>
    </row>
    <row r="196" spans="1:16" x14ac:dyDescent="0.3">
      <c r="A196" s="1">
        <v>43068</v>
      </c>
      <c r="B196">
        <v>327.7</v>
      </c>
      <c r="C196">
        <v>312.45</v>
      </c>
      <c r="D196">
        <v>-15.25</v>
      </c>
      <c r="E196" s="1">
        <v>43159</v>
      </c>
      <c r="F196">
        <v>10.117347717285099</v>
      </c>
      <c r="G196">
        <v>-15.25</v>
      </c>
      <c r="J196">
        <v>7.4649805819999999</v>
      </c>
      <c r="K196" s="1">
        <v>43159</v>
      </c>
      <c r="L196">
        <f t="shared" si="15"/>
        <v>324.722428076808</v>
      </c>
      <c r="M196">
        <f t="shared" si="16"/>
        <v>300.17757192319198</v>
      </c>
      <c r="N196">
        <f t="shared" si="17"/>
        <v>312.45</v>
      </c>
      <c r="O196">
        <f t="shared" si="18"/>
        <v>337.81734771728509</v>
      </c>
      <c r="P196">
        <f t="shared" si="19"/>
        <v>0</v>
      </c>
    </row>
    <row r="197" spans="1:16" x14ac:dyDescent="0.3">
      <c r="A197" s="1">
        <v>43069</v>
      </c>
      <c r="B197">
        <v>322.25</v>
      </c>
      <c r="C197">
        <v>312.44999980926502</v>
      </c>
      <c r="D197">
        <v>-9.8000001907348597</v>
      </c>
      <c r="E197" s="1">
        <v>43160</v>
      </c>
      <c r="F197">
        <v>1.5078740119934</v>
      </c>
      <c r="G197">
        <v>-9.8000001907348597</v>
      </c>
      <c r="J197">
        <v>7.5743936989999998</v>
      </c>
      <c r="K197" s="1">
        <v>43160</v>
      </c>
      <c r="L197">
        <f t="shared" si="15"/>
        <v>324.90230305042104</v>
      </c>
      <c r="M197">
        <f t="shared" si="16"/>
        <v>299.99769656810901</v>
      </c>
      <c r="N197">
        <f t="shared" si="17"/>
        <v>312.44999980926502</v>
      </c>
      <c r="O197">
        <f t="shared" si="18"/>
        <v>323.75787401199341</v>
      </c>
      <c r="P197">
        <f t="shared" si="19"/>
        <v>0</v>
      </c>
    </row>
    <row r="198" spans="1:16" x14ac:dyDescent="0.3">
      <c r="A198" s="1">
        <v>43070</v>
      </c>
      <c r="B198">
        <v>321.85000000000002</v>
      </c>
      <c r="C198">
        <v>308.15000019073398</v>
      </c>
      <c r="D198">
        <v>13.699999809265099</v>
      </c>
      <c r="E198" s="1">
        <v>43161</v>
      </c>
      <c r="F198">
        <v>-0.39165675640106201</v>
      </c>
      <c r="G198">
        <v>-13.699999809265099</v>
      </c>
      <c r="J198">
        <v>7.7846316790000003</v>
      </c>
      <c r="K198" s="1">
        <v>43161</v>
      </c>
      <c r="L198">
        <f t="shared" ref="L198:L261" si="20">C198+1.644*J198</f>
        <v>320.94793467100999</v>
      </c>
      <c r="M198">
        <f t="shared" ref="M198:M261" si="21">C198-1.644*J198</f>
        <v>295.35206571045796</v>
      </c>
      <c r="N198">
        <f t="shared" ref="N198:N261" si="22">C198</f>
        <v>308.15000019073398</v>
      </c>
      <c r="O198">
        <f t="shared" ref="O198:O261" si="23">B198+F198</f>
        <v>321.45834324359896</v>
      </c>
      <c r="P198">
        <f t="shared" ref="P198:P261" si="24">IF(AND(D198&gt;0, AND(O198&lt;L198, O198&gt;M198)),1,0)</f>
        <v>0</v>
      </c>
    </row>
    <row r="199" spans="1:16" x14ac:dyDescent="0.3">
      <c r="A199" s="1">
        <v>43073</v>
      </c>
      <c r="B199">
        <v>325</v>
      </c>
      <c r="C199">
        <v>303.85000038146899</v>
      </c>
      <c r="D199">
        <v>21.149999618530199</v>
      </c>
      <c r="E199" s="1">
        <v>43164</v>
      </c>
      <c r="F199">
        <v>-0.30188882350921598</v>
      </c>
      <c r="G199">
        <v>-21.149999618530199</v>
      </c>
      <c r="J199">
        <v>8.1110012539999996</v>
      </c>
      <c r="K199" s="1">
        <v>43164</v>
      </c>
      <c r="L199">
        <f t="shared" si="20"/>
        <v>317.18448644304499</v>
      </c>
      <c r="M199">
        <f t="shared" si="21"/>
        <v>290.51551431989299</v>
      </c>
      <c r="N199">
        <f t="shared" si="22"/>
        <v>303.85000038146899</v>
      </c>
      <c r="O199">
        <f t="shared" si="23"/>
        <v>324.69811117649078</v>
      </c>
      <c r="P199">
        <f t="shared" si="24"/>
        <v>0</v>
      </c>
    </row>
    <row r="200" spans="1:16" x14ac:dyDescent="0.3">
      <c r="A200" s="1">
        <v>43074</v>
      </c>
      <c r="B200">
        <v>326.60000000000002</v>
      </c>
      <c r="C200">
        <v>310.30000076293902</v>
      </c>
      <c r="D200">
        <v>-16.299999237060501</v>
      </c>
      <c r="E200" s="1">
        <v>43165</v>
      </c>
      <c r="F200">
        <v>1.3789546489715501</v>
      </c>
      <c r="G200">
        <v>-16.299999237060501</v>
      </c>
      <c r="J200">
        <v>8.2212875949999997</v>
      </c>
      <c r="K200" s="1">
        <v>43165</v>
      </c>
      <c r="L200">
        <f t="shared" si="20"/>
        <v>323.81579756911901</v>
      </c>
      <c r="M200">
        <f t="shared" si="21"/>
        <v>296.78420395675903</v>
      </c>
      <c r="N200">
        <f t="shared" si="22"/>
        <v>310.30000076293902</v>
      </c>
      <c r="O200">
        <f t="shared" si="23"/>
        <v>327.97895464897158</v>
      </c>
      <c r="P200">
        <f t="shared" si="24"/>
        <v>0</v>
      </c>
    </row>
    <row r="201" spans="1:16" x14ac:dyDescent="0.3">
      <c r="A201" s="1">
        <v>43075</v>
      </c>
      <c r="B201">
        <v>321.64999999999998</v>
      </c>
      <c r="C201">
        <v>310.45000019073399</v>
      </c>
      <c r="D201">
        <v>-11.199999809265099</v>
      </c>
      <c r="E201" s="1">
        <v>43166</v>
      </c>
      <c r="F201">
        <v>6.3033099174499503</v>
      </c>
      <c r="G201">
        <v>-11.199999809265099</v>
      </c>
      <c r="J201">
        <v>8.3422529989999994</v>
      </c>
      <c r="K201" s="1">
        <v>43166</v>
      </c>
      <c r="L201">
        <f t="shared" si="20"/>
        <v>324.16466412108997</v>
      </c>
      <c r="M201">
        <f t="shared" si="21"/>
        <v>296.73533626037801</v>
      </c>
      <c r="N201">
        <f t="shared" si="22"/>
        <v>310.45000019073399</v>
      </c>
      <c r="O201">
        <f t="shared" si="23"/>
        <v>327.95330991744993</v>
      </c>
      <c r="P201">
        <f t="shared" si="24"/>
        <v>0</v>
      </c>
    </row>
    <row r="202" spans="1:16" x14ac:dyDescent="0.3">
      <c r="A202" s="1">
        <v>43076</v>
      </c>
      <c r="B202">
        <v>320.7</v>
      </c>
      <c r="C202">
        <v>313.60000009536702</v>
      </c>
      <c r="D202">
        <v>-7.0999999046325604</v>
      </c>
      <c r="E202" s="1">
        <v>43167</v>
      </c>
      <c r="F202">
        <v>7.3861217498779297</v>
      </c>
      <c r="G202">
        <v>-7.0999999046325604</v>
      </c>
      <c r="J202">
        <v>8.4016687900000004</v>
      </c>
      <c r="K202" s="1">
        <v>43167</v>
      </c>
      <c r="L202">
        <f t="shared" si="20"/>
        <v>327.41234358612701</v>
      </c>
      <c r="M202">
        <f t="shared" si="21"/>
        <v>299.78765660460704</v>
      </c>
      <c r="N202">
        <f t="shared" si="22"/>
        <v>313.60000009536702</v>
      </c>
      <c r="O202">
        <f t="shared" si="23"/>
        <v>328.08612174987792</v>
      </c>
      <c r="P202">
        <f t="shared" si="24"/>
        <v>0</v>
      </c>
    </row>
    <row r="203" spans="1:16" x14ac:dyDescent="0.3">
      <c r="A203" s="1">
        <v>43077</v>
      </c>
      <c r="B203">
        <v>321.39999999999998</v>
      </c>
      <c r="C203">
        <v>317.099999809265</v>
      </c>
      <c r="D203">
        <v>-4.3000001907348597</v>
      </c>
      <c r="E203" s="1">
        <v>43168</v>
      </c>
      <c r="F203">
        <v>4.2781105041503897</v>
      </c>
      <c r="G203">
        <v>-4.3000001907348597</v>
      </c>
      <c r="J203">
        <v>8.4200109340000004</v>
      </c>
      <c r="K203" s="1">
        <v>43168</v>
      </c>
      <c r="L203">
        <f t="shared" si="20"/>
        <v>330.94249778476097</v>
      </c>
      <c r="M203">
        <f t="shared" si="21"/>
        <v>303.25750183376903</v>
      </c>
      <c r="N203">
        <f t="shared" si="22"/>
        <v>317.099999809265</v>
      </c>
      <c r="O203">
        <f t="shared" si="23"/>
        <v>325.67811050415037</v>
      </c>
      <c r="P203">
        <f t="shared" si="24"/>
        <v>0</v>
      </c>
    </row>
    <row r="204" spans="1:16" x14ac:dyDescent="0.3">
      <c r="A204" s="1">
        <v>43080</v>
      </c>
      <c r="B204">
        <v>321.5</v>
      </c>
      <c r="C204">
        <v>320.10000002384101</v>
      </c>
      <c r="D204">
        <v>-1.3999999761581401</v>
      </c>
      <c r="E204" s="1">
        <v>43171</v>
      </c>
      <c r="F204">
        <v>1.3591216802596999</v>
      </c>
      <c r="G204">
        <v>-1.3999999761581401</v>
      </c>
      <c r="J204">
        <v>8.4218353159999992</v>
      </c>
      <c r="K204" s="1">
        <v>43171</v>
      </c>
      <c r="L204">
        <f t="shared" si="20"/>
        <v>333.94549728334499</v>
      </c>
      <c r="M204">
        <f t="shared" si="21"/>
        <v>306.25450276433702</v>
      </c>
      <c r="N204">
        <f t="shared" si="22"/>
        <v>320.10000002384101</v>
      </c>
      <c r="O204">
        <f t="shared" si="23"/>
        <v>322.8591216802597</v>
      </c>
      <c r="P204">
        <f t="shared" si="24"/>
        <v>0</v>
      </c>
    </row>
    <row r="205" spans="1:16" x14ac:dyDescent="0.3">
      <c r="A205" s="1">
        <v>43081</v>
      </c>
      <c r="B205">
        <v>320.45</v>
      </c>
      <c r="C205">
        <v>321.49999995231599</v>
      </c>
      <c r="D205">
        <v>1.04999995231628</v>
      </c>
      <c r="E205" s="1">
        <v>43172</v>
      </c>
      <c r="F205">
        <v>7.70781993865966</v>
      </c>
      <c r="G205">
        <v>1.04999995231628</v>
      </c>
      <c r="J205">
        <v>8.4208132720000002</v>
      </c>
      <c r="K205" s="1">
        <v>43172</v>
      </c>
      <c r="L205">
        <f t="shared" si="20"/>
        <v>335.34381697148399</v>
      </c>
      <c r="M205">
        <f t="shared" si="21"/>
        <v>307.65618293314799</v>
      </c>
      <c r="N205">
        <f t="shared" si="22"/>
        <v>321.49999995231599</v>
      </c>
      <c r="O205">
        <f t="shared" si="23"/>
        <v>328.15781993865966</v>
      </c>
      <c r="P205">
        <f t="shared" si="24"/>
        <v>1</v>
      </c>
    </row>
    <row r="206" spans="1:16" x14ac:dyDescent="0.3">
      <c r="A206" s="1">
        <v>43082</v>
      </c>
      <c r="B206">
        <v>322.85000000000002</v>
      </c>
      <c r="C206">
        <v>321.550000047683</v>
      </c>
      <c r="D206">
        <v>-1.29999995231628</v>
      </c>
      <c r="E206" s="1">
        <v>43173</v>
      </c>
      <c r="F206">
        <v>1.0071051120757999</v>
      </c>
      <c r="G206">
        <v>-1.29999995231628</v>
      </c>
      <c r="J206">
        <v>8.4191190099999993</v>
      </c>
      <c r="K206" s="1">
        <v>43173</v>
      </c>
      <c r="L206">
        <f t="shared" si="20"/>
        <v>335.39103170012299</v>
      </c>
      <c r="M206">
        <f t="shared" si="21"/>
        <v>307.70896839524301</v>
      </c>
      <c r="N206">
        <f t="shared" si="22"/>
        <v>321.550000047683</v>
      </c>
      <c r="O206">
        <f t="shared" si="23"/>
        <v>323.85710511207583</v>
      </c>
      <c r="P206">
        <f t="shared" si="24"/>
        <v>0</v>
      </c>
    </row>
    <row r="207" spans="1:16" x14ac:dyDescent="0.3">
      <c r="A207" s="1">
        <v>43083</v>
      </c>
      <c r="B207">
        <v>324.3</v>
      </c>
      <c r="C207">
        <v>322.84999995231601</v>
      </c>
      <c r="D207">
        <v>-1.45000004768371</v>
      </c>
      <c r="E207" s="1">
        <v>43174</v>
      </c>
      <c r="F207">
        <v>3.9969003200531001</v>
      </c>
      <c r="G207">
        <v>-1.45000004768371</v>
      </c>
      <c r="J207">
        <v>8.4134700549999994</v>
      </c>
      <c r="K207" s="1">
        <v>43174</v>
      </c>
      <c r="L207">
        <f t="shared" si="20"/>
        <v>336.68174472273603</v>
      </c>
      <c r="M207">
        <f t="shared" si="21"/>
        <v>309.018255181896</v>
      </c>
      <c r="N207">
        <f t="shared" si="22"/>
        <v>322.84999995231601</v>
      </c>
      <c r="O207">
        <f t="shared" si="23"/>
        <v>328.29690032005311</v>
      </c>
      <c r="P207">
        <f t="shared" si="24"/>
        <v>0</v>
      </c>
    </row>
    <row r="208" spans="1:16" x14ac:dyDescent="0.3">
      <c r="A208" s="1">
        <v>43084</v>
      </c>
      <c r="B208">
        <v>322.75</v>
      </c>
      <c r="C208">
        <v>322</v>
      </c>
      <c r="D208">
        <v>-0.75</v>
      </c>
      <c r="E208" s="1">
        <v>43175</v>
      </c>
      <c r="F208">
        <v>7.4220728874206499</v>
      </c>
      <c r="G208">
        <v>-0.75</v>
      </c>
      <c r="J208">
        <v>8.4121949600000008</v>
      </c>
      <c r="K208" s="1">
        <v>43175</v>
      </c>
      <c r="L208">
        <f t="shared" si="20"/>
        <v>335.82964851423998</v>
      </c>
      <c r="M208">
        <f t="shared" si="21"/>
        <v>308.17035148576002</v>
      </c>
      <c r="N208">
        <f t="shared" si="22"/>
        <v>322</v>
      </c>
      <c r="O208">
        <f t="shared" si="23"/>
        <v>330.17207288742065</v>
      </c>
      <c r="P208">
        <f t="shared" si="24"/>
        <v>0</v>
      </c>
    </row>
    <row r="209" spans="1:16" x14ac:dyDescent="0.3">
      <c r="A209" s="1">
        <v>43087</v>
      </c>
      <c r="B209">
        <v>324.14999999999998</v>
      </c>
      <c r="C209">
        <v>319.849999809265</v>
      </c>
      <c r="D209">
        <v>-4.3000001907348597</v>
      </c>
      <c r="E209" s="1">
        <v>43178</v>
      </c>
      <c r="F209">
        <v>6.5151886940002397</v>
      </c>
      <c r="G209">
        <v>-4.3000001907348597</v>
      </c>
      <c r="J209">
        <v>8.4075674189999994</v>
      </c>
      <c r="K209" s="1">
        <v>43178</v>
      </c>
      <c r="L209">
        <f t="shared" si="20"/>
        <v>333.67204064610098</v>
      </c>
      <c r="M209">
        <f t="shared" si="21"/>
        <v>306.02795897242902</v>
      </c>
      <c r="N209">
        <f t="shared" si="22"/>
        <v>319.849999809265</v>
      </c>
      <c r="O209">
        <f t="shared" si="23"/>
        <v>330.66518869400022</v>
      </c>
      <c r="P209">
        <f t="shared" si="24"/>
        <v>0</v>
      </c>
    </row>
    <row r="210" spans="1:16" x14ac:dyDescent="0.3">
      <c r="A210" s="1">
        <v>43088</v>
      </c>
      <c r="B210">
        <v>323.85000000000002</v>
      </c>
      <c r="C210">
        <v>321.300000047683</v>
      </c>
      <c r="D210">
        <v>-2.5499999523162802</v>
      </c>
      <c r="E210" s="1">
        <v>43179</v>
      </c>
      <c r="F210">
        <v>4.3249044418334899</v>
      </c>
      <c r="G210">
        <v>-2.5499999523162802</v>
      </c>
      <c r="J210">
        <v>8.4018458220000003</v>
      </c>
      <c r="K210" s="1">
        <v>43179</v>
      </c>
      <c r="L210">
        <f t="shared" si="20"/>
        <v>335.11263457905102</v>
      </c>
      <c r="M210">
        <f t="shared" si="21"/>
        <v>307.48736551631498</v>
      </c>
      <c r="N210">
        <f t="shared" si="22"/>
        <v>321.300000047683</v>
      </c>
      <c r="O210">
        <f t="shared" si="23"/>
        <v>328.17490444183352</v>
      </c>
      <c r="P210">
        <f t="shared" si="24"/>
        <v>0</v>
      </c>
    </row>
    <row r="211" spans="1:16" x14ac:dyDescent="0.3">
      <c r="A211" s="1">
        <v>43089</v>
      </c>
      <c r="B211">
        <v>323.55</v>
      </c>
      <c r="C211">
        <v>321.59999995231601</v>
      </c>
      <c r="D211">
        <v>-1.95000004768371</v>
      </c>
      <c r="E211" s="1">
        <v>43180</v>
      </c>
      <c r="F211">
        <v>7.0868053436279297</v>
      </c>
      <c r="G211">
        <v>-1.95000004768371</v>
      </c>
      <c r="J211">
        <v>8.3973422559999999</v>
      </c>
      <c r="K211" s="1">
        <v>43180</v>
      </c>
      <c r="L211">
        <f t="shared" si="20"/>
        <v>335.40523062118001</v>
      </c>
      <c r="M211">
        <f t="shared" si="21"/>
        <v>307.79476928345201</v>
      </c>
      <c r="N211">
        <f t="shared" si="22"/>
        <v>321.59999995231601</v>
      </c>
      <c r="O211">
        <f t="shared" si="23"/>
        <v>330.63680534362794</v>
      </c>
      <c r="P211">
        <f t="shared" si="24"/>
        <v>0</v>
      </c>
    </row>
    <row r="212" spans="1:16" x14ac:dyDescent="0.3">
      <c r="A212" s="1">
        <v>43090</v>
      </c>
      <c r="B212">
        <v>316.85000000000002</v>
      </c>
      <c r="C212">
        <v>322.10000000000002</v>
      </c>
      <c r="D212">
        <v>5.25</v>
      </c>
      <c r="E212" s="1">
        <v>43181</v>
      </c>
      <c r="F212">
        <v>8.3378019332885707</v>
      </c>
      <c r="G212">
        <v>5.25</v>
      </c>
      <c r="J212">
        <v>8.3789192900000007</v>
      </c>
      <c r="K212" s="1">
        <v>43181</v>
      </c>
      <c r="L212">
        <f t="shared" si="20"/>
        <v>335.87494331276002</v>
      </c>
      <c r="M212">
        <f t="shared" si="21"/>
        <v>308.32505668724002</v>
      </c>
      <c r="N212">
        <f t="shared" si="22"/>
        <v>322.10000000000002</v>
      </c>
      <c r="O212">
        <f t="shared" si="23"/>
        <v>325.1878019332886</v>
      </c>
      <c r="P212">
        <f t="shared" si="24"/>
        <v>1</v>
      </c>
    </row>
    <row r="213" spans="1:16" x14ac:dyDescent="0.3">
      <c r="A213" s="1">
        <v>43091</v>
      </c>
      <c r="B213">
        <v>318.5</v>
      </c>
      <c r="C213">
        <v>311.5</v>
      </c>
      <c r="D213">
        <v>-7</v>
      </c>
      <c r="E213" s="1">
        <v>43182</v>
      </c>
      <c r="F213">
        <v>8.2448348999023402</v>
      </c>
      <c r="G213">
        <v>-7</v>
      </c>
      <c r="J213">
        <v>8.4613439439999993</v>
      </c>
      <c r="K213" s="1">
        <v>43182</v>
      </c>
      <c r="L213">
        <f t="shared" si="20"/>
        <v>325.41044944393599</v>
      </c>
      <c r="M213">
        <f t="shared" si="21"/>
        <v>297.58955055606401</v>
      </c>
      <c r="N213">
        <f t="shared" si="22"/>
        <v>311.5</v>
      </c>
      <c r="O213">
        <f t="shared" si="23"/>
        <v>326.74483489990234</v>
      </c>
      <c r="P213">
        <f t="shared" si="24"/>
        <v>0</v>
      </c>
    </row>
    <row r="214" spans="1:16" x14ac:dyDescent="0.3">
      <c r="A214" s="1">
        <v>43094</v>
      </c>
      <c r="B214">
        <v>318.5</v>
      </c>
      <c r="C214">
        <v>314.5</v>
      </c>
      <c r="D214">
        <v>-4</v>
      </c>
      <c r="E214" s="1">
        <v>43185</v>
      </c>
      <c r="F214">
        <v>9.6353416442871094</v>
      </c>
      <c r="G214">
        <v>-4</v>
      </c>
      <c r="J214">
        <v>8.4964367529999993</v>
      </c>
      <c r="K214" s="1">
        <v>43185</v>
      </c>
      <c r="L214">
        <f t="shared" si="20"/>
        <v>328.46814202193201</v>
      </c>
      <c r="M214">
        <f t="shared" si="21"/>
        <v>300.53185797806799</v>
      </c>
      <c r="N214">
        <f t="shared" si="22"/>
        <v>314.5</v>
      </c>
      <c r="O214">
        <f t="shared" si="23"/>
        <v>328.13534164428711</v>
      </c>
      <c r="P214">
        <f t="shared" si="24"/>
        <v>0</v>
      </c>
    </row>
    <row r="215" spans="1:16" x14ac:dyDescent="0.3">
      <c r="A215" s="1">
        <v>43095</v>
      </c>
      <c r="B215">
        <v>317.45</v>
      </c>
      <c r="C215">
        <v>315.15000004768302</v>
      </c>
      <c r="D215">
        <v>-2.2999999523162802</v>
      </c>
      <c r="E215" s="1">
        <v>43186</v>
      </c>
      <c r="F215">
        <v>10.0885210037231</v>
      </c>
      <c r="G215">
        <v>-2.2999999523162802</v>
      </c>
      <c r="J215">
        <v>8.5171890680000004</v>
      </c>
      <c r="K215" s="1">
        <v>43186</v>
      </c>
      <c r="L215">
        <f t="shared" si="20"/>
        <v>329.15225887547501</v>
      </c>
      <c r="M215">
        <f t="shared" si="21"/>
        <v>301.14774121989103</v>
      </c>
      <c r="N215">
        <f t="shared" si="22"/>
        <v>315.15000004768302</v>
      </c>
      <c r="O215">
        <f t="shared" si="23"/>
        <v>327.53852100372308</v>
      </c>
      <c r="P215">
        <f t="shared" si="24"/>
        <v>0</v>
      </c>
    </row>
    <row r="216" spans="1:16" x14ac:dyDescent="0.3">
      <c r="A216" s="1">
        <v>43096</v>
      </c>
      <c r="B216">
        <v>321.2</v>
      </c>
      <c r="C216">
        <v>310.64999980926501</v>
      </c>
      <c r="D216">
        <v>-10.550000190734799</v>
      </c>
      <c r="E216" s="1">
        <v>43187</v>
      </c>
      <c r="F216">
        <v>12.255754470825099</v>
      </c>
      <c r="G216">
        <v>-10.550000190734799</v>
      </c>
      <c r="J216">
        <v>8.6170227179999994</v>
      </c>
      <c r="K216" s="1">
        <v>43187</v>
      </c>
      <c r="L216">
        <f t="shared" si="20"/>
        <v>324.81638515765701</v>
      </c>
      <c r="M216">
        <f t="shared" si="21"/>
        <v>296.48361446087301</v>
      </c>
      <c r="N216">
        <f t="shared" si="22"/>
        <v>310.64999980926501</v>
      </c>
      <c r="O216">
        <f t="shared" si="23"/>
        <v>333.45575447082507</v>
      </c>
      <c r="P216">
        <f t="shared" si="24"/>
        <v>0</v>
      </c>
    </row>
    <row r="217" spans="1:16" x14ac:dyDescent="0.3">
      <c r="A217" s="1">
        <v>43097</v>
      </c>
      <c r="B217">
        <v>325.64999999999998</v>
      </c>
      <c r="C217">
        <v>314.45000019073399</v>
      </c>
      <c r="D217">
        <v>-11.199999809265099</v>
      </c>
      <c r="E217" s="1">
        <v>43188</v>
      </c>
      <c r="F217">
        <v>9.7825012207031197</v>
      </c>
      <c r="G217">
        <v>-11.199999809265099</v>
      </c>
      <c r="J217">
        <v>8.6352032039999997</v>
      </c>
      <c r="K217" s="1">
        <v>43188</v>
      </c>
      <c r="L217">
        <f t="shared" si="20"/>
        <v>328.64627425811</v>
      </c>
      <c r="M217">
        <f t="shared" si="21"/>
        <v>300.25372612335798</v>
      </c>
      <c r="N217">
        <f t="shared" si="22"/>
        <v>314.45000019073399</v>
      </c>
      <c r="O217">
        <f t="shared" si="23"/>
        <v>335.4325012207031</v>
      </c>
      <c r="P217">
        <f t="shared" si="24"/>
        <v>0</v>
      </c>
    </row>
    <row r="218" spans="1:16" x14ac:dyDescent="0.3">
      <c r="A218" s="1">
        <v>43098</v>
      </c>
      <c r="B218">
        <v>325.64999999999998</v>
      </c>
      <c r="C218">
        <v>314.54999961853002</v>
      </c>
      <c r="D218">
        <v>-11.1000003814697</v>
      </c>
      <c r="E218" s="1">
        <v>43189</v>
      </c>
      <c r="F218">
        <v>8.7544097900390607</v>
      </c>
      <c r="G218">
        <v>-11.1000003814697</v>
      </c>
      <c r="J218">
        <v>8.6487421970000007</v>
      </c>
      <c r="K218" s="1">
        <v>43189</v>
      </c>
      <c r="L218">
        <f t="shared" si="20"/>
        <v>328.76853179039801</v>
      </c>
      <c r="M218">
        <f t="shared" si="21"/>
        <v>300.33146744666203</v>
      </c>
      <c r="N218">
        <f t="shared" si="22"/>
        <v>314.54999961853002</v>
      </c>
      <c r="O218">
        <f t="shared" si="23"/>
        <v>334.40440979003904</v>
      </c>
      <c r="P218">
        <f t="shared" si="24"/>
        <v>0</v>
      </c>
    </row>
    <row r="219" spans="1:16" x14ac:dyDescent="0.3">
      <c r="A219" s="1">
        <v>43101</v>
      </c>
      <c r="B219">
        <v>325.64999999999998</v>
      </c>
      <c r="C219">
        <v>313.45000019073399</v>
      </c>
      <c r="D219">
        <v>-12.199999809265099</v>
      </c>
      <c r="E219" s="1">
        <v>43192</v>
      </c>
      <c r="F219">
        <v>6.0508108139037997</v>
      </c>
      <c r="G219">
        <v>-12.199999809265099</v>
      </c>
      <c r="J219">
        <v>8.6717526760000005</v>
      </c>
      <c r="K219" s="1">
        <v>43192</v>
      </c>
      <c r="L219">
        <f t="shared" si="20"/>
        <v>327.70636159007796</v>
      </c>
      <c r="M219">
        <f t="shared" si="21"/>
        <v>299.19363879139001</v>
      </c>
      <c r="N219">
        <f t="shared" si="22"/>
        <v>313.45000019073399</v>
      </c>
      <c r="O219">
        <f t="shared" si="23"/>
        <v>331.70081081390379</v>
      </c>
      <c r="P219">
        <f t="shared" si="24"/>
        <v>0</v>
      </c>
    </row>
    <row r="220" spans="1:16" x14ac:dyDescent="0.3">
      <c r="A220" s="1">
        <v>43102</v>
      </c>
      <c r="B220">
        <v>326.5</v>
      </c>
      <c r="C220">
        <v>312.80000019073401</v>
      </c>
      <c r="D220">
        <v>-13.699999809265099</v>
      </c>
      <c r="E220" s="1">
        <v>43193</v>
      </c>
      <c r="F220">
        <v>3.35775470733642</v>
      </c>
      <c r="G220">
        <v>-13.699999809265099</v>
      </c>
      <c r="J220">
        <v>8.6901519890000003</v>
      </c>
      <c r="K220" s="1">
        <v>43193</v>
      </c>
      <c r="L220">
        <f t="shared" si="20"/>
        <v>327.08661006065</v>
      </c>
      <c r="M220">
        <f t="shared" si="21"/>
        <v>298.51339032081802</v>
      </c>
      <c r="N220">
        <f t="shared" si="22"/>
        <v>312.80000019073401</v>
      </c>
      <c r="O220">
        <f t="shared" si="23"/>
        <v>329.85775470733643</v>
      </c>
      <c r="P220">
        <f t="shared" si="24"/>
        <v>0</v>
      </c>
    </row>
    <row r="221" spans="1:16" x14ac:dyDescent="0.3">
      <c r="A221" s="1">
        <v>43103</v>
      </c>
      <c r="B221">
        <v>327.7</v>
      </c>
      <c r="C221">
        <v>307.55000038146898</v>
      </c>
      <c r="D221">
        <v>-20.149999618530199</v>
      </c>
      <c r="E221" s="1">
        <v>43194</v>
      </c>
      <c r="F221">
        <v>4.52943658828735</v>
      </c>
      <c r="G221">
        <v>-20.149999618530199</v>
      </c>
      <c r="J221">
        <v>8.7806458519999993</v>
      </c>
      <c r="K221" s="1">
        <v>43194</v>
      </c>
      <c r="L221">
        <f t="shared" si="20"/>
        <v>321.98538216215695</v>
      </c>
      <c r="M221">
        <f t="shared" si="21"/>
        <v>293.114618600781</v>
      </c>
      <c r="N221">
        <f t="shared" si="22"/>
        <v>307.55000038146898</v>
      </c>
      <c r="O221">
        <f t="shared" si="23"/>
        <v>332.22943658828734</v>
      </c>
      <c r="P221">
        <f t="shared" si="24"/>
        <v>0</v>
      </c>
    </row>
    <row r="222" spans="1:16" x14ac:dyDescent="0.3">
      <c r="A222" s="1">
        <v>43104</v>
      </c>
      <c r="B222">
        <v>325</v>
      </c>
      <c r="C222">
        <v>312.94999980926502</v>
      </c>
      <c r="D222">
        <v>-12.050000190734799</v>
      </c>
      <c r="E222" s="1">
        <v>43195</v>
      </c>
      <c r="F222">
        <v>10.4478244781494</v>
      </c>
      <c r="G222">
        <v>-12.050000190734799</v>
      </c>
      <c r="J222">
        <v>8.8002029589999999</v>
      </c>
      <c r="K222" s="1">
        <v>43195</v>
      </c>
      <c r="L222">
        <f t="shared" si="20"/>
        <v>327.417533473861</v>
      </c>
      <c r="M222">
        <f t="shared" si="21"/>
        <v>298.48246614466905</v>
      </c>
      <c r="N222">
        <f t="shared" si="22"/>
        <v>312.94999980926502</v>
      </c>
      <c r="O222">
        <f t="shared" si="23"/>
        <v>335.44782447814941</v>
      </c>
      <c r="P222">
        <f t="shared" si="24"/>
        <v>0</v>
      </c>
    </row>
    <row r="223" spans="1:16" x14ac:dyDescent="0.3">
      <c r="A223" s="1">
        <v>43105</v>
      </c>
      <c r="B223">
        <v>328.95</v>
      </c>
      <c r="C223">
        <v>311.2</v>
      </c>
      <c r="D223">
        <v>-17.75</v>
      </c>
      <c r="E223" s="1">
        <v>43196</v>
      </c>
      <c r="F223">
        <v>7.8312430381774902</v>
      </c>
      <c r="G223">
        <v>-17.75</v>
      </c>
      <c r="J223">
        <v>8.7870778289999993</v>
      </c>
      <c r="K223" s="1">
        <v>43196</v>
      </c>
      <c r="L223">
        <f t="shared" si="20"/>
        <v>325.64595595087599</v>
      </c>
      <c r="M223">
        <f t="shared" si="21"/>
        <v>296.75404404912399</v>
      </c>
      <c r="N223">
        <f t="shared" si="22"/>
        <v>311.2</v>
      </c>
      <c r="O223">
        <f t="shared" si="23"/>
        <v>336.78124303817748</v>
      </c>
      <c r="P223">
        <f t="shared" si="24"/>
        <v>0</v>
      </c>
    </row>
    <row r="224" spans="1:16" x14ac:dyDescent="0.3">
      <c r="A224" s="1">
        <v>43108</v>
      </c>
      <c r="B224">
        <v>331.25</v>
      </c>
      <c r="C224">
        <v>312.950000762939</v>
      </c>
      <c r="D224">
        <v>-18.299999237060501</v>
      </c>
      <c r="E224" s="1">
        <v>43199</v>
      </c>
      <c r="F224">
        <v>7.3062357902526802</v>
      </c>
      <c r="G224">
        <v>-18.299999237060501</v>
      </c>
      <c r="J224">
        <v>8.6981674269999996</v>
      </c>
      <c r="K224" s="1">
        <v>43199</v>
      </c>
      <c r="L224">
        <f t="shared" si="20"/>
        <v>327.24978801292701</v>
      </c>
      <c r="M224">
        <f t="shared" si="21"/>
        <v>298.65021351295098</v>
      </c>
      <c r="N224">
        <f t="shared" si="22"/>
        <v>312.950000762939</v>
      </c>
      <c r="O224">
        <f t="shared" si="23"/>
        <v>338.55623579025269</v>
      </c>
      <c r="P224">
        <f t="shared" si="24"/>
        <v>0</v>
      </c>
    </row>
    <row r="225" spans="1:16" x14ac:dyDescent="0.3">
      <c r="A225" s="1">
        <v>43109</v>
      </c>
      <c r="B225">
        <v>330.45</v>
      </c>
      <c r="C225">
        <v>313.45</v>
      </c>
      <c r="D225">
        <v>-17</v>
      </c>
      <c r="E225" s="1">
        <v>43200</v>
      </c>
      <c r="F225">
        <v>5.7123208045959402</v>
      </c>
      <c r="G225">
        <v>-17</v>
      </c>
      <c r="J225">
        <v>8.6110026469999994</v>
      </c>
      <c r="K225" s="1">
        <v>43200</v>
      </c>
      <c r="L225">
        <f t="shared" si="20"/>
        <v>327.60648835166796</v>
      </c>
      <c r="M225">
        <f t="shared" si="21"/>
        <v>299.29351164833201</v>
      </c>
      <c r="N225">
        <f t="shared" si="22"/>
        <v>313.45</v>
      </c>
      <c r="O225">
        <f t="shared" si="23"/>
        <v>336.16232080459594</v>
      </c>
      <c r="P225">
        <f t="shared" si="24"/>
        <v>0</v>
      </c>
    </row>
    <row r="226" spans="1:16" x14ac:dyDescent="0.3">
      <c r="A226" s="1">
        <v>43110</v>
      </c>
      <c r="B226">
        <v>327.85</v>
      </c>
      <c r="C226">
        <v>312.45000038146901</v>
      </c>
      <c r="D226">
        <v>-15.399999618530201</v>
      </c>
      <c r="E226" s="1">
        <v>43201</v>
      </c>
      <c r="F226">
        <v>11.3157615661621</v>
      </c>
      <c r="G226">
        <v>-15.399999618530201</v>
      </c>
      <c r="J226">
        <v>8.5749008320000009</v>
      </c>
      <c r="K226" s="1">
        <v>43201</v>
      </c>
      <c r="L226">
        <f t="shared" si="20"/>
        <v>326.54713734927702</v>
      </c>
      <c r="M226">
        <f t="shared" si="21"/>
        <v>298.352863413661</v>
      </c>
      <c r="N226">
        <f t="shared" si="22"/>
        <v>312.45000038146901</v>
      </c>
      <c r="O226">
        <f t="shared" si="23"/>
        <v>339.16576156616213</v>
      </c>
      <c r="P226">
        <f t="shared" si="24"/>
        <v>0</v>
      </c>
    </row>
    <row r="227" spans="1:16" x14ac:dyDescent="0.3">
      <c r="A227" s="1">
        <v>43111</v>
      </c>
      <c r="B227">
        <v>326.5</v>
      </c>
      <c r="C227">
        <v>311.75</v>
      </c>
      <c r="D227">
        <v>-14.75</v>
      </c>
      <c r="E227" s="1">
        <v>43202</v>
      </c>
      <c r="F227">
        <v>8.4248876571655202</v>
      </c>
      <c r="G227">
        <v>-14.75</v>
      </c>
      <c r="J227">
        <v>8.5615552539999999</v>
      </c>
      <c r="K227" s="1">
        <v>43202</v>
      </c>
      <c r="L227">
        <f t="shared" si="20"/>
        <v>325.82519683757602</v>
      </c>
      <c r="M227">
        <f t="shared" si="21"/>
        <v>297.67480316242398</v>
      </c>
      <c r="N227">
        <f t="shared" si="22"/>
        <v>311.75</v>
      </c>
      <c r="O227">
        <f t="shared" si="23"/>
        <v>334.92488765716553</v>
      </c>
      <c r="P227">
        <f t="shared" si="24"/>
        <v>0</v>
      </c>
    </row>
    <row r="228" spans="1:16" x14ac:dyDescent="0.3">
      <c r="A228" s="1">
        <v>43112</v>
      </c>
      <c r="B228">
        <v>326.85000000000002</v>
      </c>
      <c r="C228">
        <v>314.45000038146901</v>
      </c>
      <c r="D228">
        <v>-12.399999618530201</v>
      </c>
      <c r="E228" s="1">
        <v>43203</v>
      </c>
      <c r="F228">
        <v>9.2507991790771396</v>
      </c>
      <c r="G228">
        <v>-12.399999618530201</v>
      </c>
      <c r="J228">
        <v>8.5109402159999998</v>
      </c>
      <c r="K228" s="1">
        <v>43203</v>
      </c>
      <c r="L228">
        <f t="shared" si="20"/>
        <v>328.44198609657303</v>
      </c>
      <c r="M228">
        <f t="shared" si="21"/>
        <v>300.45801466636499</v>
      </c>
      <c r="N228">
        <f t="shared" si="22"/>
        <v>314.45000038146901</v>
      </c>
      <c r="O228">
        <f t="shared" si="23"/>
        <v>336.10079917907717</v>
      </c>
      <c r="P228">
        <f t="shared" si="24"/>
        <v>0</v>
      </c>
    </row>
    <row r="229" spans="1:16" x14ac:dyDescent="0.3">
      <c r="A229" s="1">
        <v>43115</v>
      </c>
      <c r="B229">
        <v>327.3</v>
      </c>
      <c r="C229">
        <v>314.3</v>
      </c>
      <c r="D229">
        <v>-13</v>
      </c>
      <c r="E229" s="1">
        <v>43206</v>
      </c>
      <c r="F229">
        <v>5.30100297927856</v>
      </c>
      <c r="G229">
        <v>-13</v>
      </c>
      <c r="J229">
        <v>8.4492516450000004</v>
      </c>
      <c r="K229" s="1">
        <v>43206</v>
      </c>
      <c r="L229">
        <f t="shared" si="20"/>
        <v>328.19056970437998</v>
      </c>
      <c r="M229">
        <f t="shared" si="21"/>
        <v>300.40943029562004</v>
      </c>
      <c r="N229">
        <f t="shared" si="22"/>
        <v>314.3</v>
      </c>
      <c r="O229">
        <f t="shared" si="23"/>
        <v>332.60100297927858</v>
      </c>
      <c r="P229">
        <f t="shared" si="24"/>
        <v>0</v>
      </c>
    </row>
    <row r="230" spans="1:16" x14ac:dyDescent="0.3">
      <c r="A230" s="1">
        <v>43116</v>
      </c>
      <c r="B230">
        <v>330.5</v>
      </c>
      <c r="C230">
        <v>314.39999961852999</v>
      </c>
      <c r="D230">
        <v>-16.100000381469702</v>
      </c>
      <c r="E230" s="1">
        <v>43207</v>
      </c>
      <c r="F230">
        <v>7.1665081977844203</v>
      </c>
      <c r="G230">
        <v>-16.100000381469702</v>
      </c>
      <c r="J230">
        <v>8.3157281179999991</v>
      </c>
      <c r="K230" s="1">
        <v>43207</v>
      </c>
      <c r="L230">
        <f t="shared" si="20"/>
        <v>328.071056644522</v>
      </c>
      <c r="M230">
        <f t="shared" si="21"/>
        <v>300.72894259253798</v>
      </c>
      <c r="N230">
        <f t="shared" si="22"/>
        <v>314.39999961852999</v>
      </c>
      <c r="O230">
        <f t="shared" si="23"/>
        <v>337.66650819778442</v>
      </c>
      <c r="P230">
        <f t="shared" si="24"/>
        <v>0</v>
      </c>
    </row>
    <row r="231" spans="1:16" x14ac:dyDescent="0.3">
      <c r="A231" s="1">
        <v>43117</v>
      </c>
      <c r="B231">
        <v>329.2</v>
      </c>
      <c r="C231">
        <v>317.59999961852998</v>
      </c>
      <c r="D231">
        <v>-11.6000003814697</v>
      </c>
      <c r="E231" s="1">
        <v>43208</v>
      </c>
      <c r="F231">
        <v>4.4761848449706996</v>
      </c>
      <c r="G231">
        <v>-11.6000003814697</v>
      </c>
      <c r="J231">
        <v>8.1924887910000006</v>
      </c>
      <c r="K231" s="1">
        <v>43208</v>
      </c>
      <c r="L231">
        <f t="shared" si="20"/>
        <v>331.06845119093396</v>
      </c>
      <c r="M231">
        <f t="shared" si="21"/>
        <v>304.131548046126</v>
      </c>
      <c r="N231">
        <f t="shared" si="22"/>
        <v>317.59999961852998</v>
      </c>
      <c r="O231">
        <f t="shared" si="23"/>
        <v>333.67618484497069</v>
      </c>
      <c r="P231">
        <f t="shared" si="24"/>
        <v>0</v>
      </c>
    </row>
    <row r="232" spans="1:16" x14ac:dyDescent="0.3">
      <c r="A232" s="1">
        <v>43118</v>
      </c>
      <c r="B232">
        <v>329.4</v>
      </c>
      <c r="C232">
        <v>319.00000038146902</v>
      </c>
      <c r="D232">
        <v>-10.399999618530201</v>
      </c>
      <c r="E232" s="1">
        <v>43209</v>
      </c>
      <c r="F232">
        <v>10.189388275146401</v>
      </c>
      <c r="G232">
        <v>-10.399999618530201</v>
      </c>
      <c r="J232">
        <v>8.0608853479999993</v>
      </c>
      <c r="K232" s="1">
        <v>43209</v>
      </c>
      <c r="L232">
        <f t="shared" si="20"/>
        <v>332.25209589358104</v>
      </c>
      <c r="M232">
        <f t="shared" si="21"/>
        <v>305.747904869357</v>
      </c>
      <c r="N232">
        <f t="shared" si="22"/>
        <v>319.00000038146902</v>
      </c>
      <c r="O232">
        <f t="shared" si="23"/>
        <v>339.5893882751464</v>
      </c>
      <c r="P232">
        <f t="shared" si="24"/>
        <v>0</v>
      </c>
    </row>
    <row r="233" spans="1:16" x14ac:dyDescent="0.3">
      <c r="A233" s="1">
        <v>43119</v>
      </c>
      <c r="B233">
        <v>329.6</v>
      </c>
      <c r="C233">
        <v>316.90000019073398</v>
      </c>
      <c r="D233">
        <v>-12.699999809265099</v>
      </c>
      <c r="E233" s="1">
        <v>43210</v>
      </c>
      <c r="F233">
        <v>8.0281400680541992</v>
      </c>
      <c r="G233">
        <v>-12.699999809265099</v>
      </c>
      <c r="J233">
        <v>7.916586015</v>
      </c>
      <c r="K233" s="1">
        <v>43210</v>
      </c>
      <c r="L233">
        <f t="shared" si="20"/>
        <v>329.91486759939397</v>
      </c>
      <c r="M233">
        <f t="shared" si="21"/>
        <v>303.88513278207398</v>
      </c>
      <c r="N233">
        <f t="shared" si="22"/>
        <v>316.90000019073398</v>
      </c>
      <c r="O233">
        <f t="shared" si="23"/>
        <v>337.62814006805422</v>
      </c>
      <c r="P233">
        <f t="shared" si="24"/>
        <v>0</v>
      </c>
    </row>
    <row r="234" spans="1:16" x14ac:dyDescent="0.3">
      <c r="A234" s="1">
        <v>43122</v>
      </c>
      <c r="B234">
        <v>326.25</v>
      </c>
      <c r="C234">
        <v>317.10000038146899</v>
      </c>
      <c r="D234">
        <v>-9.1499996185302699</v>
      </c>
      <c r="E234" s="1">
        <v>43213</v>
      </c>
      <c r="F234">
        <v>2.4118010997772199</v>
      </c>
      <c r="G234">
        <v>-9.1499996185302699</v>
      </c>
      <c r="J234">
        <v>7.8366797359999998</v>
      </c>
      <c r="K234" s="1">
        <v>43213</v>
      </c>
      <c r="L234">
        <f t="shared" si="20"/>
        <v>329.98350186745301</v>
      </c>
      <c r="M234">
        <f t="shared" si="21"/>
        <v>304.21649889548496</v>
      </c>
      <c r="N234">
        <f t="shared" si="22"/>
        <v>317.10000038146899</v>
      </c>
      <c r="O234">
        <f t="shared" si="23"/>
        <v>328.66180109977722</v>
      </c>
      <c r="P234">
        <f t="shared" si="24"/>
        <v>0</v>
      </c>
    </row>
    <row r="235" spans="1:16" x14ac:dyDescent="0.3">
      <c r="A235" s="1">
        <v>43123</v>
      </c>
      <c r="B235">
        <v>331.25</v>
      </c>
      <c r="C235">
        <v>315.35000038146899</v>
      </c>
      <c r="D235">
        <v>-15.899999618530201</v>
      </c>
      <c r="E235" s="1">
        <v>43214</v>
      </c>
      <c r="F235">
        <v>6.0782194137573198</v>
      </c>
      <c r="G235">
        <v>-15.899999618530201</v>
      </c>
      <c r="J235">
        <v>7.6369487869999997</v>
      </c>
      <c r="K235" s="1">
        <v>43214</v>
      </c>
      <c r="L235">
        <f t="shared" si="20"/>
        <v>327.90514418729697</v>
      </c>
      <c r="M235">
        <f t="shared" si="21"/>
        <v>302.79485657564101</v>
      </c>
      <c r="N235">
        <f t="shared" si="22"/>
        <v>315.35000038146899</v>
      </c>
      <c r="O235">
        <f t="shared" si="23"/>
        <v>337.32821941375732</v>
      </c>
      <c r="P235">
        <f t="shared" si="24"/>
        <v>0</v>
      </c>
    </row>
    <row r="236" spans="1:16" x14ac:dyDescent="0.3">
      <c r="A236" s="1">
        <v>43124</v>
      </c>
      <c r="B236">
        <v>331.6</v>
      </c>
      <c r="C236">
        <v>312.95000038146901</v>
      </c>
      <c r="D236">
        <v>-18.649999618530199</v>
      </c>
      <c r="E236" s="1">
        <v>43215</v>
      </c>
      <c r="F236">
        <v>10.6114587783813</v>
      </c>
      <c r="G236">
        <v>-18.649999618530199</v>
      </c>
      <c r="J236">
        <v>7.4256570220000002</v>
      </c>
      <c r="K236" s="1">
        <v>43215</v>
      </c>
      <c r="L236">
        <f t="shared" si="20"/>
        <v>325.15778052563701</v>
      </c>
      <c r="M236">
        <f t="shared" si="21"/>
        <v>300.74222023730101</v>
      </c>
      <c r="N236">
        <f t="shared" si="22"/>
        <v>312.95000038146901</v>
      </c>
      <c r="O236">
        <f t="shared" si="23"/>
        <v>342.21145877838131</v>
      </c>
      <c r="P236">
        <f t="shared" si="24"/>
        <v>0</v>
      </c>
    </row>
    <row r="237" spans="1:16" x14ac:dyDescent="0.3">
      <c r="A237" s="1">
        <v>43125</v>
      </c>
      <c r="B237">
        <v>334.3</v>
      </c>
      <c r="C237">
        <v>317.44999961853</v>
      </c>
      <c r="D237">
        <v>-16.850000381469702</v>
      </c>
      <c r="E237" s="1">
        <v>43216</v>
      </c>
      <c r="F237">
        <v>9.8116035461425692</v>
      </c>
      <c r="G237">
        <v>-16.850000381469702</v>
      </c>
      <c r="J237">
        <v>7.0869971669999998</v>
      </c>
      <c r="K237" s="1">
        <v>43216</v>
      </c>
      <c r="L237">
        <f t="shared" si="20"/>
        <v>329.101022961078</v>
      </c>
      <c r="M237">
        <f t="shared" si="21"/>
        <v>305.798976275982</v>
      </c>
      <c r="N237">
        <f t="shared" si="22"/>
        <v>317.44999961853</v>
      </c>
      <c r="O237">
        <f t="shared" si="23"/>
        <v>344.11160354614259</v>
      </c>
      <c r="P237">
        <f t="shared" si="24"/>
        <v>0</v>
      </c>
    </row>
    <row r="238" spans="1:16" x14ac:dyDescent="0.3">
      <c r="A238" s="1">
        <v>43126</v>
      </c>
      <c r="B238">
        <v>335.95</v>
      </c>
      <c r="C238">
        <v>320.14999980926501</v>
      </c>
      <c r="D238">
        <v>-15.800000190734799</v>
      </c>
      <c r="E238" s="1">
        <v>43217</v>
      </c>
      <c r="F238">
        <v>11.362157821655201</v>
      </c>
      <c r="G238">
        <v>-15.800000190734799</v>
      </c>
      <c r="J238">
        <v>6.6647602240000001</v>
      </c>
      <c r="K238" s="1">
        <v>43217</v>
      </c>
      <c r="L238">
        <f t="shared" si="20"/>
        <v>331.10686561752101</v>
      </c>
      <c r="M238">
        <f t="shared" si="21"/>
        <v>309.19313400100901</v>
      </c>
      <c r="N238">
        <f t="shared" si="22"/>
        <v>320.14999980926501</v>
      </c>
      <c r="O238">
        <f t="shared" si="23"/>
        <v>347.31215782165521</v>
      </c>
      <c r="P238">
        <f t="shared" si="24"/>
        <v>0</v>
      </c>
    </row>
    <row r="239" spans="1:16" x14ac:dyDescent="0.3">
      <c r="A239" s="1">
        <v>43129</v>
      </c>
      <c r="B239">
        <v>338.5</v>
      </c>
      <c r="C239">
        <v>321.64999961852999</v>
      </c>
      <c r="D239">
        <v>-16.850000381469702</v>
      </c>
      <c r="E239" s="1">
        <v>43220</v>
      </c>
      <c r="F239">
        <v>13.916519165039</v>
      </c>
      <c r="G239">
        <v>-16.850000381469702</v>
      </c>
      <c r="J239">
        <v>6.0850732609999998</v>
      </c>
      <c r="K239" s="1">
        <v>43220</v>
      </c>
      <c r="L239">
        <f t="shared" si="20"/>
        <v>331.65386005961398</v>
      </c>
      <c r="M239">
        <f t="shared" si="21"/>
        <v>311.646139177446</v>
      </c>
      <c r="N239">
        <f t="shared" si="22"/>
        <v>321.64999961852999</v>
      </c>
      <c r="O239">
        <f t="shared" si="23"/>
        <v>352.41651916503901</v>
      </c>
      <c r="P239">
        <f t="shared" si="24"/>
        <v>0</v>
      </c>
    </row>
    <row r="240" spans="1:16" x14ac:dyDescent="0.3">
      <c r="A240" s="1">
        <v>43130</v>
      </c>
      <c r="B240">
        <v>333.9</v>
      </c>
      <c r="C240">
        <v>321.64999999999998</v>
      </c>
      <c r="D240">
        <v>-12.25</v>
      </c>
      <c r="E240" s="1">
        <v>43221</v>
      </c>
      <c r="F240">
        <v>21.351289749145501</v>
      </c>
      <c r="G240">
        <v>-12.25</v>
      </c>
      <c r="J240">
        <v>5.6964619799999996</v>
      </c>
      <c r="K240" s="1">
        <v>43221</v>
      </c>
      <c r="L240">
        <f t="shared" si="20"/>
        <v>331.01498349511996</v>
      </c>
      <c r="M240">
        <f t="shared" si="21"/>
        <v>312.28501650487999</v>
      </c>
      <c r="N240">
        <f t="shared" si="22"/>
        <v>321.64999999999998</v>
      </c>
      <c r="O240">
        <f t="shared" si="23"/>
        <v>355.25128974914549</v>
      </c>
      <c r="P240">
        <f t="shared" si="24"/>
        <v>0</v>
      </c>
    </row>
    <row r="241" spans="1:16" x14ac:dyDescent="0.3">
      <c r="A241" s="1">
        <v>43131</v>
      </c>
      <c r="B241">
        <v>334.45</v>
      </c>
      <c r="C241">
        <v>319.750000190734</v>
      </c>
      <c r="D241">
        <v>-14.699999809265099</v>
      </c>
      <c r="E241" s="1">
        <v>43222</v>
      </c>
      <c r="F241">
        <v>19.395078659057599</v>
      </c>
      <c r="G241">
        <v>-14.699999809265099</v>
      </c>
      <c r="J241">
        <v>5.2125234039999997</v>
      </c>
      <c r="K241" s="1">
        <v>43222</v>
      </c>
      <c r="L241">
        <f t="shared" si="20"/>
        <v>328.31938866691002</v>
      </c>
      <c r="M241">
        <f t="shared" si="21"/>
        <v>311.18061171455798</v>
      </c>
      <c r="N241">
        <f t="shared" si="22"/>
        <v>319.750000190734</v>
      </c>
      <c r="O241">
        <f t="shared" si="23"/>
        <v>353.84507865905761</v>
      </c>
      <c r="P241">
        <f t="shared" si="24"/>
        <v>0</v>
      </c>
    </row>
    <row r="242" spans="1:16" x14ac:dyDescent="0.3">
      <c r="A242" s="1">
        <v>43132</v>
      </c>
      <c r="B242">
        <v>333.65</v>
      </c>
      <c r="C242">
        <v>318.00000038146902</v>
      </c>
      <c r="D242">
        <v>-15.649999618530201</v>
      </c>
      <c r="E242" s="1">
        <v>43223</v>
      </c>
      <c r="F242">
        <v>12.2487182617187</v>
      </c>
      <c r="G242">
        <v>-15.649999618530201</v>
      </c>
      <c r="J242">
        <v>4.6967351329999998</v>
      </c>
      <c r="K242" s="1">
        <v>43223</v>
      </c>
      <c r="L242">
        <f t="shared" si="20"/>
        <v>325.72143294012102</v>
      </c>
      <c r="M242">
        <f t="shared" si="21"/>
        <v>310.27856782281702</v>
      </c>
      <c r="N242">
        <f t="shared" si="22"/>
        <v>318.00000038146902</v>
      </c>
      <c r="O242">
        <f t="shared" si="23"/>
        <v>345.89871826171867</v>
      </c>
      <c r="P242">
        <f t="shared" si="24"/>
        <v>0</v>
      </c>
    </row>
    <row r="243" spans="1:16" x14ac:dyDescent="0.3">
      <c r="A243" s="1">
        <v>43133</v>
      </c>
      <c r="B243">
        <v>327.39999999999998</v>
      </c>
      <c r="C243">
        <v>316.45000019073399</v>
      </c>
      <c r="D243">
        <v>-10.949999809265099</v>
      </c>
      <c r="E243" s="1">
        <v>43224</v>
      </c>
      <c r="F243">
        <v>23.567213058471602</v>
      </c>
      <c r="G243">
        <v>-10.949999809265099</v>
      </c>
      <c r="J243">
        <v>4.4438398640000001</v>
      </c>
      <c r="K243" s="1">
        <v>43224</v>
      </c>
      <c r="L243">
        <f t="shared" si="20"/>
        <v>323.75567292714999</v>
      </c>
      <c r="M243">
        <f t="shared" si="21"/>
        <v>309.14432745431799</v>
      </c>
      <c r="N243">
        <f t="shared" si="22"/>
        <v>316.45000019073399</v>
      </c>
      <c r="O243">
        <f t="shared" si="23"/>
        <v>350.9672130584716</v>
      </c>
      <c r="P243">
        <f t="shared" si="24"/>
        <v>0</v>
      </c>
    </row>
    <row r="244" spans="1:16" x14ac:dyDescent="0.3">
      <c r="A244" s="1">
        <v>43136</v>
      </c>
      <c r="B244">
        <v>323</v>
      </c>
      <c r="C244">
        <v>316.44999980926502</v>
      </c>
      <c r="D244">
        <v>-6.5500001907348597</v>
      </c>
      <c r="E244" s="1">
        <v>43227</v>
      </c>
      <c r="F244">
        <v>33.340858459472599</v>
      </c>
      <c r="G244">
        <v>-6.5500001907348597</v>
      </c>
      <c r="J244">
        <v>4.3344813259999997</v>
      </c>
      <c r="K244" s="1">
        <v>43227</v>
      </c>
      <c r="L244">
        <f t="shared" si="20"/>
        <v>323.57588710920902</v>
      </c>
      <c r="M244">
        <f t="shared" si="21"/>
        <v>309.32411250932103</v>
      </c>
      <c r="N244">
        <f t="shared" si="22"/>
        <v>316.44999980926502</v>
      </c>
      <c r="O244">
        <f t="shared" si="23"/>
        <v>356.3408584594726</v>
      </c>
      <c r="P244">
        <f t="shared" si="24"/>
        <v>0</v>
      </c>
    </row>
    <row r="245" spans="1:16" x14ac:dyDescent="0.3">
      <c r="A245" s="1">
        <v>43137</v>
      </c>
      <c r="B245">
        <v>317.64999999999998</v>
      </c>
      <c r="C245">
        <v>314.05000009536701</v>
      </c>
      <c r="D245">
        <v>-3.5999999046325599</v>
      </c>
      <c r="E245" s="1">
        <v>43228</v>
      </c>
      <c r="F245">
        <v>19.148485183715799</v>
      </c>
      <c r="G245">
        <v>-3.5999999046325599</v>
      </c>
      <c r="J245">
        <v>4.3228760350000002</v>
      </c>
      <c r="K245" s="1">
        <v>43228</v>
      </c>
      <c r="L245">
        <f t="shared" si="20"/>
        <v>321.156808296907</v>
      </c>
      <c r="M245">
        <f t="shared" si="21"/>
        <v>306.94319189382702</v>
      </c>
      <c r="N245">
        <f t="shared" si="22"/>
        <v>314.05000009536701</v>
      </c>
      <c r="O245">
        <f t="shared" si="23"/>
        <v>336.7984851837158</v>
      </c>
      <c r="P245">
        <f t="shared" si="24"/>
        <v>0</v>
      </c>
    </row>
    <row r="246" spans="1:16" x14ac:dyDescent="0.3">
      <c r="A246" s="1">
        <v>43138</v>
      </c>
      <c r="B246">
        <v>309.5</v>
      </c>
      <c r="C246">
        <v>314.05000019073401</v>
      </c>
      <c r="D246">
        <v>4.5500001907348597</v>
      </c>
      <c r="E246" s="1">
        <v>43229</v>
      </c>
      <c r="F246">
        <v>21.115499496459901</v>
      </c>
      <c r="G246">
        <v>4.5500001907348597</v>
      </c>
      <c r="J246">
        <v>4.270104034</v>
      </c>
      <c r="K246" s="1">
        <v>43229</v>
      </c>
      <c r="L246">
        <f t="shared" si="20"/>
        <v>321.07005122263001</v>
      </c>
      <c r="M246">
        <f t="shared" si="21"/>
        <v>307.02994915883801</v>
      </c>
      <c r="N246">
        <f t="shared" si="22"/>
        <v>314.05000019073401</v>
      </c>
      <c r="O246">
        <f t="shared" si="23"/>
        <v>330.6154994964599</v>
      </c>
      <c r="P246">
        <f t="shared" si="24"/>
        <v>0</v>
      </c>
    </row>
    <row r="247" spans="1:16" x14ac:dyDescent="0.3">
      <c r="A247" s="1">
        <v>43139</v>
      </c>
      <c r="B247">
        <v>312.5</v>
      </c>
      <c r="C247">
        <v>315.849999904632</v>
      </c>
      <c r="D247">
        <v>3.3499999046325599</v>
      </c>
      <c r="E247" s="1">
        <v>43230</v>
      </c>
      <c r="F247">
        <v>27.6696758270263</v>
      </c>
      <c r="G247">
        <v>3.3499999046325599</v>
      </c>
      <c r="J247">
        <v>4.2596718290000002</v>
      </c>
      <c r="K247" s="1">
        <v>43230</v>
      </c>
      <c r="L247">
        <f t="shared" si="20"/>
        <v>322.852900391508</v>
      </c>
      <c r="M247">
        <f t="shared" si="21"/>
        <v>308.847099417756</v>
      </c>
      <c r="N247">
        <f t="shared" si="22"/>
        <v>315.849999904632</v>
      </c>
      <c r="O247">
        <f t="shared" si="23"/>
        <v>340.16967582702631</v>
      </c>
      <c r="P247">
        <f t="shared" si="24"/>
        <v>0</v>
      </c>
    </row>
    <row r="248" spans="1:16" x14ac:dyDescent="0.3">
      <c r="A248" s="1">
        <v>43140</v>
      </c>
      <c r="B248">
        <v>303.85000000000002</v>
      </c>
      <c r="C248">
        <v>317.65000019073398</v>
      </c>
      <c r="D248">
        <v>13.800000190734799</v>
      </c>
      <c r="E248" s="1">
        <v>43231</v>
      </c>
      <c r="F248">
        <v>26.831893920898398</v>
      </c>
      <c r="G248">
        <v>13.800000190734799</v>
      </c>
      <c r="J248">
        <v>4.0304241100000002</v>
      </c>
      <c r="K248" s="1">
        <v>43231</v>
      </c>
      <c r="L248">
        <f t="shared" si="20"/>
        <v>324.276017427574</v>
      </c>
      <c r="M248">
        <f t="shared" si="21"/>
        <v>311.02398295389395</v>
      </c>
      <c r="N248">
        <f t="shared" si="22"/>
        <v>317.65000019073398</v>
      </c>
      <c r="O248">
        <f t="shared" si="23"/>
        <v>330.6818939208984</v>
      </c>
      <c r="P248">
        <f t="shared" si="24"/>
        <v>0</v>
      </c>
    </row>
    <row r="249" spans="1:16" x14ac:dyDescent="0.3">
      <c r="A249" s="1">
        <v>43143</v>
      </c>
      <c r="B249">
        <v>308.10000000000002</v>
      </c>
      <c r="C249">
        <v>316.85000000000002</v>
      </c>
      <c r="D249">
        <v>8.75</v>
      </c>
      <c r="E249" s="1">
        <v>43234</v>
      </c>
      <c r="F249">
        <v>19.6234836578369</v>
      </c>
      <c r="G249">
        <v>8.75</v>
      </c>
      <c r="J249">
        <v>3.9323719659999998</v>
      </c>
      <c r="K249" s="1">
        <v>43234</v>
      </c>
      <c r="L249">
        <f t="shared" si="20"/>
        <v>323.31481951210401</v>
      </c>
      <c r="M249">
        <f t="shared" si="21"/>
        <v>310.38518048789604</v>
      </c>
      <c r="N249">
        <f t="shared" si="22"/>
        <v>316.85000000000002</v>
      </c>
      <c r="O249">
        <f t="shared" si="23"/>
        <v>327.72348365783694</v>
      </c>
      <c r="P249">
        <f t="shared" si="24"/>
        <v>0</v>
      </c>
    </row>
    <row r="250" spans="1:16" x14ac:dyDescent="0.3">
      <c r="A250" s="1">
        <v>43144</v>
      </c>
      <c r="B250">
        <v>311.39999999999998</v>
      </c>
      <c r="C250">
        <v>313.74999990463198</v>
      </c>
      <c r="D250">
        <v>2.3499999046325599</v>
      </c>
      <c r="E250" s="1">
        <v>43235</v>
      </c>
      <c r="F250">
        <v>18.400571823120099</v>
      </c>
      <c r="G250">
        <v>2.3499999046325599</v>
      </c>
      <c r="J250">
        <v>3.905756046</v>
      </c>
      <c r="K250" s="1">
        <v>43235</v>
      </c>
      <c r="L250">
        <f t="shared" si="20"/>
        <v>320.17106284425597</v>
      </c>
      <c r="M250">
        <f t="shared" si="21"/>
        <v>307.32893696500798</v>
      </c>
      <c r="N250">
        <f t="shared" si="22"/>
        <v>313.74999990463198</v>
      </c>
      <c r="O250">
        <f t="shared" si="23"/>
        <v>329.80057182312009</v>
      </c>
      <c r="P250">
        <f t="shared" si="24"/>
        <v>0</v>
      </c>
    </row>
    <row r="251" spans="1:16" x14ac:dyDescent="0.3">
      <c r="A251" s="1">
        <v>43145</v>
      </c>
      <c r="B251">
        <v>314.3</v>
      </c>
      <c r="C251">
        <v>314.90000002384102</v>
      </c>
      <c r="D251">
        <v>0.60000002384185702</v>
      </c>
      <c r="E251" s="1">
        <v>43236</v>
      </c>
      <c r="F251">
        <v>6.9683809280395499</v>
      </c>
      <c r="G251">
        <v>0.60000002384185702</v>
      </c>
      <c r="J251">
        <v>3.9037429650000002</v>
      </c>
      <c r="K251" s="1">
        <v>43236</v>
      </c>
      <c r="L251">
        <f t="shared" si="20"/>
        <v>321.31775345830101</v>
      </c>
      <c r="M251">
        <f t="shared" si="21"/>
        <v>308.48224658938102</v>
      </c>
      <c r="N251">
        <f t="shared" si="22"/>
        <v>314.90000002384102</v>
      </c>
      <c r="O251">
        <f t="shared" si="23"/>
        <v>321.26838092803956</v>
      </c>
      <c r="P251">
        <f t="shared" si="24"/>
        <v>1</v>
      </c>
    </row>
    <row r="252" spans="1:16" x14ac:dyDescent="0.3">
      <c r="A252" s="1">
        <v>43146</v>
      </c>
      <c r="B252">
        <v>314.3</v>
      </c>
      <c r="C252">
        <v>313.40000002384102</v>
      </c>
      <c r="D252">
        <v>-0.89999997615814198</v>
      </c>
      <c r="E252" s="1">
        <v>43237</v>
      </c>
      <c r="F252">
        <v>9.0367164611816406</v>
      </c>
      <c r="G252">
        <v>-0.89999997615814198</v>
      </c>
      <c r="J252">
        <v>3.9094526100000002</v>
      </c>
      <c r="K252" s="1">
        <v>43237</v>
      </c>
      <c r="L252">
        <f t="shared" si="20"/>
        <v>319.82714011468101</v>
      </c>
      <c r="M252">
        <f t="shared" si="21"/>
        <v>306.97285993300102</v>
      </c>
      <c r="N252">
        <f t="shared" si="22"/>
        <v>313.40000002384102</v>
      </c>
      <c r="O252">
        <f t="shared" si="23"/>
        <v>323.33671646118165</v>
      </c>
      <c r="P252">
        <f t="shared" si="24"/>
        <v>0</v>
      </c>
    </row>
    <row r="253" spans="1:16" x14ac:dyDescent="0.3">
      <c r="A253" s="1">
        <v>43147</v>
      </c>
      <c r="B253">
        <v>314.3</v>
      </c>
      <c r="C253">
        <v>314.74999998807903</v>
      </c>
      <c r="D253">
        <v>0.44999998807907099</v>
      </c>
      <c r="E253" s="1">
        <v>43238</v>
      </c>
      <c r="F253">
        <v>8.1037788391113192</v>
      </c>
      <c r="G253">
        <v>0.44999998807907099</v>
      </c>
      <c r="J253">
        <v>3.9078197619999999</v>
      </c>
      <c r="K253" s="1">
        <v>43238</v>
      </c>
      <c r="L253">
        <f t="shared" si="20"/>
        <v>321.17445567680704</v>
      </c>
      <c r="M253">
        <f t="shared" si="21"/>
        <v>308.32554429935101</v>
      </c>
      <c r="N253">
        <f t="shared" si="22"/>
        <v>314.74999998807903</v>
      </c>
      <c r="O253">
        <f t="shared" si="23"/>
        <v>322.40377883911134</v>
      </c>
      <c r="P253">
        <f t="shared" si="24"/>
        <v>0</v>
      </c>
    </row>
    <row r="254" spans="1:16" x14ac:dyDescent="0.3">
      <c r="A254" s="1">
        <v>43150</v>
      </c>
      <c r="B254">
        <v>316.25</v>
      </c>
      <c r="C254">
        <v>315.10000002384101</v>
      </c>
      <c r="D254">
        <v>-1.1499999761581401</v>
      </c>
      <c r="E254" s="1">
        <v>43241</v>
      </c>
      <c r="F254">
        <v>9.2544202804565394</v>
      </c>
      <c r="G254">
        <v>-1.1499999761581401</v>
      </c>
      <c r="J254">
        <v>3.906680669</v>
      </c>
      <c r="K254" s="1">
        <v>43241</v>
      </c>
      <c r="L254">
        <f t="shared" si="20"/>
        <v>321.522583043677</v>
      </c>
      <c r="M254">
        <f t="shared" si="21"/>
        <v>308.67741700400501</v>
      </c>
      <c r="N254">
        <f t="shared" si="22"/>
        <v>315.10000002384101</v>
      </c>
      <c r="O254">
        <f t="shared" si="23"/>
        <v>325.50442028045654</v>
      </c>
      <c r="P254">
        <f t="shared" si="24"/>
        <v>0</v>
      </c>
    </row>
    <row r="255" spans="1:16" x14ac:dyDescent="0.3">
      <c r="A255" s="1">
        <v>43151</v>
      </c>
      <c r="B255">
        <v>312</v>
      </c>
      <c r="C255">
        <v>315.099999904632</v>
      </c>
      <c r="D255">
        <v>3.0999999046325599</v>
      </c>
      <c r="E255" s="1">
        <v>43242</v>
      </c>
      <c r="F255">
        <v>13.1915893554687</v>
      </c>
      <c r="G255">
        <v>3.0999999046325599</v>
      </c>
      <c r="J255">
        <v>3.8831477620000001</v>
      </c>
      <c r="K255" s="1">
        <v>43242</v>
      </c>
      <c r="L255">
        <f t="shared" si="20"/>
        <v>321.48389482535998</v>
      </c>
      <c r="M255">
        <f t="shared" si="21"/>
        <v>308.71610498390402</v>
      </c>
      <c r="N255">
        <f t="shared" si="22"/>
        <v>315.099999904632</v>
      </c>
      <c r="O255">
        <f t="shared" si="23"/>
        <v>325.19158935546869</v>
      </c>
      <c r="P255">
        <f t="shared" si="24"/>
        <v>0</v>
      </c>
    </row>
    <row r="256" spans="1:16" x14ac:dyDescent="0.3">
      <c r="A256" s="1">
        <v>43152</v>
      </c>
      <c r="B256">
        <v>314.05</v>
      </c>
      <c r="C256">
        <v>317.14999990463201</v>
      </c>
      <c r="D256">
        <v>3.0999999046325599</v>
      </c>
      <c r="E256" s="1">
        <v>43243</v>
      </c>
      <c r="F256">
        <v>7.9843006134033203</v>
      </c>
      <c r="G256">
        <v>3.0999999046325599</v>
      </c>
      <c r="J256">
        <v>3.8845196340000001</v>
      </c>
      <c r="K256" s="1">
        <v>43243</v>
      </c>
      <c r="L256">
        <f t="shared" si="20"/>
        <v>323.536150182928</v>
      </c>
      <c r="M256">
        <f t="shared" si="21"/>
        <v>310.76384962633603</v>
      </c>
      <c r="N256">
        <f t="shared" si="22"/>
        <v>317.14999990463201</v>
      </c>
      <c r="O256">
        <f t="shared" si="23"/>
        <v>322.03430061340333</v>
      </c>
      <c r="P256">
        <f t="shared" si="24"/>
        <v>1</v>
      </c>
    </row>
    <row r="257" spans="1:16" x14ac:dyDescent="0.3">
      <c r="A257" s="1">
        <v>43153</v>
      </c>
      <c r="B257">
        <v>311.85000000000002</v>
      </c>
      <c r="C257">
        <v>316.54999980926499</v>
      </c>
      <c r="D257">
        <v>4.6999998092651296</v>
      </c>
      <c r="E257" s="1">
        <v>43244</v>
      </c>
      <c r="F257">
        <v>9.3526954650878906</v>
      </c>
      <c r="G257">
        <v>4.6999998092651296</v>
      </c>
      <c r="J257">
        <v>3.8589132589999999</v>
      </c>
      <c r="K257" s="1">
        <v>43244</v>
      </c>
      <c r="L257">
        <f t="shared" si="20"/>
        <v>322.89405320706101</v>
      </c>
      <c r="M257">
        <f t="shared" si="21"/>
        <v>310.20594641146897</v>
      </c>
      <c r="N257">
        <f t="shared" si="22"/>
        <v>316.54999980926499</v>
      </c>
      <c r="O257">
        <f t="shared" si="23"/>
        <v>321.20269546508791</v>
      </c>
      <c r="P257">
        <f t="shared" si="24"/>
        <v>1</v>
      </c>
    </row>
    <row r="258" spans="1:16" x14ac:dyDescent="0.3">
      <c r="A258" s="1">
        <v>43154</v>
      </c>
      <c r="B258">
        <v>316.95</v>
      </c>
      <c r="C258">
        <v>317.29999999403901</v>
      </c>
      <c r="D258">
        <v>0.34999999403953502</v>
      </c>
      <c r="E258" s="1">
        <v>43245</v>
      </c>
      <c r="F258">
        <v>9.6828289031982404</v>
      </c>
      <c r="G258">
        <v>0.34999999403953502</v>
      </c>
      <c r="J258">
        <v>3.861089642</v>
      </c>
      <c r="K258" s="1">
        <v>43245</v>
      </c>
      <c r="L258">
        <f t="shared" si="20"/>
        <v>323.64763136548703</v>
      </c>
      <c r="M258">
        <f t="shared" si="21"/>
        <v>310.952368622591</v>
      </c>
      <c r="N258">
        <f t="shared" si="22"/>
        <v>317.29999999403901</v>
      </c>
      <c r="O258">
        <f t="shared" si="23"/>
        <v>326.63282890319823</v>
      </c>
      <c r="P258">
        <f t="shared" si="24"/>
        <v>0</v>
      </c>
    </row>
    <row r="259" spans="1:16" x14ac:dyDescent="0.3">
      <c r="A259" s="1">
        <v>43157</v>
      </c>
      <c r="B259">
        <v>317.10000000000002</v>
      </c>
      <c r="C259">
        <v>318.10000000000002</v>
      </c>
      <c r="D259">
        <v>1</v>
      </c>
      <c r="E259" s="1">
        <v>43248</v>
      </c>
      <c r="F259">
        <v>5.91159868240356</v>
      </c>
      <c r="G259">
        <v>1</v>
      </c>
      <c r="J259">
        <v>3.8691778530000001</v>
      </c>
      <c r="K259" s="1">
        <v>43248</v>
      </c>
      <c r="L259">
        <f t="shared" si="20"/>
        <v>324.46092839033201</v>
      </c>
      <c r="M259">
        <f t="shared" si="21"/>
        <v>311.73907160966803</v>
      </c>
      <c r="N259">
        <f t="shared" si="22"/>
        <v>318.10000000000002</v>
      </c>
      <c r="O259">
        <f t="shared" si="23"/>
        <v>323.01159868240359</v>
      </c>
      <c r="P259">
        <f t="shared" si="24"/>
        <v>1</v>
      </c>
    </row>
    <row r="260" spans="1:16" x14ac:dyDescent="0.3">
      <c r="A260" s="1">
        <v>43158</v>
      </c>
      <c r="B260">
        <v>315.75</v>
      </c>
      <c r="C260">
        <v>314.89999997615803</v>
      </c>
      <c r="D260">
        <v>-0.85000002384185702</v>
      </c>
      <c r="E260" s="1">
        <v>43249</v>
      </c>
      <c r="F260">
        <v>5.6045637130737296</v>
      </c>
      <c r="G260">
        <v>-0.85000002384185702</v>
      </c>
      <c r="J260">
        <v>3.8701230170000001</v>
      </c>
      <c r="K260" s="1">
        <v>43249</v>
      </c>
      <c r="L260">
        <f t="shared" si="20"/>
        <v>321.26248221610604</v>
      </c>
      <c r="M260">
        <f t="shared" si="21"/>
        <v>308.53751773621002</v>
      </c>
      <c r="N260">
        <f t="shared" si="22"/>
        <v>314.89999997615803</v>
      </c>
      <c r="O260">
        <f t="shared" si="23"/>
        <v>321.35456371307373</v>
      </c>
      <c r="P260">
        <f t="shared" si="24"/>
        <v>0</v>
      </c>
    </row>
    <row r="261" spans="1:16" x14ac:dyDescent="0.3">
      <c r="A261" s="1">
        <v>43159</v>
      </c>
      <c r="B261">
        <v>312.45</v>
      </c>
      <c r="C261">
        <v>307.54999990463199</v>
      </c>
      <c r="D261">
        <v>-4.9000000953674299</v>
      </c>
      <c r="E261" s="1">
        <v>43250</v>
      </c>
      <c r="F261">
        <v>3.1392109394073402</v>
      </c>
      <c r="G261">
        <v>-4.9000000953674299</v>
      </c>
      <c r="J261">
        <v>3.9785221150000001</v>
      </c>
      <c r="K261" s="1">
        <v>43250</v>
      </c>
      <c r="L261">
        <f t="shared" si="20"/>
        <v>314.09069026169198</v>
      </c>
      <c r="M261">
        <f t="shared" si="21"/>
        <v>301.009309547572</v>
      </c>
      <c r="N261">
        <f t="shared" si="22"/>
        <v>307.54999990463199</v>
      </c>
      <c r="O261">
        <f t="shared" si="23"/>
        <v>315.58921093940734</v>
      </c>
      <c r="P261">
        <f t="shared" si="24"/>
        <v>0</v>
      </c>
    </row>
    <row r="262" spans="1:16" x14ac:dyDescent="0.3">
      <c r="A262" s="1">
        <v>43160</v>
      </c>
      <c r="B262">
        <v>312.45</v>
      </c>
      <c r="C262">
        <v>309.15000004768302</v>
      </c>
      <c r="D262">
        <v>-3.2999999523162802</v>
      </c>
      <c r="E262" s="1">
        <v>43251</v>
      </c>
      <c r="F262">
        <v>3.0899140834808301</v>
      </c>
      <c r="G262">
        <v>-3.2999999523162802</v>
      </c>
      <c r="J262">
        <v>4.0388874430000001</v>
      </c>
      <c r="K262" s="1">
        <v>43251</v>
      </c>
      <c r="L262">
        <f t="shared" ref="L262:L297" si="25">C262+1.644*J262</f>
        <v>315.78993100397503</v>
      </c>
      <c r="M262">
        <f t="shared" ref="M262:M297" si="26">C262-1.644*J262</f>
        <v>302.51006909139102</v>
      </c>
      <c r="N262">
        <f t="shared" ref="N262:N297" si="27">C262</f>
        <v>309.15000004768302</v>
      </c>
      <c r="O262">
        <f t="shared" ref="O262:O297" si="28">B262+F262</f>
        <v>315.53991408348082</v>
      </c>
      <c r="P262">
        <f t="shared" ref="P262:P297" si="29">IF(AND(D262&gt;0, AND(O262&lt;L262, O262&gt;M262)),1,0)</f>
        <v>0</v>
      </c>
    </row>
    <row r="263" spans="1:16" x14ac:dyDescent="0.3">
      <c r="A263" s="1">
        <v>43161</v>
      </c>
      <c r="B263">
        <v>308.14999999999998</v>
      </c>
      <c r="C263">
        <v>311.39999999999998</v>
      </c>
      <c r="D263">
        <v>3.25</v>
      </c>
      <c r="E263" s="1">
        <v>43252</v>
      </c>
      <c r="F263">
        <v>3.0833103656768799</v>
      </c>
      <c r="G263">
        <v>3.25</v>
      </c>
      <c r="J263">
        <v>3.9663470159999998</v>
      </c>
      <c r="K263" s="1">
        <v>43252</v>
      </c>
      <c r="L263">
        <f t="shared" si="25"/>
        <v>317.92067449430397</v>
      </c>
      <c r="M263">
        <f t="shared" si="26"/>
        <v>304.87932550569599</v>
      </c>
      <c r="N263">
        <f t="shared" si="27"/>
        <v>311.39999999999998</v>
      </c>
      <c r="O263">
        <f t="shared" si="28"/>
        <v>311.23331036567686</v>
      </c>
      <c r="P263">
        <f t="shared" si="29"/>
        <v>1</v>
      </c>
    </row>
    <row r="264" spans="1:16" x14ac:dyDescent="0.3">
      <c r="A264" s="1">
        <v>43164</v>
      </c>
      <c r="B264">
        <v>303.85000000000002</v>
      </c>
      <c r="C264">
        <v>313.15000019073398</v>
      </c>
      <c r="D264">
        <v>9.3000001907348597</v>
      </c>
      <c r="E264" s="1">
        <v>43255</v>
      </c>
      <c r="F264">
        <v>9.0768909454345703</v>
      </c>
      <c r="G264">
        <v>9.3000001907348597</v>
      </c>
      <c r="J264">
        <v>3.6975128069999998</v>
      </c>
      <c r="K264" s="1">
        <v>43255</v>
      </c>
      <c r="L264">
        <f t="shared" si="25"/>
        <v>319.22871124544196</v>
      </c>
      <c r="M264">
        <f t="shared" si="26"/>
        <v>307.071289136026</v>
      </c>
      <c r="N264">
        <f t="shared" si="27"/>
        <v>313.15000019073398</v>
      </c>
      <c r="O264">
        <f t="shared" si="28"/>
        <v>312.92689094543459</v>
      </c>
      <c r="P264">
        <f t="shared" si="29"/>
        <v>1</v>
      </c>
    </row>
    <row r="265" spans="1:16" x14ac:dyDescent="0.3">
      <c r="A265" s="1">
        <v>43165</v>
      </c>
      <c r="B265">
        <v>310.3</v>
      </c>
      <c r="C265">
        <v>313.75000004768299</v>
      </c>
      <c r="D265">
        <v>3.45000004768371</v>
      </c>
      <c r="E265" s="1">
        <v>43256</v>
      </c>
      <c r="F265">
        <v>3.64822173118591</v>
      </c>
      <c r="G265">
        <v>3.45000004768371</v>
      </c>
      <c r="J265">
        <v>3.6437286420000001</v>
      </c>
      <c r="K265" s="1">
        <v>43256</v>
      </c>
      <c r="L265">
        <f t="shared" si="25"/>
        <v>319.74028993513099</v>
      </c>
      <c r="M265">
        <f t="shared" si="26"/>
        <v>307.75971016023499</v>
      </c>
      <c r="N265">
        <f t="shared" si="27"/>
        <v>313.75000004768299</v>
      </c>
      <c r="O265">
        <f t="shared" si="28"/>
        <v>313.94822173118592</v>
      </c>
      <c r="P265">
        <f t="shared" si="29"/>
        <v>1</v>
      </c>
    </row>
    <row r="266" spans="1:16" x14ac:dyDescent="0.3">
      <c r="A266" s="1">
        <v>43166</v>
      </c>
      <c r="B266">
        <v>310.45</v>
      </c>
      <c r="C266">
        <v>313.74999995231599</v>
      </c>
      <c r="D266">
        <v>3.2999999523162802</v>
      </c>
      <c r="E266" s="1">
        <v>43257</v>
      </c>
      <c r="F266">
        <v>0.133973687887191</v>
      </c>
      <c r="G266">
        <v>3.2999999523162802</v>
      </c>
      <c r="J266">
        <v>3.5918606240000002</v>
      </c>
      <c r="K266" s="1">
        <v>43257</v>
      </c>
      <c r="L266">
        <f t="shared" si="25"/>
        <v>319.65501881817198</v>
      </c>
      <c r="M266">
        <f t="shared" si="26"/>
        <v>307.84498108646</v>
      </c>
      <c r="N266">
        <f t="shared" si="27"/>
        <v>313.74999995231599</v>
      </c>
      <c r="O266">
        <f t="shared" si="28"/>
        <v>310.58397368788718</v>
      </c>
      <c r="P266">
        <f t="shared" si="29"/>
        <v>1</v>
      </c>
    </row>
    <row r="267" spans="1:16" x14ac:dyDescent="0.3">
      <c r="A267" s="1">
        <v>43167</v>
      </c>
      <c r="B267">
        <v>313.60000000000002</v>
      </c>
      <c r="C267">
        <v>316.85000000000002</v>
      </c>
      <c r="D267">
        <v>-3.25</v>
      </c>
      <c r="E267" s="1">
        <v>43258</v>
      </c>
      <c r="F267">
        <v>-4.1032123565673801</v>
      </c>
      <c r="G267">
        <v>3.25</v>
      </c>
      <c r="J267">
        <v>3.5838692760000002</v>
      </c>
      <c r="K267" s="1">
        <v>43258</v>
      </c>
      <c r="L267">
        <f t="shared" si="25"/>
        <v>322.74188108974403</v>
      </c>
      <c r="M267">
        <f t="shared" si="26"/>
        <v>310.95811891025602</v>
      </c>
      <c r="N267">
        <f t="shared" si="27"/>
        <v>316.85000000000002</v>
      </c>
      <c r="O267">
        <f t="shared" si="28"/>
        <v>309.49678764343264</v>
      </c>
      <c r="P267">
        <f t="shared" si="29"/>
        <v>0</v>
      </c>
    </row>
    <row r="268" spans="1:16" x14ac:dyDescent="0.3">
      <c r="A268" s="1">
        <v>43168</v>
      </c>
      <c r="B268">
        <v>317.10000000000002</v>
      </c>
      <c r="C268">
        <v>313.300000047683</v>
      </c>
      <c r="D268">
        <v>-3.7999999523162802</v>
      </c>
      <c r="E268" s="1">
        <v>43259</v>
      </c>
      <c r="F268">
        <v>2.93591260910034</v>
      </c>
      <c r="G268">
        <v>-3.7999999523162802</v>
      </c>
      <c r="J268">
        <v>3.5935544259999999</v>
      </c>
      <c r="K268" s="1">
        <v>43259</v>
      </c>
      <c r="L268">
        <f t="shared" si="25"/>
        <v>319.20780352402699</v>
      </c>
      <c r="M268">
        <f t="shared" si="26"/>
        <v>307.39219657133901</v>
      </c>
      <c r="N268">
        <f t="shared" si="27"/>
        <v>313.300000047683</v>
      </c>
      <c r="O268">
        <f t="shared" si="28"/>
        <v>320.03591260910036</v>
      </c>
      <c r="P268">
        <f t="shared" si="29"/>
        <v>0</v>
      </c>
    </row>
    <row r="269" spans="1:16" x14ac:dyDescent="0.3">
      <c r="A269" s="1">
        <v>43171</v>
      </c>
      <c r="B269">
        <v>320.10000000000002</v>
      </c>
      <c r="C269">
        <v>316.14999995231602</v>
      </c>
      <c r="D269">
        <v>-3.95000004768371</v>
      </c>
      <c r="E269" s="1">
        <v>43262</v>
      </c>
      <c r="F269">
        <v>6.2046823501586896</v>
      </c>
      <c r="G269">
        <v>-3.95000004768371</v>
      </c>
      <c r="J269">
        <v>3.5521090019999999</v>
      </c>
      <c r="K269" s="1">
        <v>43262</v>
      </c>
      <c r="L269">
        <f t="shared" si="25"/>
        <v>321.98966715160401</v>
      </c>
      <c r="M269">
        <f t="shared" si="26"/>
        <v>310.31033275302804</v>
      </c>
      <c r="N269">
        <f t="shared" si="27"/>
        <v>316.14999995231602</v>
      </c>
      <c r="O269">
        <f t="shared" si="28"/>
        <v>326.30468235015871</v>
      </c>
      <c r="P269">
        <f t="shared" si="29"/>
        <v>0</v>
      </c>
    </row>
    <row r="270" spans="1:16" x14ac:dyDescent="0.3">
      <c r="A270" s="1">
        <v>43172</v>
      </c>
      <c r="B270">
        <v>321.5</v>
      </c>
      <c r="C270">
        <v>315.65000009536698</v>
      </c>
      <c r="D270">
        <v>-5.8499999046325604</v>
      </c>
      <c r="E270" s="1">
        <v>43263</v>
      </c>
      <c r="F270">
        <v>7.60485744476318</v>
      </c>
      <c r="G270">
        <v>-5.8499999046325604</v>
      </c>
      <c r="J270">
        <v>3.4760354019999999</v>
      </c>
      <c r="K270" s="1">
        <v>43263</v>
      </c>
      <c r="L270">
        <f t="shared" si="25"/>
        <v>321.36460229625499</v>
      </c>
      <c r="M270">
        <f t="shared" si="26"/>
        <v>309.93539789447897</v>
      </c>
      <c r="N270">
        <f t="shared" si="27"/>
        <v>315.65000009536698</v>
      </c>
      <c r="O270">
        <f t="shared" si="28"/>
        <v>329.10485744476318</v>
      </c>
      <c r="P270">
        <f t="shared" si="29"/>
        <v>0</v>
      </c>
    </row>
    <row r="271" spans="1:16" x14ac:dyDescent="0.3">
      <c r="A271" s="1">
        <v>43173</v>
      </c>
      <c r="B271">
        <v>321.55</v>
      </c>
      <c r="C271">
        <v>315.64999990463201</v>
      </c>
      <c r="D271">
        <v>-5.9000000953674299</v>
      </c>
      <c r="E271" s="1">
        <v>43264</v>
      </c>
      <c r="F271">
        <v>4.6934280395507804</v>
      </c>
      <c r="G271">
        <v>-5.9000000953674299</v>
      </c>
      <c r="J271">
        <v>3.3944546120000001</v>
      </c>
      <c r="K271" s="1">
        <v>43264</v>
      </c>
      <c r="L271">
        <f t="shared" si="25"/>
        <v>321.23048328676003</v>
      </c>
      <c r="M271">
        <f t="shared" si="26"/>
        <v>310.06951652250399</v>
      </c>
      <c r="N271">
        <f t="shared" si="27"/>
        <v>315.64999990463201</v>
      </c>
      <c r="O271">
        <f t="shared" si="28"/>
        <v>326.24342803955079</v>
      </c>
      <c r="P271">
        <f t="shared" si="29"/>
        <v>0</v>
      </c>
    </row>
    <row r="272" spans="1:16" x14ac:dyDescent="0.3">
      <c r="A272" s="1">
        <v>43174</v>
      </c>
      <c r="B272">
        <v>322.85000000000002</v>
      </c>
      <c r="C272">
        <v>310.40000019073398</v>
      </c>
      <c r="D272">
        <v>-12.449999809265099</v>
      </c>
      <c r="E272" s="1">
        <v>43265</v>
      </c>
      <c r="F272">
        <v>2.2345061302185001</v>
      </c>
      <c r="G272">
        <v>-12.449999809265099</v>
      </c>
      <c r="J272">
        <v>3.3246131929999998</v>
      </c>
      <c r="K272" s="1">
        <v>43265</v>
      </c>
      <c r="L272">
        <f t="shared" si="25"/>
        <v>315.86566428002595</v>
      </c>
      <c r="M272">
        <f t="shared" si="26"/>
        <v>304.934336101442</v>
      </c>
      <c r="N272">
        <f t="shared" si="27"/>
        <v>310.40000019073398</v>
      </c>
      <c r="O272">
        <f t="shared" si="28"/>
        <v>325.08450613021853</v>
      </c>
      <c r="P272">
        <f t="shared" si="29"/>
        <v>0</v>
      </c>
    </row>
    <row r="273" spans="1:16" x14ac:dyDescent="0.3">
      <c r="A273" s="1">
        <v>43175</v>
      </c>
      <c r="B273">
        <v>322</v>
      </c>
      <c r="C273">
        <v>309.19999980926502</v>
      </c>
      <c r="D273">
        <v>12.800000190734799</v>
      </c>
      <c r="E273" s="1">
        <v>43266</v>
      </c>
      <c r="F273">
        <v>-0.93506711721420199</v>
      </c>
      <c r="G273">
        <v>-12.800000190734799</v>
      </c>
      <c r="J273">
        <v>3.3019538210000001</v>
      </c>
      <c r="K273" s="1">
        <v>43266</v>
      </c>
      <c r="L273">
        <f t="shared" si="25"/>
        <v>314.62841189098901</v>
      </c>
      <c r="M273">
        <f t="shared" si="26"/>
        <v>303.77158772754103</v>
      </c>
      <c r="N273">
        <f t="shared" si="27"/>
        <v>309.19999980926502</v>
      </c>
      <c r="O273">
        <f t="shared" si="28"/>
        <v>321.0649328827858</v>
      </c>
      <c r="P273">
        <f t="shared" si="29"/>
        <v>0</v>
      </c>
    </row>
    <row r="274" spans="1:16" x14ac:dyDescent="0.3">
      <c r="A274" s="1">
        <v>43178</v>
      </c>
      <c r="B274">
        <v>319.85000000000002</v>
      </c>
      <c r="C274">
        <v>305.85000000000002</v>
      </c>
      <c r="D274">
        <v>-14</v>
      </c>
      <c r="E274" s="1">
        <v>43269</v>
      </c>
      <c r="F274">
        <v>2.3146264553070002</v>
      </c>
      <c r="G274">
        <v>-14</v>
      </c>
      <c r="J274">
        <v>3.4426154250000001</v>
      </c>
      <c r="K274" s="1">
        <v>43269</v>
      </c>
      <c r="L274">
        <f t="shared" si="25"/>
        <v>311.50965975870002</v>
      </c>
      <c r="M274">
        <f t="shared" si="26"/>
        <v>300.19034024130002</v>
      </c>
      <c r="N274">
        <f t="shared" si="27"/>
        <v>305.85000000000002</v>
      </c>
      <c r="O274">
        <f t="shared" si="28"/>
        <v>322.16462645530703</v>
      </c>
      <c r="P274">
        <f t="shared" si="29"/>
        <v>0</v>
      </c>
    </row>
    <row r="275" spans="1:16" x14ac:dyDescent="0.3">
      <c r="A275" s="1">
        <v>43179</v>
      </c>
      <c r="B275">
        <v>321.3</v>
      </c>
      <c r="C275">
        <v>301.34999923705999</v>
      </c>
      <c r="D275">
        <v>-19.9500007629394</v>
      </c>
      <c r="E275" s="1">
        <v>43270</v>
      </c>
      <c r="F275">
        <v>1.34426093101501</v>
      </c>
      <c r="G275">
        <v>-19.9500007629394</v>
      </c>
      <c r="J275">
        <v>3.7405120360000002</v>
      </c>
      <c r="K275" s="1">
        <v>43270</v>
      </c>
      <c r="L275">
        <f t="shared" si="25"/>
        <v>307.49940102424398</v>
      </c>
      <c r="M275">
        <f t="shared" si="26"/>
        <v>295.200597449876</v>
      </c>
      <c r="N275">
        <f t="shared" si="27"/>
        <v>301.34999923705999</v>
      </c>
      <c r="O275">
        <f t="shared" si="28"/>
        <v>322.64426093101503</v>
      </c>
      <c r="P275">
        <f t="shared" si="29"/>
        <v>0</v>
      </c>
    </row>
    <row r="276" spans="1:16" x14ac:dyDescent="0.3">
      <c r="A276" s="1">
        <v>43180</v>
      </c>
      <c r="B276">
        <v>321.60000000000002</v>
      </c>
      <c r="C276">
        <v>304.20000038146901</v>
      </c>
      <c r="D276">
        <v>17.399999618530199</v>
      </c>
      <c r="E276" s="1">
        <v>43271</v>
      </c>
      <c r="F276">
        <v>-6.0604486465454102</v>
      </c>
      <c r="G276">
        <v>-17.399999618530199</v>
      </c>
      <c r="J276">
        <v>3.8529362549999999</v>
      </c>
      <c r="K276" s="1">
        <v>43271</v>
      </c>
      <c r="L276">
        <f t="shared" si="25"/>
        <v>310.53422758468901</v>
      </c>
      <c r="M276">
        <f t="shared" si="26"/>
        <v>297.86577317824901</v>
      </c>
      <c r="N276">
        <f t="shared" si="27"/>
        <v>304.20000038146901</v>
      </c>
      <c r="O276">
        <f t="shared" si="28"/>
        <v>315.53955135345461</v>
      </c>
      <c r="P276">
        <f t="shared" si="29"/>
        <v>0</v>
      </c>
    </row>
    <row r="277" spans="1:16" x14ac:dyDescent="0.3">
      <c r="A277" s="1">
        <v>43181</v>
      </c>
      <c r="B277">
        <v>322.10000000000002</v>
      </c>
      <c r="C277">
        <v>300.74999961853001</v>
      </c>
      <c r="D277">
        <v>21.350000381469702</v>
      </c>
      <c r="E277" s="1">
        <v>43272</v>
      </c>
      <c r="F277">
        <v>-5.00685358047485</v>
      </c>
      <c r="G277">
        <v>-21.350000381469702</v>
      </c>
      <c r="J277">
        <v>4.0838499639999997</v>
      </c>
      <c r="K277" s="1">
        <v>43272</v>
      </c>
      <c r="L277">
        <f t="shared" si="25"/>
        <v>307.46384895934602</v>
      </c>
      <c r="M277">
        <f t="shared" si="26"/>
        <v>294.036150277714</v>
      </c>
      <c r="N277">
        <f t="shared" si="27"/>
        <v>300.74999961853001</v>
      </c>
      <c r="O277">
        <f t="shared" si="28"/>
        <v>317.09314641952517</v>
      </c>
      <c r="P277">
        <f t="shared" si="29"/>
        <v>0</v>
      </c>
    </row>
    <row r="278" spans="1:16" x14ac:dyDescent="0.3">
      <c r="A278" s="1">
        <v>43182</v>
      </c>
      <c r="B278">
        <v>311.5</v>
      </c>
      <c r="C278">
        <v>303.65000009536698</v>
      </c>
      <c r="D278">
        <v>-7.8499999046325604</v>
      </c>
      <c r="E278" s="1">
        <v>43273</v>
      </c>
      <c r="F278">
        <v>10.469953536987299</v>
      </c>
      <c r="G278">
        <v>-7.8499999046325604</v>
      </c>
      <c r="J278">
        <v>4.2709527339999998</v>
      </c>
      <c r="K278" s="1">
        <v>43273</v>
      </c>
      <c r="L278">
        <f t="shared" si="25"/>
        <v>310.67144639006295</v>
      </c>
      <c r="M278">
        <f t="shared" si="26"/>
        <v>296.628553800671</v>
      </c>
      <c r="N278">
        <f t="shared" si="27"/>
        <v>303.65000009536698</v>
      </c>
      <c r="O278">
        <f t="shared" si="28"/>
        <v>321.9699535369873</v>
      </c>
      <c r="P278">
        <f t="shared" si="29"/>
        <v>0</v>
      </c>
    </row>
    <row r="279" spans="1:16" x14ac:dyDescent="0.3">
      <c r="A279" s="1">
        <v>43185</v>
      </c>
      <c r="B279">
        <v>314.5</v>
      </c>
      <c r="C279">
        <v>303.25</v>
      </c>
      <c r="D279">
        <v>-11.25</v>
      </c>
      <c r="E279" s="1">
        <v>43276</v>
      </c>
      <c r="F279">
        <v>14.318630218505801</v>
      </c>
      <c r="G279">
        <v>-11.25</v>
      </c>
      <c r="J279">
        <v>4.4690734819999998</v>
      </c>
      <c r="K279" s="1">
        <v>43276</v>
      </c>
      <c r="L279">
        <f t="shared" si="25"/>
        <v>310.59715680440797</v>
      </c>
      <c r="M279">
        <f t="shared" si="26"/>
        <v>295.90284319559203</v>
      </c>
      <c r="N279">
        <f t="shared" si="27"/>
        <v>303.25</v>
      </c>
      <c r="O279">
        <f t="shared" si="28"/>
        <v>328.8186302185058</v>
      </c>
      <c r="P279">
        <f t="shared" si="29"/>
        <v>0</v>
      </c>
    </row>
    <row r="280" spans="1:16" x14ac:dyDescent="0.3">
      <c r="A280" s="1">
        <v>43186</v>
      </c>
      <c r="B280">
        <v>315.14999999999998</v>
      </c>
      <c r="C280">
        <v>302.39999999999998</v>
      </c>
      <c r="D280">
        <v>-12.75</v>
      </c>
      <c r="E280" s="1">
        <v>43277</v>
      </c>
      <c r="F280">
        <v>3.8861124515533398</v>
      </c>
      <c r="G280">
        <v>-12.75</v>
      </c>
      <c r="J280">
        <v>4.6798890780000004</v>
      </c>
      <c r="K280" s="1">
        <v>43277</v>
      </c>
      <c r="L280">
        <f t="shared" si="25"/>
        <v>310.09373764423196</v>
      </c>
      <c r="M280">
        <f t="shared" si="26"/>
        <v>294.70626235576799</v>
      </c>
      <c r="N280">
        <f t="shared" si="27"/>
        <v>302.39999999999998</v>
      </c>
      <c r="O280">
        <f t="shared" si="28"/>
        <v>319.03611245155332</v>
      </c>
      <c r="P280">
        <f t="shared" si="29"/>
        <v>0</v>
      </c>
    </row>
    <row r="281" spans="1:16" x14ac:dyDescent="0.3">
      <c r="A281" s="1">
        <v>43187</v>
      </c>
      <c r="B281">
        <v>310.64999999999998</v>
      </c>
      <c r="C281">
        <v>301.54999961853002</v>
      </c>
      <c r="D281">
        <v>-9.1000003814697195</v>
      </c>
      <c r="E281" s="1">
        <v>43278</v>
      </c>
      <c r="F281">
        <v>1.9885511398315401</v>
      </c>
      <c r="G281">
        <v>-9.1000003814697195</v>
      </c>
      <c r="J281">
        <v>4.898046731</v>
      </c>
      <c r="K281" s="1">
        <v>43278</v>
      </c>
      <c r="L281">
        <f t="shared" si="25"/>
        <v>309.60238844429404</v>
      </c>
      <c r="M281">
        <f t="shared" si="26"/>
        <v>293.49761079276601</v>
      </c>
      <c r="N281">
        <f t="shared" si="27"/>
        <v>301.54999961853002</v>
      </c>
      <c r="O281">
        <f t="shared" si="28"/>
        <v>312.63855113983152</v>
      </c>
      <c r="P281">
        <f t="shared" si="29"/>
        <v>0</v>
      </c>
    </row>
    <row r="282" spans="1:16" x14ac:dyDescent="0.3">
      <c r="A282" s="1">
        <v>43188</v>
      </c>
      <c r="B282">
        <v>314.45</v>
      </c>
      <c r="C282">
        <v>299.09999961852998</v>
      </c>
      <c r="D282">
        <v>15.3500003814697</v>
      </c>
      <c r="E282" s="1">
        <v>43279</v>
      </c>
      <c r="F282">
        <v>-2.6772594451904199</v>
      </c>
      <c r="G282">
        <v>-15.3500003814697</v>
      </c>
      <c r="J282">
        <v>5.20590537</v>
      </c>
      <c r="K282" s="1">
        <v>43279</v>
      </c>
      <c r="L282">
        <f t="shared" si="25"/>
        <v>307.65850804680997</v>
      </c>
      <c r="M282">
        <f t="shared" si="26"/>
        <v>290.54149119024999</v>
      </c>
      <c r="N282">
        <f t="shared" si="27"/>
        <v>299.09999961852998</v>
      </c>
      <c r="O282">
        <f t="shared" si="28"/>
        <v>311.77274055480956</v>
      </c>
      <c r="P282">
        <f t="shared" si="29"/>
        <v>0</v>
      </c>
    </row>
    <row r="283" spans="1:16" x14ac:dyDescent="0.3">
      <c r="A283" s="1">
        <v>43189</v>
      </c>
      <c r="B283">
        <v>314.55</v>
      </c>
      <c r="C283">
        <v>299.99999980926498</v>
      </c>
      <c r="D283">
        <v>14.550000190734799</v>
      </c>
      <c r="E283" s="1">
        <v>43280</v>
      </c>
      <c r="F283">
        <v>-6.3566880226135201</v>
      </c>
      <c r="G283">
        <v>-14.550000190734799</v>
      </c>
      <c r="J283">
        <v>5.4514220529999999</v>
      </c>
      <c r="K283" s="1">
        <v>43280</v>
      </c>
      <c r="L283">
        <f t="shared" si="25"/>
        <v>308.96213766439701</v>
      </c>
      <c r="M283">
        <f t="shared" si="26"/>
        <v>291.03786195413295</v>
      </c>
      <c r="N283">
        <f t="shared" si="27"/>
        <v>299.99999980926498</v>
      </c>
      <c r="O283">
        <f t="shared" si="28"/>
        <v>308.19331197738649</v>
      </c>
      <c r="P283">
        <f t="shared" si="29"/>
        <v>1</v>
      </c>
    </row>
    <row r="284" spans="1:16" x14ac:dyDescent="0.3">
      <c r="A284" s="1">
        <v>43192</v>
      </c>
      <c r="B284">
        <v>313.45</v>
      </c>
      <c r="C284">
        <v>292.90000076293899</v>
      </c>
      <c r="D284">
        <v>20.549999237060501</v>
      </c>
      <c r="E284" s="1">
        <v>43283</v>
      </c>
      <c r="F284">
        <v>-7.6842455863952601</v>
      </c>
      <c r="G284">
        <v>-20.549999237060501</v>
      </c>
      <c r="J284">
        <v>5.9894175509999998</v>
      </c>
      <c r="K284" s="1">
        <v>43283</v>
      </c>
      <c r="L284">
        <f t="shared" si="25"/>
        <v>302.746603216783</v>
      </c>
      <c r="M284">
        <f t="shared" si="26"/>
        <v>283.05339830909497</v>
      </c>
      <c r="N284">
        <f t="shared" si="27"/>
        <v>292.90000076293899</v>
      </c>
      <c r="O284">
        <f t="shared" si="28"/>
        <v>305.76575441360472</v>
      </c>
      <c r="P284">
        <f t="shared" si="29"/>
        <v>0</v>
      </c>
    </row>
    <row r="285" spans="1:16" x14ac:dyDescent="0.3">
      <c r="A285" s="1">
        <v>43193</v>
      </c>
      <c r="B285">
        <v>312.8</v>
      </c>
      <c r="C285">
        <v>293.75000076293901</v>
      </c>
      <c r="D285">
        <v>19.049999237060501</v>
      </c>
      <c r="E285" s="1">
        <v>43284</v>
      </c>
      <c r="F285">
        <v>-7.7771224975585902</v>
      </c>
      <c r="G285">
        <v>-19.049999237060501</v>
      </c>
      <c r="J285">
        <v>6.429470534</v>
      </c>
      <c r="K285" s="1">
        <v>43284</v>
      </c>
      <c r="L285">
        <f t="shared" si="25"/>
        <v>304.32005032083498</v>
      </c>
      <c r="M285">
        <f t="shared" si="26"/>
        <v>283.17995120504304</v>
      </c>
      <c r="N285">
        <f t="shared" si="27"/>
        <v>293.75000076293901</v>
      </c>
      <c r="O285">
        <f t="shared" si="28"/>
        <v>305.02287750244142</v>
      </c>
      <c r="P285">
        <f t="shared" si="29"/>
        <v>0</v>
      </c>
    </row>
    <row r="286" spans="1:16" x14ac:dyDescent="0.3">
      <c r="A286" s="1">
        <v>43194</v>
      </c>
      <c r="B286">
        <v>307.55</v>
      </c>
      <c r="C286">
        <v>292.55</v>
      </c>
      <c r="D286">
        <v>-15</v>
      </c>
      <c r="E286" s="1">
        <v>43285</v>
      </c>
      <c r="F286">
        <v>0.63760364055633501</v>
      </c>
      <c r="G286">
        <v>-15</v>
      </c>
      <c r="J286">
        <v>6.8578537940000004</v>
      </c>
      <c r="K286" s="1">
        <v>43285</v>
      </c>
      <c r="L286">
        <f t="shared" si="25"/>
        <v>303.824311637336</v>
      </c>
      <c r="M286">
        <f t="shared" si="26"/>
        <v>281.27568836266403</v>
      </c>
      <c r="N286">
        <f t="shared" si="27"/>
        <v>292.55</v>
      </c>
      <c r="O286">
        <f t="shared" si="28"/>
        <v>308.18760364055635</v>
      </c>
      <c r="P286">
        <f t="shared" si="29"/>
        <v>0</v>
      </c>
    </row>
    <row r="287" spans="1:16" x14ac:dyDescent="0.3">
      <c r="A287" s="1">
        <v>43195</v>
      </c>
      <c r="B287">
        <v>312.95</v>
      </c>
      <c r="C287">
        <v>291.99999923706002</v>
      </c>
      <c r="D287">
        <v>20.9500007629394</v>
      </c>
      <c r="E287" s="1">
        <v>43286</v>
      </c>
      <c r="F287">
        <v>-4.6694784164428702</v>
      </c>
      <c r="G287">
        <v>-20.9500007629394</v>
      </c>
      <c r="J287">
        <v>7.2946155389999996</v>
      </c>
      <c r="K287" s="1">
        <v>43286</v>
      </c>
      <c r="L287">
        <f t="shared" si="25"/>
        <v>303.99234718317604</v>
      </c>
      <c r="M287">
        <f t="shared" si="26"/>
        <v>280.00765129094401</v>
      </c>
      <c r="N287">
        <f t="shared" si="27"/>
        <v>291.99999923706002</v>
      </c>
      <c r="O287">
        <f t="shared" si="28"/>
        <v>308.28052158355712</v>
      </c>
      <c r="P287">
        <f t="shared" si="29"/>
        <v>0</v>
      </c>
    </row>
    <row r="288" spans="1:16" x14ac:dyDescent="0.3">
      <c r="A288" s="1">
        <v>43196</v>
      </c>
      <c r="B288">
        <v>311.2</v>
      </c>
      <c r="C288">
        <v>293.59999961852998</v>
      </c>
      <c r="D288">
        <v>17.600000381469702</v>
      </c>
      <c r="E288" s="1">
        <v>43287</v>
      </c>
      <c r="F288">
        <v>-4.3138132095336896</v>
      </c>
      <c r="G288">
        <v>-17.600000381469702</v>
      </c>
      <c r="J288">
        <v>7.6342920999999997</v>
      </c>
      <c r="K288" s="1">
        <v>43287</v>
      </c>
      <c r="L288">
        <f t="shared" si="25"/>
        <v>306.15077583093</v>
      </c>
      <c r="M288">
        <f t="shared" si="26"/>
        <v>281.04922340612995</v>
      </c>
      <c r="N288">
        <f t="shared" si="27"/>
        <v>293.59999961852998</v>
      </c>
      <c r="O288">
        <f t="shared" si="28"/>
        <v>306.8861867904663</v>
      </c>
      <c r="P288">
        <f t="shared" si="29"/>
        <v>0</v>
      </c>
    </row>
    <row r="289" spans="1:16" x14ac:dyDescent="0.3">
      <c r="A289" s="1">
        <v>43199</v>
      </c>
      <c r="B289">
        <v>312.95</v>
      </c>
      <c r="C289">
        <v>296.24999923706002</v>
      </c>
      <c r="D289">
        <v>16.7000007629394</v>
      </c>
      <c r="E289" s="1">
        <v>43290</v>
      </c>
      <c r="F289">
        <v>-3.3326547145843501</v>
      </c>
      <c r="G289">
        <v>-16.7000007629394</v>
      </c>
      <c r="J289">
        <v>7.8618244480000001</v>
      </c>
      <c r="K289" s="1">
        <v>43290</v>
      </c>
      <c r="L289">
        <f t="shared" si="25"/>
        <v>309.17483862957204</v>
      </c>
      <c r="M289">
        <f t="shared" si="26"/>
        <v>283.32515984454801</v>
      </c>
      <c r="N289">
        <f t="shared" si="27"/>
        <v>296.24999923706002</v>
      </c>
      <c r="O289">
        <f t="shared" si="28"/>
        <v>309.61734528541564</v>
      </c>
      <c r="P289">
        <f t="shared" si="29"/>
        <v>0</v>
      </c>
    </row>
    <row r="290" spans="1:16" x14ac:dyDescent="0.3">
      <c r="A290" s="1">
        <v>43200</v>
      </c>
      <c r="B290">
        <v>313.45</v>
      </c>
      <c r="C290">
        <v>296.95</v>
      </c>
      <c r="D290">
        <v>16.5</v>
      </c>
      <c r="E290" s="1">
        <v>43291</v>
      </c>
      <c r="F290">
        <v>-5.7531871795654297</v>
      </c>
      <c r="G290">
        <v>-16.5</v>
      </c>
      <c r="J290">
        <v>8.0530036500000008</v>
      </c>
      <c r="K290" s="1">
        <v>43291</v>
      </c>
      <c r="L290">
        <f t="shared" si="25"/>
        <v>310.1891380006</v>
      </c>
      <c r="M290">
        <f t="shared" si="26"/>
        <v>283.71086199939998</v>
      </c>
      <c r="N290">
        <f t="shared" si="27"/>
        <v>296.95</v>
      </c>
      <c r="O290">
        <f t="shared" si="28"/>
        <v>307.69681282043456</v>
      </c>
      <c r="P290">
        <f t="shared" si="29"/>
        <v>1</v>
      </c>
    </row>
    <row r="291" spans="1:16" x14ac:dyDescent="0.3">
      <c r="A291" s="1">
        <v>43201</v>
      </c>
      <c r="B291">
        <v>312.45</v>
      </c>
      <c r="C291">
        <v>295.30000038146898</v>
      </c>
      <c r="D291">
        <v>17.149999618530199</v>
      </c>
      <c r="E291" s="1">
        <v>43292</v>
      </c>
      <c r="F291">
        <v>-0.65356886386871305</v>
      </c>
      <c r="G291">
        <v>-17.149999618530199</v>
      </c>
      <c r="J291">
        <v>8.2815882009999999</v>
      </c>
      <c r="K291" s="1">
        <v>43292</v>
      </c>
      <c r="L291">
        <f t="shared" si="25"/>
        <v>308.91493138391297</v>
      </c>
      <c r="M291">
        <f t="shared" si="26"/>
        <v>281.68506937902498</v>
      </c>
      <c r="N291">
        <f t="shared" si="27"/>
        <v>295.30000038146898</v>
      </c>
      <c r="O291">
        <f t="shared" si="28"/>
        <v>311.79643113613128</v>
      </c>
      <c r="P291">
        <f t="shared" si="29"/>
        <v>0</v>
      </c>
    </row>
    <row r="292" spans="1:16" x14ac:dyDescent="0.3">
      <c r="A292" s="1">
        <v>43202</v>
      </c>
      <c r="B292">
        <v>311.75</v>
      </c>
      <c r="C292">
        <v>296</v>
      </c>
      <c r="D292">
        <v>15.75</v>
      </c>
      <c r="E292" s="1">
        <v>43293</v>
      </c>
      <c r="F292">
        <v>-7.5866684913635201</v>
      </c>
      <c r="G292">
        <v>-15.75</v>
      </c>
      <c r="J292">
        <v>8.4787483909999999</v>
      </c>
      <c r="K292" s="1">
        <v>43293</v>
      </c>
      <c r="L292">
        <f t="shared" si="25"/>
        <v>309.93906235480398</v>
      </c>
      <c r="M292">
        <f t="shared" si="26"/>
        <v>282.06093764519602</v>
      </c>
      <c r="N292">
        <f t="shared" si="27"/>
        <v>296</v>
      </c>
      <c r="O292">
        <f t="shared" si="28"/>
        <v>304.16333150863647</v>
      </c>
      <c r="P292">
        <f t="shared" si="29"/>
        <v>1</v>
      </c>
    </row>
    <row r="293" spans="1:16" x14ac:dyDescent="0.3">
      <c r="A293" s="1">
        <v>43203</v>
      </c>
      <c r="B293">
        <v>314.45</v>
      </c>
      <c r="C293">
        <v>299.09999961852998</v>
      </c>
      <c r="D293">
        <v>15.3500003814697</v>
      </c>
      <c r="E293" s="1">
        <v>43294</v>
      </c>
      <c r="F293">
        <v>-2.4324100017547599</v>
      </c>
      <c r="G293">
        <v>-15.3500003814697</v>
      </c>
      <c r="J293">
        <v>8.5792699339999992</v>
      </c>
      <c r="K293" s="1">
        <v>43294</v>
      </c>
      <c r="L293">
        <f t="shared" si="25"/>
        <v>313.204319390026</v>
      </c>
      <c r="M293">
        <f t="shared" si="26"/>
        <v>284.99567984703395</v>
      </c>
      <c r="N293">
        <f t="shared" si="27"/>
        <v>299.09999961852998</v>
      </c>
      <c r="O293">
        <f t="shared" si="28"/>
        <v>312.01758999824523</v>
      </c>
      <c r="P293">
        <f t="shared" si="29"/>
        <v>1</v>
      </c>
    </row>
    <row r="294" spans="1:16" x14ac:dyDescent="0.3">
      <c r="A294" s="1">
        <v>43206</v>
      </c>
      <c r="B294">
        <v>314.3</v>
      </c>
      <c r="C294">
        <v>298.19999961853</v>
      </c>
      <c r="D294">
        <v>16.100000381469702</v>
      </c>
      <c r="E294" s="1">
        <v>43297</v>
      </c>
      <c r="F294">
        <v>-6.1856837272643999</v>
      </c>
      <c r="G294">
        <v>-16.100000381469702</v>
      </c>
      <c r="J294">
        <v>8.6916496730000006</v>
      </c>
      <c r="K294" s="1">
        <v>43297</v>
      </c>
      <c r="L294">
        <f t="shared" si="25"/>
        <v>312.489071680942</v>
      </c>
      <c r="M294">
        <f t="shared" si="26"/>
        <v>283.910927556118</v>
      </c>
      <c r="N294">
        <f t="shared" si="27"/>
        <v>298.19999961853</v>
      </c>
      <c r="O294">
        <f t="shared" si="28"/>
        <v>308.11431627273561</v>
      </c>
      <c r="P294">
        <f t="shared" si="29"/>
        <v>1</v>
      </c>
    </row>
    <row r="295" spans="1:16" x14ac:dyDescent="0.3">
      <c r="A295" s="1">
        <v>43207</v>
      </c>
      <c r="B295">
        <v>314.39999999999998</v>
      </c>
      <c r="C295">
        <v>297.35000076293898</v>
      </c>
      <c r="D295">
        <v>17.049999237060501</v>
      </c>
      <c r="E295" s="1">
        <v>43298</v>
      </c>
      <c r="F295">
        <v>-3.6663691997528001</v>
      </c>
      <c r="G295">
        <v>-17.049999237060501</v>
      </c>
      <c r="J295">
        <v>8.8127259250000005</v>
      </c>
      <c r="K295" s="1">
        <v>43298</v>
      </c>
      <c r="L295">
        <f t="shared" si="25"/>
        <v>311.83812218363897</v>
      </c>
      <c r="M295">
        <f t="shared" si="26"/>
        <v>282.86187934223898</v>
      </c>
      <c r="N295">
        <f t="shared" si="27"/>
        <v>297.35000076293898</v>
      </c>
      <c r="O295">
        <f t="shared" si="28"/>
        <v>310.73363080024717</v>
      </c>
      <c r="P295">
        <f t="shared" si="29"/>
        <v>1</v>
      </c>
    </row>
    <row r="296" spans="1:16" x14ac:dyDescent="0.3">
      <c r="A296" s="1">
        <v>43208</v>
      </c>
      <c r="B296">
        <v>317.60000000000002</v>
      </c>
      <c r="C296">
        <v>297.05000076293902</v>
      </c>
      <c r="D296">
        <v>-20.549999237060501</v>
      </c>
      <c r="E296" s="1">
        <v>43299</v>
      </c>
      <c r="F296">
        <v>1.16261529922485</v>
      </c>
      <c r="G296">
        <v>-20.549999237060501</v>
      </c>
      <c r="J296">
        <v>8.8939108519999994</v>
      </c>
      <c r="K296" s="1">
        <v>43299</v>
      </c>
      <c r="L296">
        <f t="shared" si="25"/>
        <v>311.67159020362703</v>
      </c>
      <c r="M296">
        <f t="shared" si="26"/>
        <v>282.42841132225101</v>
      </c>
      <c r="N296">
        <f t="shared" si="27"/>
        <v>297.05000076293902</v>
      </c>
      <c r="O296">
        <f t="shared" si="28"/>
        <v>318.76261529922488</v>
      </c>
      <c r="P296">
        <f t="shared" si="29"/>
        <v>0</v>
      </c>
    </row>
    <row r="297" spans="1:16" x14ac:dyDescent="0.3">
      <c r="A297" s="1">
        <v>43209</v>
      </c>
      <c r="B297">
        <v>319</v>
      </c>
      <c r="C297">
        <v>296.04999923705998</v>
      </c>
      <c r="D297">
        <v>22.9500007629394</v>
      </c>
      <c r="E297" s="1">
        <v>43300</v>
      </c>
      <c r="F297">
        <v>-3.39821434020996</v>
      </c>
      <c r="G297">
        <v>-22.9500007629394</v>
      </c>
      <c r="J297">
        <v>8.9623449720000004</v>
      </c>
      <c r="K297" s="1">
        <v>43300</v>
      </c>
      <c r="L297">
        <f t="shared" si="25"/>
        <v>310.784094371028</v>
      </c>
      <c r="M297">
        <f t="shared" si="26"/>
        <v>281.31590410309195</v>
      </c>
      <c r="N297">
        <f t="shared" si="27"/>
        <v>296.04999923705998</v>
      </c>
      <c r="O297">
        <f t="shared" si="28"/>
        <v>315.60178565979004</v>
      </c>
      <c r="P297">
        <f t="shared" si="29"/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vdiff_65_10_10_0.001_300_200_20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2018-07-22T02:27:05Z</dcterms:created>
  <dcterms:modified xsi:type="dcterms:W3CDTF">2018-07-22T02:27:05Z</dcterms:modified>
</cp:coreProperties>
</file>