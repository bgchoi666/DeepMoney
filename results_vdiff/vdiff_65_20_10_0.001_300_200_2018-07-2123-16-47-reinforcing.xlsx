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20_10_0.001_300_200_20" sheetId="1" r:id="rId1"/>
  </sheets>
  <calcPr calcId="152511"/>
</workbook>
</file>

<file path=xl/calcChain.xml><?xml version="1.0" encoding="utf-8"?>
<calcChain xmlns="http://schemas.openxmlformats.org/spreadsheetml/2006/main">
  <c r="Q2" i="1" l="1"/>
  <c r="O2" i="1"/>
  <c r="N2" i="1"/>
  <c r="R2" i="1" s="1"/>
  <c r="J1" i="1"/>
  <c r="I1" i="1"/>
  <c r="H1" i="1"/>
  <c r="Q15" i="1"/>
  <c r="P15" i="1"/>
  <c r="O15" i="1"/>
  <c r="N15" i="1"/>
  <c r="Q14" i="1"/>
  <c r="P14" i="1"/>
  <c r="O14" i="1"/>
  <c r="N14" i="1"/>
  <c r="Q13" i="1"/>
  <c r="P13" i="1"/>
  <c r="O13" i="1"/>
  <c r="N13" i="1"/>
  <c r="Q12" i="1"/>
  <c r="R12" i="1" s="1"/>
  <c r="P12" i="1"/>
  <c r="O12" i="1"/>
  <c r="N12" i="1"/>
  <c r="Q11" i="1"/>
  <c r="P11" i="1"/>
  <c r="O11" i="1"/>
  <c r="N11" i="1"/>
  <c r="Q10" i="1"/>
  <c r="P10" i="1"/>
  <c r="O10" i="1"/>
  <c r="N10" i="1"/>
  <c r="Q9" i="1"/>
  <c r="P9" i="1"/>
  <c r="O9" i="1"/>
  <c r="N9" i="1"/>
  <c r="Q8" i="1"/>
  <c r="R8" i="1" s="1"/>
  <c r="P8" i="1"/>
  <c r="O8" i="1"/>
  <c r="N8" i="1"/>
  <c r="Q7" i="1"/>
  <c r="P7" i="1"/>
  <c r="O7" i="1"/>
  <c r="N7" i="1"/>
  <c r="Q6" i="1"/>
  <c r="P6" i="1"/>
  <c r="O6" i="1"/>
  <c r="N6" i="1"/>
  <c r="Q5" i="1"/>
  <c r="P5" i="1"/>
  <c r="O5" i="1"/>
  <c r="N5" i="1"/>
  <c r="Q4" i="1"/>
  <c r="R4" i="1" s="1"/>
  <c r="P4" i="1"/>
  <c r="O4" i="1"/>
  <c r="N4" i="1"/>
  <c r="Q3" i="1"/>
  <c r="P3" i="1"/>
  <c r="O3" i="1"/>
  <c r="N3" i="1"/>
  <c r="P2" i="1"/>
  <c r="L1" i="1"/>
  <c r="K1" i="1"/>
  <c r="R3" i="1" l="1"/>
  <c r="R16" i="1" s="1"/>
  <c r="R5" i="1"/>
  <c r="R6" i="1"/>
  <c r="R7" i="1"/>
  <c r="R9" i="1"/>
  <c r="R10" i="1"/>
  <c r="R11" i="1"/>
  <c r="R13" i="1"/>
  <c r="R14" i="1"/>
  <c r="R15" i="1"/>
</calcChain>
</file>

<file path=xl/sharedStrings.xml><?xml version="1.0" encoding="utf-8"?>
<sst xmlns="http://schemas.openxmlformats.org/spreadsheetml/2006/main" count="11" uniqueCount="11">
  <si>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</si>
  <si>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</si>
  <si>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</si>
  <si>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</si>
  <si>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</si>
  <si>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</si>
  <si>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</si>
  <si>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</si>
  <si>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</si>
  <si>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실재지수</t>
    <phoneticPr fontId="18" type="noConversion"/>
  </si>
  <si>
    <t>예측지수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</si>
</sst>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vdiff_65_20_10_0.001_300_200_20!$N$1</c:f>
              <c:strCache>
                <c:ptCount val="1"/>
                <c:pt idx="0">
                  <c:v>BT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vdiff_65_20_10_0.001_300_200_20!$M$2:$M$15</c:f>
              <c:numCache>
                <c:formatCode>m/d/yyyy</c:formatCode>
                <c:ptCount val="14"/>
                <c:pt idx="0">
                  <c:v>43283</c:v>
                </c:pt>
                <c:pt idx="1">
                  <c:v>43284</c:v>
                </c:pt>
                <c:pt idx="2">
                  <c:v>43285</c:v>
                </c:pt>
                <c:pt idx="3">
                  <c:v>43286</c:v>
                </c:pt>
                <c:pt idx="4">
                  <c:v>43287</c:v>
                </c:pt>
                <c:pt idx="5">
                  <c:v>43290</c:v>
                </c:pt>
                <c:pt idx="6">
                  <c:v>43291</c:v>
                </c:pt>
                <c:pt idx="7">
                  <c:v>43292</c:v>
                </c:pt>
                <c:pt idx="8">
                  <c:v>43293</c:v>
                </c:pt>
                <c:pt idx="9">
                  <c:v>43294</c:v>
                </c:pt>
                <c:pt idx="10">
                  <c:v>43297</c:v>
                </c:pt>
                <c:pt idx="11">
                  <c:v>43298</c:v>
                </c:pt>
                <c:pt idx="12">
                  <c:v>43299</c:v>
                </c:pt>
                <c:pt idx="13">
                  <c:v>43300</c:v>
                </c:pt>
              </c:numCache>
            </c:numRef>
          </c:cat>
          <c:val>
            <c:numRef>
              <c:f>vdiff_65_20_10_0.001_300_200_20!$N$2:$N$15</c:f>
              <c:numCache>
                <c:formatCode>General</c:formatCode>
                <c:ptCount val="14"/>
                <c:pt idx="0">
                  <c:v>302.746603216224</c:v>
                </c:pt>
                <c:pt idx="1">
                  <c:v>304.32005032065342</c:v>
                </c:pt>
                <c:pt idx="2">
                  <c:v>303.82431163661278</c:v>
                </c:pt>
                <c:pt idx="3">
                  <c:v>303.99234718357769</c:v>
                </c:pt>
                <c:pt idx="4">
                  <c:v>306.15077583063521</c:v>
                </c:pt>
                <c:pt idx="5">
                  <c:v>309.17483862985176</c:v>
                </c:pt>
                <c:pt idx="6">
                  <c:v>310.18913800075802</c:v>
                </c:pt>
                <c:pt idx="7">
                  <c:v>308.91493138332316</c:v>
                </c:pt>
                <c:pt idx="8">
                  <c:v>309.93906235489715</c:v>
                </c:pt>
                <c:pt idx="9">
                  <c:v>313.20431938961565</c:v>
                </c:pt>
                <c:pt idx="10">
                  <c:v>312.48907168097043</c:v>
                </c:pt>
                <c:pt idx="11">
                  <c:v>311.83812218289154</c:v>
                </c:pt>
                <c:pt idx="12">
                  <c:v>311.67159020335544</c:v>
                </c:pt>
                <c:pt idx="13">
                  <c:v>310.78409437164362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vdiff_65_20_10_0.001_300_200_20!$O$1</c:f>
              <c:strCache>
                <c:ptCount val="1"/>
                <c:pt idx="0">
                  <c:v>BB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vdiff_65_20_10_0.001_300_200_20!$M$2:$M$15</c:f>
              <c:numCache>
                <c:formatCode>m/d/yyyy</c:formatCode>
                <c:ptCount val="14"/>
                <c:pt idx="0">
                  <c:v>43283</c:v>
                </c:pt>
                <c:pt idx="1">
                  <c:v>43284</c:v>
                </c:pt>
                <c:pt idx="2">
                  <c:v>43285</c:v>
                </c:pt>
                <c:pt idx="3">
                  <c:v>43286</c:v>
                </c:pt>
                <c:pt idx="4">
                  <c:v>43287</c:v>
                </c:pt>
                <c:pt idx="5">
                  <c:v>43290</c:v>
                </c:pt>
                <c:pt idx="6">
                  <c:v>43291</c:v>
                </c:pt>
                <c:pt idx="7">
                  <c:v>43292</c:v>
                </c:pt>
                <c:pt idx="8">
                  <c:v>43293</c:v>
                </c:pt>
                <c:pt idx="9">
                  <c:v>43294</c:v>
                </c:pt>
                <c:pt idx="10">
                  <c:v>43297</c:v>
                </c:pt>
                <c:pt idx="11">
                  <c:v>43298</c:v>
                </c:pt>
                <c:pt idx="12">
                  <c:v>43299</c:v>
                </c:pt>
                <c:pt idx="13">
                  <c:v>43300</c:v>
                </c:pt>
              </c:numCache>
            </c:numRef>
          </c:cat>
          <c:val>
            <c:numRef>
              <c:f>vdiff_65_20_10_0.001_300_200_20!$O$2:$O$15</c:f>
              <c:numCache>
                <c:formatCode>General</c:formatCode>
                <c:ptCount val="14"/>
                <c:pt idx="0">
                  <c:v>283.05339830965397</c:v>
                </c:pt>
                <c:pt idx="1">
                  <c:v>283.1799512052246</c:v>
                </c:pt>
                <c:pt idx="2">
                  <c:v>281.27568836338725</c:v>
                </c:pt>
                <c:pt idx="3">
                  <c:v>280.00765129054236</c:v>
                </c:pt>
                <c:pt idx="4">
                  <c:v>281.04922340642474</c:v>
                </c:pt>
                <c:pt idx="5">
                  <c:v>283.32515984426828</c:v>
                </c:pt>
                <c:pt idx="6">
                  <c:v>283.71086199924196</c:v>
                </c:pt>
                <c:pt idx="7">
                  <c:v>281.68506937961479</c:v>
                </c:pt>
                <c:pt idx="8">
                  <c:v>282.06093764510285</c:v>
                </c:pt>
                <c:pt idx="9">
                  <c:v>284.99567984744431</c:v>
                </c:pt>
                <c:pt idx="10">
                  <c:v>283.91092755608958</c:v>
                </c:pt>
                <c:pt idx="11">
                  <c:v>282.86187934298641</c:v>
                </c:pt>
                <c:pt idx="12">
                  <c:v>282.42841132252261</c:v>
                </c:pt>
                <c:pt idx="13">
                  <c:v>281.31590410247634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vdiff_65_20_10_0.001_300_200_20!$P$1</c:f>
              <c:strCache>
                <c:ptCount val="1"/>
                <c:pt idx="0">
                  <c:v>실재지수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vdiff_65_20_10_0.001_300_200_20!$M$2:$M$15</c:f>
              <c:numCache>
                <c:formatCode>m/d/yyyy</c:formatCode>
                <c:ptCount val="14"/>
                <c:pt idx="0">
                  <c:v>43283</c:v>
                </c:pt>
                <c:pt idx="1">
                  <c:v>43284</c:v>
                </c:pt>
                <c:pt idx="2">
                  <c:v>43285</c:v>
                </c:pt>
                <c:pt idx="3">
                  <c:v>43286</c:v>
                </c:pt>
                <c:pt idx="4">
                  <c:v>43287</c:v>
                </c:pt>
                <c:pt idx="5">
                  <c:v>43290</c:v>
                </c:pt>
                <c:pt idx="6">
                  <c:v>43291</c:v>
                </c:pt>
                <c:pt idx="7">
                  <c:v>43292</c:v>
                </c:pt>
                <c:pt idx="8">
                  <c:v>43293</c:v>
                </c:pt>
                <c:pt idx="9">
                  <c:v>43294</c:v>
                </c:pt>
                <c:pt idx="10">
                  <c:v>43297</c:v>
                </c:pt>
                <c:pt idx="11">
                  <c:v>43298</c:v>
                </c:pt>
                <c:pt idx="12">
                  <c:v>43299</c:v>
                </c:pt>
                <c:pt idx="13">
                  <c:v>43300</c:v>
                </c:pt>
              </c:numCache>
            </c:numRef>
          </c:cat>
          <c:val>
            <c:numRef>
              <c:f>vdiff_65_20_10_0.001_300_200_20!$P$2:$P$15</c:f>
              <c:numCache>
                <c:formatCode>General</c:formatCode>
                <c:ptCount val="14"/>
                <c:pt idx="0">
                  <c:v>292.90000076293899</c:v>
                </c:pt>
                <c:pt idx="1">
                  <c:v>293.75000076293901</c:v>
                </c:pt>
                <c:pt idx="2">
                  <c:v>292.55</c:v>
                </c:pt>
                <c:pt idx="3">
                  <c:v>291.99999923706002</c:v>
                </c:pt>
                <c:pt idx="4">
                  <c:v>293.59999961852998</c:v>
                </c:pt>
                <c:pt idx="5">
                  <c:v>296.24999923706002</c:v>
                </c:pt>
                <c:pt idx="6">
                  <c:v>296.95</c:v>
                </c:pt>
                <c:pt idx="7">
                  <c:v>295.30000038146898</c:v>
                </c:pt>
                <c:pt idx="8">
                  <c:v>296</c:v>
                </c:pt>
                <c:pt idx="9">
                  <c:v>299.09999961852998</c:v>
                </c:pt>
                <c:pt idx="10">
                  <c:v>298.19999961853</c:v>
                </c:pt>
                <c:pt idx="11">
                  <c:v>297.35000076293898</c:v>
                </c:pt>
                <c:pt idx="12">
                  <c:v>297.05000076293902</c:v>
                </c:pt>
                <c:pt idx="13">
                  <c:v>296.04999923705998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vdiff_65_20_10_0.001_300_200_20!$Q$1</c:f>
              <c:strCache>
                <c:ptCount val="1"/>
                <c:pt idx="0">
                  <c:v>예측지수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vdiff_65_20_10_0.001_300_200_20!$M$2:$M$15</c:f>
              <c:numCache>
                <c:formatCode>m/d/yyyy</c:formatCode>
                <c:ptCount val="14"/>
                <c:pt idx="0">
                  <c:v>43283</c:v>
                </c:pt>
                <c:pt idx="1">
                  <c:v>43284</c:v>
                </c:pt>
                <c:pt idx="2">
                  <c:v>43285</c:v>
                </c:pt>
                <c:pt idx="3">
                  <c:v>43286</c:v>
                </c:pt>
                <c:pt idx="4">
                  <c:v>43287</c:v>
                </c:pt>
                <c:pt idx="5">
                  <c:v>43290</c:v>
                </c:pt>
                <c:pt idx="6">
                  <c:v>43291</c:v>
                </c:pt>
                <c:pt idx="7">
                  <c:v>43292</c:v>
                </c:pt>
                <c:pt idx="8">
                  <c:v>43293</c:v>
                </c:pt>
                <c:pt idx="9">
                  <c:v>43294</c:v>
                </c:pt>
                <c:pt idx="10">
                  <c:v>43297</c:v>
                </c:pt>
                <c:pt idx="11">
                  <c:v>43298</c:v>
                </c:pt>
                <c:pt idx="12">
                  <c:v>43299</c:v>
                </c:pt>
                <c:pt idx="13">
                  <c:v>43300</c:v>
                </c:pt>
              </c:numCache>
            </c:numRef>
          </c:cat>
          <c:val>
            <c:numRef>
              <c:f>vdiff_65_20_10_0.001_300_200_20!$Q$2:$Q$15</c:f>
              <c:numCache>
                <c:formatCode>General</c:formatCode>
                <c:ptCount val="14"/>
                <c:pt idx="0">
                  <c:v>305.11507530212401</c:v>
                </c:pt>
                <c:pt idx="1">
                  <c:v>303.43915920257569</c:v>
                </c:pt>
                <c:pt idx="2">
                  <c:v>299.91714601516725</c:v>
                </c:pt>
                <c:pt idx="3">
                  <c:v>308.51105613708495</c:v>
                </c:pt>
                <c:pt idx="4">
                  <c:v>302.83616180419921</c:v>
                </c:pt>
                <c:pt idx="5">
                  <c:v>304.54992885589598</c:v>
                </c:pt>
                <c:pt idx="6">
                  <c:v>306.9887578010559</c:v>
                </c:pt>
                <c:pt idx="7">
                  <c:v>302.48748893737792</c:v>
                </c:pt>
                <c:pt idx="8">
                  <c:v>301.13114547729498</c:v>
                </c:pt>
                <c:pt idx="9">
                  <c:v>303.60794754028331</c:v>
                </c:pt>
                <c:pt idx="10">
                  <c:v>302.1791522979737</c:v>
                </c:pt>
                <c:pt idx="11">
                  <c:v>303.477491760254</c:v>
                </c:pt>
                <c:pt idx="12">
                  <c:v>304.23069152832045</c:v>
                </c:pt>
                <c:pt idx="13">
                  <c:v>303.52628517150879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98487312"/>
        <c:axId val="-1498482416"/>
      </c:lineChart>
      <c:dateAx>
        <c:axId val="-1498487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98482416"/>
        <c:crosses val="autoZero"/>
        <c:auto val="1"/>
        <c:lblOffset val="100"/>
        <c:baseTimeUnit val="days"/>
      </c:dateAx>
      <c:valAx>
        <c:axId val="-149848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9848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16</xdr:row>
      <xdr:rowOff>180975</xdr:rowOff>
    </xdr:from>
    <xdr:to>
      <xdr:col>12</xdr:col>
      <xdr:colOff>476250</xdr:colOff>
      <xdr:row>29</xdr:row>
      <xdr:rowOff>200025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workbookViewId="0">
      <selection activeCell="R30" sqref="R30"/>
    </sheetView>
  </sheetViews>
  <sheetFormatPr defaultRowHeight="16.5" x14ac:dyDescent="0.3"/>
  <cols>
    <col min="1" max="1" width="10.125" customWidth="1"/>
    <col min="5" max="5" width="10.25" customWidth="1"/>
    <col min="13" max="13" width="10.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COUNTIF(D2:D15, "&gt;0")/14</f>
        <v>1</v>
      </c>
      <c r="I1">
        <f>AVERAGEIF(D2:D15, "&gt;0")</f>
        <v>17.946428571428534</v>
      </c>
      <c r="J1" t="e">
        <f>AVERAGEIF(D2:D15, "&lt;0")</f>
        <v>#DIV/0!</v>
      </c>
      <c r="K1">
        <f>MAX(D2:D37)</f>
        <v>22.9500007629394</v>
      </c>
      <c r="L1">
        <f>MIN(D2:D37)</f>
        <v>15</v>
      </c>
      <c r="N1" t="s">
        <v>7</v>
      </c>
      <c r="O1" t="s">
        <v>8</v>
      </c>
      <c r="P1" t="s">
        <v>9</v>
      </c>
      <c r="Q1" t="s">
        <v>10</v>
      </c>
    </row>
    <row r="2" spans="1:18" x14ac:dyDescent="0.3">
      <c r="A2" s="1">
        <v>43192</v>
      </c>
      <c r="B2">
        <v>313.45</v>
      </c>
      <c r="C2">
        <v>292.90000076293899</v>
      </c>
      <c r="D2">
        <v>20.549999237060501</v>
      </c>
      <c r="E2" s="1">
        <v>43283</v>
      </c>
      <c r="F2">
        <v>-8.3349246978759695</v>
      </c>
      <c r="G2">
        <v>-20.549999237060501</v>
      </c>
      <c r="K2">
        <v>5.9894175506599829</v>
      </c>
      <c r="M2" s="1">
        <v>43283</v>
      </c>
      <c r="N2">
        <f>C2+1.644*K2</f>
        <v>302.746603216224</v>
      </c>
      <c r="O2">
        <f>C2-1.644*K2</f>
        <v>283.05339830965397</v>
      </c>
      <c r="P2">
        <f>C2</f>
        <v>292.90000076293899</v>
      </c>
      <c r="Q2">
        <f>F2+B2</f>
        <v>305.11507530212401</v>
      </c>
      <c r="R2">
        <f>IF(AND(D2&gt;0, AND(Q2&lt;N2, Q2&gt;O2)),1,0)</f>
        <v>0</v>
      </c>
    </row>
    <row r="3" spans="1:18" x14ac:dyDescent="0.3">
      <c r="A3" s="1">
        <v>43193</v>
      </c>
      <c r="B3">
        <v>312.8</v>
      </c>
      <c r="C3">
        <v>293.75000076293901</v>
      </c>
      <c r="D3">
        <v>19.049999237060501</v>
      </c>
      <c r="E3" s="1">
        <v>43284</v>
      </c>
      <c r="F3">
        <v>-9.3608407974243093</v>
      </c>
      <c r="G3">
        <v>-19.049999237060501</v>
      </c>
      <c r="K3">
        <v>6.429470533889539</v>
      </c>
      <c r="M3" s="1">
        <v>43284</v>
      </c>
      <c r="N3">
        <f t="shared" ref="N3:N15" si="0">C3+1.644*K3</f>
        <v>304.32005032065342</v>
      </c>
      <c r="O3">
        <f t="shared" ref="O3:O15" si="1">C3-1.644*K3</f>
        <v>283.1799512052246</v>
      </c>
      <c r="P3">
        <f t="shared" ref="P3:P15" si="2">C3</f>
        <v>293.75000076293901</v>
      </c>
      <c r="Q3">
        <f t="shared" ref="Q3:Q15" si="3">F3+B3</f>
        <v>303.43915920257569</v>
      </c>
      <c r="R3">
        <f t="shared" ref="R3:R15" si="4">IF(AND(D3&gt;0, AND(Q3&lt;N3, Q3&gt;O3)),1,0)</f>
        <v>1</v>
      </c>
    </row>
    <row r="4" spans="1:18" x14ac:dyDescent="0.3">
      <c r="A4" s="1">
        <v>43194</v>
      </c>
      <c r="B4">
        <v>307.55</v>
      </c>
      <c r="C4">
        <v>292.55</v>
      </c>
      <c r="D4">
        <v>15</v>
      </c>
      <c r="E4" s="1">
        <v>43285</v>
      </c>
      <c r="F4">
        <v>-7.6328539848327601</v>
      </c>
      <c r="G4">
        <v>-15</v>
      </c>
      <c r="K4">
        <v>6.8578537935600625</v>
      </c>
      <c r="M4" s="1">
        <v>43285</v>
      </c>
      <c r="N4">
        <f t="shared" si="0"/>
        <v>303.82431163661278</v>
      </c>
      <c r="O4">
        <f t="shared" si="1"/>
        <v>281.27568836338725</v>
      </c>
      <c r="P4">
        <f t="shared" si="2"/>
        <v>292.55</v>
      </c>
      <c r="Q4">
        <f t="shared" si="3"/>
        <v>299.91714601516725</v>
      </c>
      <c r="R4">
        <f t="shared" si="4"/>
        <v>1</v>
      </c>
    </row>
    <row r="5" spans="1:18" x14ac:dyDescent="0.3">
      <c r="A5" s="1">
        <v>43195</v>
      </c>
      <c r="B5">
        <v>312.95</v>
      </c>
      <c r="C5">
        <v>291.99999923706002</v>
      </c>
      <c r="D5">
        <v>20.9500007629394</v>
      </c>
      <c r="E5" s="1">
        <v>43286</v>
      </c>
      <c r="F5">
        <v>-4.4389438629150302</v>
      </c>
      <c r="G5">
        <v>-20.9500007629394</v>
      </c>
      <c r="K5">
        <v>7.2946155392443126</v>
      </c>
      <c r="M5" s="1">
        <v>43286</v>
      </c>
      <c r="N5">
        <f t="shared" si="0"/>
        <v>303.99234718357769</v>
      </c>
      <c r="O5">
        <f t="shared" si="1"/>
        <v>280.00765129054236</v>
      </c>
      <c r="P5">
        <f t="shared" si="2"/>
        <v>291.99999923706002</v>
      </c>
      <c r="Q5">
        <f t="shared" si="3"/>
        <v>308.51105613708495</v>
      </c>
      <c r="R5">
        <f t="shared" si="4"/>
        <v>0</v>
      </c>
    </row>
    <row r="6" spans="1:18" x14ac:dyDescent="0.3">
      <c r="A6" s="1">
        <v>43196</v>
      </c>
      <c r="B6">
        <v>311.2</v>
      </c>
      <c r="C6">
        <v>293.59999961852998</v>
      </c>
      <c r="D6">
        <v>17.600000381469702</v>
      </c>
      <c r="E6" s="1">
        <v>43287</v>
      </c>
      <c r="F6">
        <v>-8.3638381958007795</v>
      </c>
      <c r="G6">
        <v>-17.600000381469702</v>
      </c>
      <c r="K6">
        <v>7.634292099820688</v>
      </c>
      <c r="M6" s="1">
        <v>43287</v>
      </c>
      <c r="N6">
        <f t="shared" si="0"/>
        <v>306.15077583063521</v>
      </c>
      <c r="O6">
        <f t="shared" si="1"/>
        <v>281.04922340642474</v>
      </c>
      <c r="P6">
        <f t="shared" si="2"/>
        <v>293.59999961852998</v>
      </c>
      <c r="Q6">
        <f t="shared" si="3"/>
        <v>302.83616180419921</v>
      </c>
      <c r="R6">
        <f t="shared" si="4"/>
        <v>1</v>
      </c>
    </row>
    <row r="7" spans="1:18" x14ac:dyDescent="0.3">
      <c r="A7" s="1">
        <v>43199</v>
      </c>
      <c r="B7">
        <v>312.95</v>
      </c>
      <c r="C7">
        <v>296.24999923706002</v>
      </c>
      <c r="D7">
        <v>16.7000007629394</v>
      </c>
      <c r="E7" s="1">
        <v>43290</v>
      </c>
      <c r="F7">
        <v>-8.4000711441040004</v>
      </c>
      <c r="G7">
        <v>-16.7000007629394</v>
      </c>
      <c r="K7">
        <v>7.8618244481701653</v>
      </c>
      <c r="M7" s="1">
        <v>43290</v>
      </c>
      <c r="N7">
        <f t="shared" si="0"/>
        <v>309.17483862985176</v>
      </c>
      <c r="O7">
        <f t="shared" si="1"/>
        <v>283.32515984426828</v>
      </c>
      <c r="P7">
        <f t="shared" si="2"/>
        <v>296.24999923706002</v>
      </c>
      <c r="Q7">
        <f t="shared" si="3"/>
        <v>304.54992885589598</v>
      </c>
      <c r="R7">
        <f t="shared" si="4"/>
        <v>1</v>
      </c>
    </row>
    <row r="8" spans="1:18" x14ac:dyDescent="0.3">
      <c r="A8" s="1">
        <v>43200</v>
      </c>
      <c r="B8">
        <v>313.45</v>
      </c>
      <c r="C8">
        <v>296.95</v>
      </c>
      <c r="D8">
        <v>16.5</v>
      </c>
      <c r="E8" s="1">
        <v>43291</v>
      </c>
      <c r="F8">
        <v>-6.46124219894409</v>
      </c>
      <c r="G8">
        <v>-16.5</v>
      </c>
      <c r="K8">
        <v>8.0530036500961248</v>
      </c>
      <c r="M8" s="1">
        <v>43291</v>
      </c>
      <c r="N8">
        <f t="shared" si="0"/>
        <v>310.18913800075802</v>
      </c>
      <c r="O8">
        <f t="shared" si="1"/>
        <v>283.71086199924196</v>
      </c>
      <c r="P8">
        <f t="shared" si="2"/>
        <v>296.95</v>
      </c>
      <c r="Q8">
        <f t="shared" si="3"/>
        <v>306.9887578010559</v>
      </c>
      <c r="R8">
        <f t="shared" si="4"/>
        <v>1</v>
      </c>
    </row>
    <row r="9" spans="1:18" x14ac:dyDescent="0.3">
      <c r="A9" s="1">
        <v>43201</v>
      </c>
      <c r="B9">
        <v>312.45</v>
      </c>
      <c r="C9">
        <v>295.30000038146898</v>
      </c>
      <c r="D9">
        <v>17.149999618530199</v>
      </c>
      <c r="E9" s="1">
        <v>43292</v>
      </c>
      <c r="F9">
        <v>-9.9625110626220703</v>
      </c>
      <c r="G9">
        <v>-17.149999618530199</v>
      </c>
      <c r="K9">
        <v>8.2815882006412274</v>
      </c>
      <c r="M9" s="1">
        <v>43292</v>
      </c>
      <c r="N9">
        <f t="shared" si="0"/>
        <v>308.91493138332316</v>
      </c>
      <c r="O9">
        <f t="shared" si="1"/>
        <v>281.68506937961479</v>
      </c>
      <c r="P9">
        <f t="shared" si="2"/>
        <v>295.30000038146898</v>
      </c>
      <c r="Q9">
        <f t="shared" si="3"/>
        <v>302.48748893737792</v>
      </c>
      <c r="R9">
        <f t="shared" si="4"/>
        <v>1</v>
      </c>
    </row>
    <row r="10" spans="1:18" x14ac:dyDescent="0.3">
      <c r="A10" s="1">
        <v>43202</v>
      </c>
      <c r="B10">
        <v>311.75</v>
      </c>
      <c r="C10">
        <v>296</v>
      </c>
      <c r="D10">
        <v>15.75</v>
      </c>
      <c r="E10" s="1">
        <v>43293</v>
      </c>
      <c r="F10">
        <v>-10.618854522705</v>
      </c>
      <c r="G10">
        <v>-15.75</v>
      </c>
      <c r="K10">
        <v>8.4787483910566728</v>
      </c>
      <c r="M10" s="1">
        <v>43293</v>
      </c>
      <c r="N10">
        <f t="shared" si="0"/>
        <v>309.93906235489715</v>
      </c>
      <c r="O10">
        <f t="shared" si="1"/>
        <v>282.06093764510285</v>
      </c>
      <c r="P10">
        <f t="shared" si="2"/>
        <v>296</v>
      </c>
      <c r="Q10">
        <f t="shared" si="3"/>
        <v>301.13114547729498</v>
      </c>
      <c r="R10">
        <f t="shared" si="4"/>
        <v>1</v>
      </c>
    </row>
    <row r="11" spans="1:18" x14ac:dyDescent="0.3">
      <c r="A11" s="1">
        <v>43203</v>
      </c>
      <c r="B11">
        <v>314.45</v>
      </c>
      <c r="C11">
        <v>299.09999961852998</v>
      </c>
      <c r="D11">
        <v>15.3500003814697</v>
      </c>
      <c r="E11" s="1">
        <v>43294</v>
      </c>
      <c r="F11">
        <v>-10.842052459716699</v>
      </c>
      <c r="G11">
        <v>-15.3500003814697</v>
      </c>
      <c r="K11">
        <v>8.5792699337504121</v>
      </c>
      <c r="M11" s="1">
        <v>43294</v>
      </c>
      <c r="N11">
        <f t="shared" si="0"/>
        <v>313.20431938961565</v>
      </c>
      <c r="O11">
        <f t="shared" si="1"/>
        <v>284.99567984744431</v>
      </c>
      <c r="P11">
        <f t="shared" si="2"/>
        <v>299.09999961852998</v>
      </c>
      <c r="Q11">
        <f t="shared" si="3"/>
        <v>303.60794754028331</v>
      </c>
      <c r="R11">
        <f t="shared" si="4"/>
        <v>1</v>
      </c>
    </row>
    <row r="12" spans="1:18" x14ac:dyDescent="0.3">
      <c r="A12" s="1">
        <v>43206</v>
      </c>
      <c r="B12">
        <v>314.3</v>
      </c>
      <c r="C12">
        <v>298.19999961853</v>
      </c>
      <c r="D12">
        <v>16.100000381469702</v>
      </c>
      <c r="E12" s="1">
        <v>43297</v>
      </c>
      <c r="F12">
        <v>-12.1208477020263</v>
      </c>
      <c r="G12">
        <v>-16.100000381469702</v>
      </c>
      <c r="K12">
        <v>8.6916496730172845</v>
      </c>
      <c r="M12" s="1">
        <v>43297</v>
      </c>
      <c r="N12">
        <f t="shared" si="0"/>
        <v>312.48907168097043</v>
      </c>
      <c r="O12">
        <f t="shared" si="1"/>
        <v>283.91092755608958</v>
      </c>
      <c r="P12">
        <f t="shared" si="2"/>
        <v>298.19999961853</v>
      </c>
      <c r="Q12">
        <f t="shared" si="3"/>
        <v>302.1791522979737</v>
      </c>
      <c r="R12">
        <f t="shared" si="4"/>
        <v>1</v>
      </c>
    </row>
    <row r="13" spans="1:18" x14ac:dyDescent="0.3">
      <c r="A13" s="1">
        <v>43207</v>
      </c>
      <c r="B13">
        <v>314.39999999999998</v>
      </c>
      <c r="C13">
        <v>297.35000076293898</v>
      </c>
      <c r="D13">
        <v>17.049999237060501</v>
      </c>
      <c r="E13" s="1">
        <v>43298</v>
      </c>
      <c r="F13">
        <v>-10.922508239746</v>
      </c>
      <c r="G13">
        <v>-17.049999237060501</v>
      </c>
      <c r="K13">
        <v>8.8127259245453562</v>
      </c>
      <c r="M13" s="1">
        <v>43298</v>
      </c>
      <c r="N13">
        <f t="shared" si="0"/>
        <v>311.83812218289154</v>
      </c>
      <c r="O13">
        <f t="shared" si="1"/>
        <v>282.86187934298641</v>
      </c>
      <c r="P13">
        <f t="shared" si="2"/>
        <v>297.35000076293898</v>
      </c>
      <c r="Q13">
        <f t="shared" si="3"/>
        <v>303.477491760254</v>
      </c>
      <c r="R13">
        <f t="shared" si="4"/>
        <v>1</v>
      </c>
    </row>
    <row r="14" spans="1:18" x14ac:dyDescent="0.3">
      <c r="A14" s="1">
        <v>43208</v>
      </c>
      <c r="B14">
        <v>317.60000000000002</v>
      </c>
      <c r="C14">
        <v>297.05000076293902</v>
      </c>
      <c r="D14">
        <v>20.549999237060501</v>
      </c>
      <c r="E14" s="1">
        <v>43299</v>
      </c>
      <c r="F14">
        <v>-13.3693084716796</v>
      </c>
      <c r="G14">
        <v>-20.549999237060501</v>
      </c>
      <c r="K14">
        <v>8.8939108518347858</v>
      </c>
      <c r="M14" s="1">
        <v>43299</v>
      </c>
      <c r="N14">
        <f t="shared" si="0"/>
        <v>311.67159020335544</v>
      </c>
      <c r="O14">
        <f t="shared" si="1"/>
        <v>282.42841132252261</v>
      </c>
      <c r="P14">
        <f t="shared" si="2"/>
        <v>297.05000076293902</v>
      </c>
      <c r="Q14">
        <f t="shared" si="3"/>
        <v>304.23069152832045</v>
      </c>
      <c r="R14">
        <f t="shared" si="4"/>
        <v>1</v>
      </c>
    </row>
    <row r="15" spans="1:18" x14ac:dyDescent="0.3">
      <c r="A15" s="1">
        <v>43209</v>
      </c>
      <c r="B15">
        <v>319</v>
      </c>
      <c r="C15">
        <v>296.04999923705998</v>
      </c>
      <c r="D15">
        <v>22.9500007629394</v>
      </c>
      <c r="E15" s="1">
        <v>43300</v>
      </c>
      <c r="F15">
        <v>-15.4737148284912</v>
      </c>
      <c r="G15">
        <v>-22.9500007629394</v>
      </c>
      <c r="K15">
        <v>8.9623449723744795</v>
      </c>
      <c r="M15" s="1">
        <v>43300</v>
      </c>
      <c r="N15">
        <f t="shared" si="0"/>
        <v>310.78409437164362</v>
      </c>
      <c r="O15">
        <f t="shared" si="1"/>
        <v>281.31590410247634</v>
      </c>
      <c r="P15">
        <f t="shared" si="2"/>
        <v>296.04999923705998</v>
      </c>
      <c r="Q15">
        <f t="shared" si="3"/>
        <v>303.52628517150879</v>
      </c>
      <c r="R15">
        <f t="shared" si="4"/>
        <v>1</v>
      </c>
    </row>
    <row r="16" spans="1:18" x14ac:dyDescent="0.3">
      <c r="M16" s="1"/>
      <c r="R16">
        <f>SUM(R2:R15)/14</f>
        <v>0.8571428571428571</v>
      </c>
    </row>
    <row r="17" spans="13:13" x14ac:dyDescent="0.3">
      <c r="M17" s="1"/>
    </row>
    <row r="18" spans="13:13" x14ac:dyDescent="0.3">
      <c r="M18" s="1"/>
    </row>
    <row r="19" spans="13:13" x14ac:dyDescent="0.3">
      <c r="M19" s="1"/>
    </row>
    <row r="20" spans="13:13" x14ac:dyDescent="0.3">
      <c r="M20" s="1"/>
    </row>
    <row r="21" spans="13:13" x14ac:dyDescent="0.3">
      <c r="M21" s="1"/>
    </row>
    <row r="22" spans="13:13" x14ac:dyDescent="0.3">
      <c r="M22" s="1"/>
    </row>
    <row r="23" spans="13:13" x14ac:dyDescent="0.3">
      <c r="M23" s="1"/>
    </row>
    <row r="24" spans="13:13" x14ac:dyDescent="0.3">
      <c r="M24" s="1"/>
    </row>
    <row r="25" spans="13:13" x14ac:dyDescent="0.3">
      <c r="M25" s="1"/>
    </row>
    <row r="26" spans="13:13" x14ac:dyDescent="0.3">
      <c r="M26" s="1"/>
    </row>
    <row r="27" spans="13:13" x14ac:dyDescent="0.3">
      <c r="M27" s="1"/>
    </row>
    <row r="28" spans="13:13" x14ac:dyDescent="0.3">
      <c r="M28" s="1"/>
    </row>
    <row r="29" spans="13:13" x14ac:dyDescent="0.3">
      <c r="M29" s="1"/>
    </row>
    <row r="30" spans="13:13" x14ac:dyDescent="0.3">
      <c r="M30" s="1"/>
    </row>
    <row r="31" spans="13:13" x14ac:dyDescent="0.3">
      <c r="M31" s="1"/>
    </row>
    <row r="32" spans="13:13" x14ac:dyDescent="0.3">
      <c r="M32" s="1"/>
    </row>
    <row r="33" spans="13:13" x14ac:dyDescent="0.3">
      <c r="M33" s="1"/>
    </row>
    <row r="34" spans="13:13" x14ac:dyDescent="0.3">
      <c r="M34" s="1"/>
    </row>
    <row r="35" spans="13:13" x14ac:dyDescent="0.3">
      <c r="M35" s="1"/>
    </row>
    <row r="36" spans="13:13" x14ac:dyDescent="0.3">
      <c r="M36" s="1"/>
    </row>
    <row r="37" spans="13:13" x14ac:dyDescent="0.3">
      <c r="M37" s="1"/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vdiff_65_20_10_0.001_300_200_20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2018-07-21T14:23:41Z</dcterms:created>
  <dcterms:modified xsi:type="dcterms:W3CDTF">2018-07-21T14:26:02Z</dcterms:modified>
</cp:coreProperties>
</file>