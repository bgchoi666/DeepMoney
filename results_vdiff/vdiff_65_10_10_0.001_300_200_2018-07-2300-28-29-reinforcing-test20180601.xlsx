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152511"/>
</workbook>
</file>

<file path=xl/calcChain.xml><?xml version="1.0" encoding="utf-8"?>
<calcChain xmlns="http://schemas.openxmlformats.org/spreadsheetml/2006/main">
  <c r="V27" i="1" l="1"/>
  <c r="V28" i="1"/>
  <c r="V29" i="1"/>
  <c r="V30" i="1"/>
  <c r="V31" i="1"/>
  <c r="V32" i="1"/>
  <c r="V33" i="1"/>
  <c r="V34" i="1"/>
  <c r="V35" i="1"/>
  <c r="V36" i="1"/>
  <c r="V21" i="1"/>
  <c r="V22" i="1"/>
  <c r="V23" i="1"/>
  <c r="V24" i="1"/>
  <c r="V25" i="1"/>
  <c r="V26" i="1"/>
  <c r="V12" i="1"/>
  <c r="V13" i="1"/>
  <c r="V14" i="1"/>
  <c r="V15" i="1"/>
  <c r="V16" i="1"/>
  <c r="V17" i="1"/>
  <c r="V18" i="1"/>
  <c r="V19" i="1"/>
  <c r="V20" i="1"/>
  <c r="V3" i="1"/>
  <c r="V4" i="1"/>
  <c r="V5" i="1"/>
  <c r="V6" i="1"/>
  <c r="V7" i="1"/>
  <c r="V8" i="1"/>
  <c r="V9" i="1"/>
  <c r="V10" i="1"/>
  <c r="V11" i="1"/>
  <c r="V2" i="1"/>
  <c r="R2" i="1"/>
  <c r="U2" i="1"/>
  <c r="V37" i="1" l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5" i="1"/>
  <c r="U16" i="1"/>
  <c r="U12" i="1"/>
  <c r="U13" i="1"/>
  <c r="U14" i="1"/>
  <c r="U11" i="1"/>
  <c r="U10" i="1"/>
  <c r="U8" i="1"/>
  <c r="U9" i="1"/>
  <c r="U7" i="1"/>
  <c r="U6" i="1"/>
  <c r="U5" i="1"/>
  <c r="U4" i="1"/>
  <c r="U3" i="1"/>
  <c r="T2" i="1"/>
  <c r="Q12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" i="1"/>
  <c r="T4" i="1"/>
  <c r="T5" i="1"/>
  <c r="T6" i="1"/>
  <c r="Q3" i="1"/>
  <c r="Q4" i="1"/>
  <c r="Q5" i="1"/>
  <c r="Q6" i="1"/>
  <c r="Q7" i="1"/>
  <c r="Q8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2" i="1"/>
  <c r="Q36" i="1"/>
  <c r="T36" i="1"/>
  <c r="P2" i="1" l="1"/>
  <c r="P36" i="1"/>
  <c r="O36" i="1"/>
  <c r="N36" i="1"/>
  <c r="R35" i="1"/>
  <c r="P35" i="1"/>
  <c r="O35" i="1"/>
  <c r="N35" i="1"/>
  <c r="P34" i="1"/>
  <c r="O34" i="1"/>
  <c r="N34" i="1"/>
  <c r="R33" i="1"/>
  <c r="P33" i="1"/>
  <c r="O33" i="1"/>
  <c r="N33" i="1"/>
  <c r="R32" i="1"/>
  <c r="P32" i="1"/>
  <c r="O32" i="1"/>
  <c r="N32" i="1"/>
  <c r="R31" i="1"/>
  <c r="P31" i="1"/>
  <c r="O31" i="1"/>
  <c r="N31" i="1"/>
  <c r="P30" i="1"/>
  <c r="O30" i="1"/>
  <c r="N30" i="1"/>
  <c r="R29" i="1"/>
  <c r="P29" i="1"/>
  <c r="O29" i="1"/>
  <c r="N29" i="1"/>
  <c r="R28" i="1"/>
  <c r="P28" i="1"/>
  <c r="O28" i="1"/>
  <c r="N28" i="1"/>
  <c r="R27" i="1"/>
  <c r="P27" i="1"/>
  <c r="O27" i="1"/>
  <c r="N27" i="1"/>
  <c r="P26" i="1"/>
  <c r="O26" i="1"/>
  <c r="N26" i="1"/>
  <c r="R25" i="1"/>
  <c r="P25" i="1"/>
  <c r="O25" i="1"/>
  <c r="N25" i="1"/>
  <c r="R24" i="1"/>
  <c r="P24" i="1"/>
  <c r="O24" i="1"/>
  <c r="N24" i="1"/>
  <c r="R23" i="1"/>
  <c r="P23" i="1"/>
  <c r="O23" i="1"/>
  <c r="N23" i="1"/>
  <c r="P22" i="1"/>
  <c r="O22" i="1"/>
  <c r="N22" i="1"/>
  <c r="R21" i="1"/>
  <c r="P21" i="1"/>
  <c r="O21" i="1"/>
  <c r="N21" i="1"/>
  <c r="R20" i="1"/>
  <c r="P20" i="1"/>
  <c r="O20" i="1"/>
  <c r="N20" i="1"/>
  <c r="R19" i="1"/>
  <c r="P19" i="1"/>
  <c r="O19" i="1"/>
  <c r="N19" i="1"/>
  <c r="P18" i="1"/>
  <c r="O18" i="1"/>
  <c r="N18" i="1"/>
  <c r="P17" i="1"/>
  <c r="O17" i="1"/>
  <c r="N17" i="1"/>
  <c r="R16" i="1"/>
  <c r="P16" i="1"/>
  <c r="O16" i="1"/>
  <c r="N16" i="1"/>
  <c r="R15" i="1"/>
  <c r="P15" i="1"/>
  <c r="O15" i="1"/>
  <c r="N15" i="1"/>
  <c r="P14" i="1"/>
  <c r="O14" i="1"/>
  <c r="N14" i="1"/>
  <c r="P13" i="1"/>
  <c r="O13" i="1"/>
  <c r="N13" i="1"/>
  <c r="R12" i="1"/>
  <c r="P12" i="1"/>
  <c r="O12" i="1"/>
  <c r="N12" i="1"/>
  <c r="R11" i="1"/>
  <c r="P11" i="1"/>
  <c r="O11" i="1"/>
  <c r="N11" i="1"/>
  <c r="P10" i="1"/>
  <c r="O10" i="1"/>
  <c r="N10" i="1"/>
  <c r="R9" i="1"/>
  <c r="P9" i="1"/>
  <c r="O9" i="1"/>
  <c r="N9" i="1"/>
  <c r="R8" i="1"/>
  <c r="P8" i="1"/>
  <c r="O8" i="1"/>
  <c r="N8" i="1"/>
  <c r="R7" i="1"/>
  <c r="P7" i="1"/>
  <c r="O7" i="1"/>
  <c r="N7" i="1"/>
  <c r="P6" i="1"/>
  <c r="O6" i="1"/>
  <c r="N6" i="1"/>
  <c r="R5" i="1"/>
  <c r="P5" i="1"/>
  <c r="O5" i="1"/>
  <c r="N5" i="1"/>
  <c r="R4" i="1"/>
  <c r="P4" i="1"/>
  <c r="O4" i="1"/>
  <c r="N4" i="1"/>
  <c r="R3" i="1"/>
  <c r="P3" i="1"/>
  <c r="O3" i="1"/>
  <c r="N3" i="1"/>
  <c r="O2" i="1"/>
  <c r="N2" i="1"/>
  <c r="L1" i="1"/>
  <c r="K1" i="1"/>
  <c r="J1" i="1"/>
  <c r="I1" i="1"/>
  <c r="H1" i="1"/>
  <c r="R36" i="1" l="1"/>
  <c r="R6" i="1"/>
  <c r="R10" i="1"/>
  <c r="R13" i="1"/>
  <c r="R14" i="1"/>
  <c r="R17" i="1"/>
  <c r="R18" i="1"/>
  <c r="R22" i="1"/>
  <c r="R26" i="1"/>
  <c r="R30" i="1"/>
  <c r="R34" i="1"/>
  <c r="R37" i="1" l="1"/>
</calcChain>
</file>

<file path=xl/sharedStrings.xml><?xml version="1.0" encoding="utf-8"?>
<sst xmlns="http://schemas.openxmlformats.org/spreadsheetml/2006/main" count="13" uniqueCount="13">
  <si>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</si>
  <si>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</si>
  <si>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</si>
  <si>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</si>
  <si>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</si>
  <si>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</si>
  <si>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</si>
  <si>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</si>
  <si>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</si>
  <si>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</si>
  <si>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</si>
  <si>
    <t>조정 예측값</t>
    <phoneticPr fontId="18" type="noConversion"/>
  </si>
  <si>
    <t>조정 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</si>
</sst>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vdiff_65_10_10_0.001_300_200_20!$P$1</c:f>
              <c:strCache>
                <c:ptCount val="1"/>
                <c:pt idx="0">
                  <c:v>실재지수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vdiff_65_10_10_0.001_300_200_20!$M$2:$M$36</c:f>
              <c:numCache>
                <c:formatCode>m/d/yyyy</c:formatCode>
                <c:ptCount val="35"/>
                <c:pt idx="0">
                  <c:v>43252</c:v>
                </c:pt>
                <c:pt idx="1">
                  <c:v>43255</c:v>
                </c:pt>
                <c:pt idx="2">
                  <c:v>43256</c:v>
                </c:pt>
                <c:pt idx="3">
                  <c:v>43257</c:v>
                </c:pt>
                <c:pt idx="4">
                  <c:v>43258</c:v>
                </c:pt>
                <c:pt idx="5">
                  <c:v>43259</c:v>
                </c:pt>
                <c:pt idx="6">
                  <c:v>43262</c:v>
                </c:pt>
                <c:pt idx="7">
                  <c:v>43263</c:v>
                </c:pt>
                <c:pt idx="8">
                  <c:v>43264</c:v>
                </c:pt>
                <c:pt idx="9">
                  <c:v>43265</c:v>
                </c:pt>
                <c:pt idx="10">
                  <c:v>43266</c:v>
                </c:pt>
                <c:pt idx="11">
                  <c:v>43269</c:v>
                </c:pt>
                <c:pt idx="12">
                  <c:v>43270</c:v>
                </c:pt>
                <c:pt idx="13">
                  <c:v>43271</c:v>
                </c:pt>
                <c:pt idx="14">
                  <c:v>43272</c:v>
                </c:pt>
                <c:pt idx="15">
                  <c:v>43273</c:v>
                </c:pt>
                <c:pt idx="16">
                  <c:v>43276</c:v>
                </c:pt>
                <c:pt idx="17">
                  <c:v>43277</c:v>
                </c:pt>
                <c:pt idx="18">
                  <c:v>43278</c:v>
                </c:pt>
                <c:pt idx="19">
                  <c:v>43279</c:v>
                </c:pt>
                <c:pt idx="20">
                  <c:v>43280</c:v>
                </c:pt>
                <c:pt idx="21">
                  <c:v>43283</c:v>
                </c:pt>
                <c:pt idx="22">
                  <c:v>43284</c:v>
                </c:pt>
                <c:pt idx="23">
                  <c:v>43285</c:v>
                </c:pt>
                <c:pt idx="24">
                  <c:v>43286</c:v>
                </c:pt>
                <c:pt idx="25">
                  <c:v>43287</c:v>
                </c:pt>
                <c:pt idx="26">
                  <c:v>43290</c:v>
                </c:pt>
                <c:pt idx="27">
                  <c:v>43291</c:v>
                </c:pt>
                <c:pt idx="28">
                  <c:v>43292</c:v>
                </c:pt>
                <c:pt idx="29">
                  <c:v>43293</c:v>
                </c:pt>
                <c:pt idx="30">
                  <c:v>43294</c:v>
                </c:pt>
                <c:pt idx="31">
                  <c:v>43297</c:v>
                </c:pt>
                <c:pt idx="32">
                  <c:v>43298</c:v>
                </c:pt>
                <c:pt idx="33">
                  <c:v>43299</c:v>
                </c:pt>
                <c:pt idx="34">
                  <c:v>43300</c:v>
                </c:pt>
              </c:numCache>
            </c:numRef>
          </c:cat>
          <c:val>
            <c:numRef>
              <c:f>vdiff_65_10_10_0.001_300_200_20!$P$2:$P$36</c:f>
              <c:numCache>
                <c:formatCode>General</c:formatCode>
                <c:ptCount val="35"/>
                <c:pt idx="0">
                  <c:v>311.39999999999998</c:v>
                </c:pt>
                <c:pt idx="1">
                  <c:v>313.15000019073398</c:v>
                </c:pt>
                <c:pt idx="2">
                  <c:v>313.75000004768299</c:v>
                </c:pt>
                <c:pt idx="3">
                  <c:v>313.74999995231599</c:v>
                </c:pt>
                <c:pt idx="4">
                  <c:v>316.85000000000002</c:v>
                </c:pt>
                <c:pt idx="5">
                  <c:v>313.300000047683</c:v>
                </c:pt>
                <c:pt idx="6">
                  <c:v>316.14999995231602</c:v>
                </c:pt>
                <c:pt idx="7">
                  <c:v>315.65000009536698</c:v>
                </c:pt>
                <c:pt idx="8">
                  <c:v>315.64999990463201</c:v>
                </c:pt>
                <c:pt idx="9">
                  <c:v>310.40000019073398</c:v>
                </c:pt>
                <c:pt idx="10">
                  <c:v>309.19999980926502</c:v>
                </c:pt>
                <c:pt idx="11">
                  <c:v>305.85000000000002</c:v>
                </c:pt>
                <c:pt idx="12">
                  <c:v>301.34999923705999</c:v>
                </c:pt>
                <c:pt idx="13">
                  <c:v>304.20000038146901</c:v>
                </c:pt>
                <c:pt idx="14">
                  <c:v>300.74999961853001</c:v>
                </c:pt>
                <c:pt idx="15">
                  <c:v>303.65000009536698</c:v>
                </c:pt>
                <c:pt idx="16">
                  <c:v>303.25</c:v>
                </c:pt>
                <c:pt idx="17">
                  <c:v>302.39999999999998</c:v>
                </c:pt>
                <c:pt idx="18">
                  <c:v>301.54999961853002</c:v>
                </c:pt>
                <c:pt idx="19">
                  <c:v>299.09999961852998</c:v>
                </c:pt>
                <c:pt idx="20">
                  <c:v>299.99999980926498</c:v>
                </c:pt>
                <c:pt idx="21">
                  <c:v>292.90000076293899</c:v>
                </c:pt>
                <c:pt idx="22">
                  <c:v>293.75000076293901</c:v>
                </c:pt>
                <c:pt idx="23">
                  <c:v>292.55</c:v>
                </c:pt>
                <c:pt idx="24">
                  <c:v>291.99999923706002</c:v>
                </c:pt>
                <c:pt idx="25">
                  <c:v>293.59999961852998</c:v>
                </c:pt>
                <c:pt idx="26">
                  <c:v>296.24999923706002</c:v>
                </c:pt>
                <c:pt idx="27">
                  <c:v>296.95</c:v>
                </c:pt>
                <c:pt idx="28">
                  <c:v>295.30000038146898</c:v>
                </c:pt>
                <c:pt idx="29">
                  <c:v>296</c:v>
                </c:pt>
                <c:pt idx="30">
                  <c:v>299.09999961852998</c:v>
                </c:pt>
                <c:pt idx="31">
                  <c:v>298.19999961853</c:v>
                </c:pt>
                <c:pt idx="32">
                  <c:v>297.35000076293898</c:v>
                </c:pt>
                <c:pt idx="33">
                  <c:v>297.05000076293902</c:v>
                </c:pt>
                <c:pt idx="34">
                  <c:v>296.04999923705998</c:v>
                </c:pt>
              </c:numCache>
            </c:numRef>
          </c:val>
          <c:smooth val="0"/>
        </c:ser>
        <c:ser>
          <c:idx val="7"/>
          <c:order val="1"/>
          <c:tx>
            <c:strRef>
              <c:f>vdiff_65_10_10_0.001_300_200_20!$U$1</c:f>
              <c:strCache>
                <c:ptCount val="1"/>
                <c:pt idx="0">
                  <c:v>조정 예측지수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vdiff_65_10_10_0.001_300_200_20!$M$2:$M$36</c:f>
              <c:numCache>
                <c:formatCode>m/d/yyyy</c:formatCode>
                <c:ptCount val="35"/>
                <c:pt idx="0">
                  <c:v>43252</c:v>
                </c:pt>
                <c:pt idx="1">
                  <c:v>43255</c:v>
                </c:pt>
                <c:pt idx="2">
                  <c:v>43256</c:v>
                </c:pt>
                <c:pt idx="3">
                  <c:v>43257</c:v>
                </c:pt>
                <c:pt idx="4">
                  <c:v>43258</c:v>
                </c:pt>
                <c:pt idx="5">
                  <c:v>43259</c:v>
                </c:pt>
                <c:pt idx="6">
                  <c:v>43262</c:v>
                </c:pt>
                <c:pt idx="7">
                  <c:v>43263</c:v>
                </c:pt>
                <c:pt idx="8">
                  <c:v>43264</c:v>
                </c:pt>
                <c:pt idx="9">
                  <c:v>43265</c:v>
                </c:pt>
                <c:pt idx="10">
                  <c:v>43266</c:v>
                </c:pt>
                <c:pt idx="11">
                  <c:v>43269</c:v>
                </c:pt>
                <c:pt idx="12">
                  <c:v>43270</c:v>
                </c:pt>
                <c:pt idx="13">
                  <c:v>43271</c:v>
                </c:pt>
                <c:pt idx="14">
                  <c:v>43272</c:v>
                </c:pt>
                <c:pt idx="15">
                  <c:v>43273</c:v>
                </c:pt>
                <c:pt idx="16">
                  <c:v>43276</c:v>
                </c:pt>
                <c:pt idx="17">
                  <c:v>43277</c:v>
                </c:pt>
                <c:pt idx="18">
                  <c:v>43278</c:v>
                </c:pt>
                <c:pt idx="19">
                  <c:v>43279</c:v>
                </c:pt>
                <c:pt idx="20">
                  <c:v>43280</c:v>
                </c:pt>
                <c:pt idx="21">
                  <c:v>43283</c:v>
                </c:pt>
                <c:pt idx="22">
                  <c:v>43284</c:v>
                </c:pt>
                <c:pt idx="23">
                  <c:v>43285</c:v>
                </c:pt>
                <c:pt idx="24">
                  <c:v>43286</c:v>
                </c:pt>
                <c:pt idx="25">
                  <c:v>43287</c:v>
                </c:pt>
                <c:pt idx="26">
                  <c:v>43290</c:v>
                </c:pt>
                <c:pt idx="27">
                  <c:v>43291</c:v>
                </c:pt>
                <c:pt idx="28">
                  <c:v>43292</c:v>
                </c:pt>
                <c:pt idx="29">
                  <c:v>43293</c:v>
                </c:pt>
                <c:pt idx="30">
                  <c:v>43294</c:v>
                </c:pt>
                <c:pt idx="31">
                  <c:v>43297</c:v>
                </c:pt>
                <c:pt idx="32">
                  <c:v>43298</c:v>
                </c:pt>
                <c:pt idx="33">
                  <c:v>43299</c:v>
                </c:pt>
                <c:pt idx="34">
                  <c:v>43300</c:v>
                </c:pt>
              </c:numCache>
            </c:numRef>
          </c:cat>
          <c:val>
            <c:numRef>
              <c:f>vdiff_65_10_10_0.001_300_200_20!$U$2:$U$36</c:f>
              <c:numCache>
                <c:formatCode>General</c:formatCode>
                <c:ptCount val="35"/>
                <c:pt idx="0">
                  <c:v>306.94593896865842</c:v>
                </c:pt>
                <c:pt idx="1">
                  <c:v>304.25563857555392</c:v>
                </c:pt>
                <c:pt idx="2">
                  <c:v>308.21729784011842</c:v>
                </c:pt>
                <c:pt idx="3">
                  <c:v>308.07578344345092</c:v>
                </c:pt>
                <c:pt idx="4">
                  <c:v>314.46290514469149</c:v>
                </c:pt>
                <c:pt idx="5">
                  <c:v>316.07737026214602</c:v>
                </c:pt>
                <c:pt idx="6">
                  <c:v>319.22076866626742</c:v>
                </c:pt>
                <c:pt idx="7">
                  <c:v>314.17324256896973</c:v>
                </c:pt>
                <c:pt idx="8">
                  <c:v>313.7802703857422</c:v>
                </c:pt>
                <c:pt idx="9">
                  <c:v>313.30416927337654</c:v>
                </c:pt>
                <c:pt idx="10">
                  <c:v>315.34468650817871</c:v>
                </c:pt>
                <c:pt idx="11">
                  <c:v>315.01855981945994</c:v>
                </c:pt>
                <c:pt idx="12">
                  <c:v>320.38806467056276</c:v>
                </c:pt>
                <c:pt idx="13">
                  <c:v>312.75134716033938</c:v>
                </c:pt>
                <c:pt idx="14">
                  <c:v>322.93870494365694</c:v>
                </c:pt>
                <c:pt idx="15">
                  <c:v>317.66529655456537</c:v>
                </c:pt>
                <c:pt idx="16">
                  <c:v>325.60362815856928</c:v>
                </c:pt>
                <c:pt idx="17">
                  <c:v>310.75207885503767</c:v>
                </c:pt>
                <c:pt idx="18">
                  <c:v>307.87189760208128</c:v>
                </c:pt>
                <c:pt idx="19">
                  <c:v>308.9470769882202</c:v>
                </c:pt>
                <c:pt idx="20">
                  <c:v>305.71763877868653</c:v>
                </c:pt>
                <c:pt idx="21">
                  <c:v>309.39375991821288</c:v>
                </c:pt>
                <c:pt idx="22">
                  <c:v>309.4900248527527</c:v>
                </c:pt>
                <c:pt idx="23">
                  <c:v>303.62070636749269</c:v>
                </c:pt>
                <c:pt idx="24">
                  <c:v>309.09097023010253</c:v>
                </c:pt>
                <c:pt idx="25">
                  <c:v>308.68334503173827</c:v>
                </c:pt>
                <c:pt idx="26">
                  <c:v>312.4619844675064</c:v>
                </c:pt>
                <c:pt idx="27">
                  <c:v>311.85875196456908</c:v>
                </c:pt>
                <c:pt idx="28">
                  <c:v>311.76512701511382</c:v>
                </c:pt>
                <c:pt idx="29">
                  <c:v>300.69823455810553</c:v>
                </c:pt>
                <c:pt idx="30">
                  <c:v>304.97616786956792</c:v>
                </c:pt>
                <c:pt idx="31">
                  <c:v>307.88983612060548</c:v>
                </c:pt>
                <c:pt idx="32">
                  <c:v>308.57024803161619</c:v>
                </c:pt>
                <c:pt idx="33">
                  <c:v>307.41549358367922</c:v>
                </c:pt>
                <c:pt idx="34">
                  <c:v>308.64746261568871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34646512"/>
        <c:axId val="-196270608"/>
      </c:lineChart>
      <c:dateAx>
        <c:axId val="-2034646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96270608"/>
        <c:crosses val="autoZero"/>
        <c:auto val="1"/>
        <c:lblOffset val="100"/>
        <c:baseTimeUnit val="days"/>
      </c:dateAx>
      <c:valAx>
        <c:axId val="-1962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203464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14</xdr:row>
      <xdr:rowOff>171450</xdr:rowOff>
    </xdr:from>
    <xdr:to>
      <xdr:col>11</xdr:col>
      <xdr:colOff>123825</xdr:colOff>
      <xdr:row>27</xdr:row>
      <xdr:rowOff>190500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abSelected="1" workbookViewId="0">
      <selection activeCell="T2" sqref="T2"/>
    </sheetView>
  </sheetViews>
  <sheetFormatPr defaultRowHeight="16.5" x14ac:dyDescent="0.3"/>
  <cols>
    <col min="1" max="1" width="10.375" customWidth="1"/>
    <col min="5" max="5" width="11.25" customWidth="1"/>
    <col min="13" max="13" width="10.25" customWidth="1"/>
    <col min="20" max="20" width="9.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COUNTIF(D2:D36, "&gt;0")/35</f>
        <v>0.7142857142857143</v>
      </c>
      <c r="I1">
        <f>AVERAGEIF(D2:D37, "&gt;0")</f>
        <v>14.724000024795501</v>
      </c>
      <c r="J1">
        <f>AVERAGEIF(D2:D37, "&lt;0")</f>
        <v>-9.4000001192092846</v>
      </c>
      <c r="K1">
        <f>MAX(D2:D37)</f>
        <v>22.9500007629394</v>
      </c>
      <c r="L1">
        <f>MIN(D2:D37)</f>
        <v>-19.9500007629394</v>
      </c>
      <c r="N1" t="s">
        <v>7</v>
      </c>
      <c r="O1" t="s">
        <v>8</v>
      </c>
      <c r="P1" t="s">
        <v>9</v>
      </c>
      <c r="Q1" t="s">
        <v>10</v>
      </c>
      <c r="T1" t="s">
        <v>11</v>
      </c>
      <c r="U1" t="s">
        <v>12</v>
      </c>
    </row>
    <row r="2" spans="1:22" x14ac:dyDescent="0.3">
      <c r="A2" s="1">
        <v>43161</v>
      </c>
      <c r="B2">
        <v>308.14999999999998</v>
      </c>
      <c r="C2">
        <v>311.39999999999998</v>
      </c>
      <c r="D2">
        <v>-3.25</v>
      </c>
      <c r="E2" s="1">
        <v>43252</v>
      </c>
      <c r="F2">
        <v>-2.2040610313415501</v>
      </c>
      <c r="G2">
        <v>3.25</v>
      </c>
      <c r="J2">
        <v>7.7846316789999896</v>
      </c>
      <c r="K2">
        <v>3.9663470163169254</v>
      </c>
      <c r="M2" s="1">
        <v>43252</v>
      </c>
      <c r="N2">
        <f>C2+1.644*K2</f>
        <v>317.92067449482499</v>
      </c>
      <c r="O2">
        <f>C2-1.644*K2</f>
        <v>304.87932550517496</v>
      </c>
      <c r="P2">
        <f>C2</f>
        <v>311.39999999999998</v>
      </c>
      <c r="Q2">
        <f>B2+F2</f>
        <v>305.94593896865842</v>
      </c>
      <c r="R2">
        <f>IF(AND(D2&gt;0, AND(Q2&lt;N2, Q2&gt;O2)),1,0)</f>
        <v>0</v>
      </c>
      <c r="S2">
        <v>-3.6490802263632798</v>
      </c>
      <c r="T2">
        <f>IF(F2&gt;0, F2+S2*0.5, F2-S2*0.5)</f>
        <v>-0.37952091815991018</v>
      </c>
      <c r="U2">
        <f>IF(AND(F2&gt;0, S2&gt;0), Q2+5, IF(AND(F2&gt;0, S2&lt;0), Q2-5, IF(AND(F2&lt;0, S2&lt;0), Q2+1, Q2-1)))</f>
        <v>306.94593896865842</v>
      </c>
      <c r="V2">
        <f>IF(AND(D2&gt;0, AND(U2&lt;N2, U2&gt;O2)),1,0)</f>
        <v>0</v>
      </c>
    </row>
    <row r="3" spans="1:22" x14ac:dyDescent="0.3">
      <c r="A3" s="1">
        <v>43164</v>
      </c>
      <c r="B3">
        <v>303.85000000000002</v>
      </c>
      <c r="C3">
        <v>313.15000019073398</v>
      </c>
      <c r="D3">
        <v>-9.3000001907348597</v>
      </c>
      <c r="E3" s="1">
        <v>43255</v>
      </c>
      <c r="F3">
        <v>-0.59436142444610596</v>
      </c>
      <c r="G3">
        <v>9.3000001907348597</v>
      </c>
      <c r="J3">
        <v>8.1110012539999996</v>
      </c>
      <c r="K3">
        <v>3.6975128074880943</v>
      </c>
      <c r="M3" s="1">
        <v>43255</v>
      </c>
      <c r="N3">
        <f t="shared" ref="N3:N19" si="0">C3+1.644*K3</f>
        <v>319.22871124624442</v>
      </c>
      <c r="O3">
        <f t="shared" ref="O3:O19" si="1">C3-1.644*K3</f>
        <v>307.07128913522354</v>
      </c>
      <c r="P3">
        <f t="shared" ref="P3:P19" si="2">C3</f>
        <v>313.15000019073398</v>
      </c>
      <c r="Q3">
        <f t="shared" ref="Q3:Q35" si="3">B3+F3</f>
        <v>303.25563857555392</v>
      </c>
      <c r="R3">
        <f t="shared" ref="R3:R19" si="4">IF(AND(D3&gt;0, AND(Q3&lt;N3, Q3&gt;O3)),1,0)</f>
        <v>0</v>
      </c>
      <c r="S3">
        <v>-4.0376780041831095</v>
      </c>
      <c r="T3">
        <f t="shared" ref="T3:T35" si="5">IF(F3&gt;0, F3+S3*0.5, F3-S3*0.5)</f>
        <v>1.4244775776454488</v>
      </c>
      <c r="U3">
        <f t="shared" ref="U2:U11" si="6">IF(AND(F3&gt;0, S3&gt;0), Q3+5, IF(AND(F3&gt;0, S3&lt;0), Q3-5, IF(AND(F3&lt;0, S3&lt;0), Q3+1, Q3-1)))</f>
        <v>304.25563857555392</v>
      </c>
      <c r="V3">
        <f t="shared" ref="V3:V36" si="7">IF(AND(D3&gt;0, AND(U3&lt;N3, U3&gt;O3)),1,0)</f>
        <v>0</v>
      </c>
    </row>
    <row r="4" spans="1:22" x14ac:dyDescent="0.3">
      <c r="A4" s="1">
        <v>43165</v>
      </c>
      <c r="B4">
        <v>310.3</v>
      </c>
      <c r="C4">
        <v>313.75000004768299</v>
      </c>
      <c r="D4">
        <v>3.45000004768371</v>
      </c>
      <c r="E4" s="1">
        <v>43256</v>
      </c>
      <c r="F4">
        <v>2.9172978401184002</v>
      </c>
      <c r="G4">
        <v>3.45000004768371</v>
      </c>
      <c r="J4">
        <v>8.2212875949999997</v>
      </c>
      <c r="K4">
        <v>3.6437286415787837</v>
      </c>
      <c r="M4" s="1">
        <v>43256</v>
      </c>
      <c r="N4">
        <f t="shared" si="0"/>
        <v>319.74028993443852</v>
      </c>
      <c r="O4">
        <f t="shared" si="1"/>
        <v>307.75971016092745</v>
      </c>
      <c r="P4">
        <f t="shared" si="2"/>
        <v>313.75000004768299</v>
      </c>
      <c r="Q4">
        <f t="shared" si="3"/>
        <v>313.21729784011842</v>
      </c>
      <c r="R4">
        <f t="shared" si="4"/>
        <v>1</v>
      </c>
      <c r="S4">
        <v>-4.3434175121447796</v>
      </c>
      <c r="T4">
        <f t="shared" si="5"/>
        <v>0.74558908404601043</v>
      </c>
      <c r="U4">
        <f t="shared" si="6"/>
        <v>308.21729784011842</v>
      </c>
      <c r="V4">
        <f t="shared" si="7"/>
        <v>1</v>
      </c>
    </row>
    <row r="5" spans="1:22" x14ac:dyDescent="0.3">
      <c r="A5" s="1">
        <v>43166</v>
      </c>
      <c r="B5">
        <v>310.45</v>
      </c>
      <c r="C5">
        <v>313.74999995231599</v>
      </c>
      <c r="D5">
        <v>-3.2999999523162802</v>
      </c>
      <c r="E5" s="1">
        <v>43257</v>
      </c>
      <c r="F5">
        <v>-3.37421655654907</v>
      </c>
      <c r="G5">
        <v>3.2999999523162802</v>
      </c>
      <c r="J5">
        <v>8.3422529989999994</v>
      </c>
      <c r="K5">
        <v>3.5918606237414945</v>
      </c>
      <c r="M5" s="1">
        <v>43257</v>
      </c>
      <c r="N5">
        <f t="shared" si="0"/>
        <v>319.65501881774702</v>
      </c>
      <c r="O5">
        <f t="shared" si="1"/>
        <v>307.84498108688496</v>
      </c>
      <c r="P5">
        <f t="shared" si="2"/>
        <v>313.74999995231599</v>
      </c>
      <c r="Q5">
        <f t="shared" si="3"/>
        <v>307.07578344345092</v>
      </c>
      <c r="R5">
        <f t="shared" si="4"/>
        <v>0</v>
      </c>
      <c r="S5">
        <v>-4.4534449869913395</v>
      </c>
      <c r="T5">
        <f t="shared" si="5"/>
        <v>-1.1474940630534003</v>
      </c>
      <c r="U5">
        <f t="shared" si="6"/>
        <v>308.07578344345092</v>
      </c>
      <c r="V5">
        <f t="shared" si="7"/>
        <v>0</v>
      </c>
    </row>
    <row r="6" spans="1:22" x14ac:dyDescent="0.3">
      <c r="A6" s="1">
        <v>43167</v>
      </c>
      <c r="B6">
        <v>313.60000000000002</v>
      </c>
      <c r="C6">
        <v>316.85000000000002</v>
      </c>
      <c r="D6">
        <v>-3.25</v>
      </c>
      <c r="E6" s="1">
        <v>43258</v>
      </c>
      <c r="F6">
        <v>-0.13709485530853199</v>
      </c>
      <c r="G6">
        <v>3.25</v>
      </c>
      <c r="J6">
        <v>8.4016687900000004</v>
      </c>
      <c r="K6">
        <v>3.5838692764084801</v>
      </c>
      <c r="M6" s="1">
        <v>43258</v>
      </c>
      <c r="N6">
        <f t="shared" si="0"/>
        <v>322.74188109041557</v>
      </c>
      <c r="O6">
        <f t="shared" si="1"/>
        <v>310.95811890958447</v>
      </c>
      <c r="P6">
        <f t="shared" si="2"/>
        <v>316.85000000000002</v>
      </c>
      <c r="Q6">
        <f t="shared" si="3"/>
        <v>313.46290514469149</v>
      </c>
      <c r="R6">
        <f t="shared" si="4"/>
        <v>0</v>
      </c>
      <c r="S6">
        <v>-4.5974278479986603</v>
      </c>
      <c r="T6">
        <f t="shared" si="5"/>
        <v>2.1616190686907983</v>
      </c>
      <c r="U6">
        <f t="shared" si="6"/>
        <v>314.46290514469149</v>
      </c>
      <c r="V6">
        <f t="shared" si="7"/>
        <v>0</v>
      </c>
    </row>
    <row r="7" spans="1:22" x14ac:dyDescent="0.3">
      <c r="A7" s="1">
        <v>43168</v>
      </c>
      <c r="B7">
        <v>317.10000000000002</v>
      </c>
      <c r="C7">
        <v>313.300000047683</v>
      </c>
      <c r="D7">
        <v>3.7999999523162802</v>
      </c>
      <c r="E7" s="1">
        <v>43259</v>
      </c>
      <c r="F7">
        <v>-2.0226297378539999</v>
      </c>
      <c r="G7">
        <v>-3.7999999523162802</v>
      </c>
      <c r="J7">
        <v>8.4200109340000004</v>
      </c>
      <c r="K7">
        <v>3.5935544261165111</v>
      </c>
      <c r="M7" s="1">
        <v>43259</v>
      </c>
      <c r="N7">
        <f t="shared" si="0"/>
        <v>319.20780352421855</v>
      </c>
      <c r="O7">
        <f t="shared" si="1"/>
        <v>307.39219657114745</v>
      </c>
      <c r="P7">
        <f t="shared" si="2"/>
        <v>313.300000047683</v>
      </c>
      <c r="Q7">
        <f t="shared" si="3"/>
        <v>315.07737026214602</v>
      </c>
      <c r="R7">
        <f t="shared" si="4"/>
        <v>1</v>
      </c>
      <c r="S7">
        <v>-4.6292191840457804</v>
      </c>
      <c r="T7">
        <f t="shared" si="5"/>
        <v>0.29197985416889027</v>
      </c>
      <c r="U7">
        <f t="shared" si="6"/>
        <v>316.07737026214602</v>
      </c>
      <c r="V7">
        <f t="shared" si="7"/>
        <v>1</v>
      </c>
    </row>
    <row r="8" spans="1:22" x14ac:dyDescent="0.3">
      <c r="A8" s="1">
        <v>43171</v>
      </c>
      <c r="B8">
        <v>320.10000000000002</v>
      </c>
      <c r="C8">
        <v>316.14999995231602</v>
      </c>
      <c r="D8">
        <v>3.95000004768371</v>
      </c>
      <c r="E8" s="1">
        <v>43262</v>
      </c>
      <c r="F8">
        <v>-1.8792313337326001</v>
      </c>
      <c r="G8">
        <v>-3.95000004768371</v>
      </c>
      <c r="J8">
        <v>8.4218353159999992</v>
      </c>
      <c r="K8">
        <v>3.5521090024638373</v>
      </c>
      <c r="M8" s="1">
        <v>43262</v>
      </c>
      <c r="N8">
        <f t="shared" si="0"/>
        <v>321.98966715236656</v>
      </c>
      <c r="O8">
        <f t="shared" si="1"/>
        <v>310.31033275226548</v>
      </c>
      <c r="P8">
        <f t="shared" si="2"/>
        <v>316.14999995231602</v>
      </c>
      <c r="Q8">
        <f t="shared" si="3"/>
        <v>318.22076866626742</v>
      </c>
      <c r="R8">
        <f t="shared" si="4"/>
        <v>1</v>
      </c>
      <c r="S8">
        <v>-4.6177784331417291</v>
      </c>
      <c r="T8">
        <f t="shared" si="5"/>
        <v>0.42965788283826445</v>
      </c>
      <c r="U8">
        <f t="shared" si="6"/>
        <v>319.22076866626742</v>
      </c>
      <c r="V8">
        <f t="shared" si="7"/>
        <v>1</v>
      </c>
    </row>
    <row r="9" spans="1:22" x14ac:dyDescent="0.3">
      <c r="A9" s="1">
        <v>43172</v>
      </c>
      <c r="B9">
        <v>321.5</v>
      </c>
      <c r="C9">
        <v>315.65000009536698</v>
      </c>
      <c r="D9">
        <v>5.8499999046325604</v>
      </c>
      <c r="E9" s="1">
        <v>43263</v>
      </c>
      <c r="F9">
        <v>-8.3267574310302699</v>
      </c>
      <c r="G9">
        <v>-5.8499999046325604</v>
      </c>
      <c r="J9">
        <v>8.4208132720000002</v>
      </c>
      <c r="K9">
        <v>3.4760354019176276</v>
      </c>
      <c r="M9" s="1">
        <v>43263</v>
      </c>
      <c r="N9">
        <f t="shared" si="0"/>
        <v>321.36460229611953</v>
      </c>
      <c r="O9">
        <f t="shared" si="1"/>
        <v>309.93539789461443</v>
      </c>
      <c r="P9">
        <f t="shared" si="2"/>
        <v>315.65000009536698</v>
      </c>
      <c r="Q9">
        <f t="shared" si="3"/>
        <v>313.17324256896973</v>
      </c>
      <c r="R9">
        <f t="shared" si="4"/>
        <v>1</v>
      </c>
      <c r="S9">
        <v>-4.3360144591337901</v>
      </c>
      <c r="T9">
        <f t="shared" si="5"/>
        <v>-6.1587502014633753</v>
      </c>
      <c r="U9">
        <f t="shared" si="6"/>
        <v>314.17324256896973</v>
      </c>
      <c r="V9">
        <f t="shared" si="7"/>
        <v>1</v>
      </c>
    </row>
    <row r="10" spans="1:22" x14ac:dyDescent="0.3">
      <c r="A10" s="1">
        <v>43173</v>
      </c>
      <c r="B10">
        <v>321.55</v>
      </c>
      <c r="C10">
        <v>315.64999990463201</v>
      </c>
      <c r="D10">
        <v>5.9000000953674299</v>
      </c>
      <c r="E10" s="1">
        <v>43264</v>
      </c>
      <c r="F10">
        <v>-8.7697296142578107</v>
      </c>
      <c r="G10">
        <v>-5.9000000953674299</v>
      </c>
      <c r="J10">
        <v>8.4191190099999993</v>
      </c>
      <c r="K10">
        <v>3.3944546123618511</v>
      </c>
      <c r="M10" s="1">
        <v>43264</v>
      </c>
      <c r="N10">
        <f t="shared" si="0"/>
        <v>321.2304832873549</v>
      </c>
      <c r="O10">
        <f t="shared" si="1"/>
        <v>310.06951652190912</v>
      </c>
      <c r="P10">
        <f t="shared" si="2"/>
        <v>315.64999990463201</v>
      </c>
      <c r="Q10">
        <f t="shared" si="3"/>
        <v>312.7802703857422</v>
      </c>
      <c r="R10">
        <f t="shared" si="4"/>
        <v>1</v>
      </c>
      <c r="S10">
        <v>-4.6689378118798892</v>
      </c>
      <c r="T10">
        <f t="shared" si="5"/>
        <v>-6.4352607083178661</v>
      </c>
      <c r="U10">
        <f t="shared" si="6"/>
        <v>313.7802703857422</v>
      </c>
      <c r="V10">
        <f t="shared" si="7"/>
        <v>1</v>
      </c>
    </row>
    <row r="11" spans="1:22" x14ac:dyDescent="0.3">
      <c r="A11" s="1">
        <v>43174</v>
      </c>
      <c r="B11">
        <v>322.85000000000002</v>
      </c>
      <c r="C11">
        <v>310.40000019073398</v>
      </c>
      <c r="D11">
        <v>12.449999809265099</v>
      </c>
      <c r="E11" s="1">
        <v>43265</v>
      </c>
      <c r="F11">
        <v>-10.5458307266235</v>
      </c>
      <c r="G11">
        <v>-12.449999809265099</v>
      </c>
      <c r="J11">
        <v>8.4134700549999994</v>
      </c>
      <c r="K11">
        <v>3.3246131932324716</v>
      </c>
      <c r="M11" s="1">
        <v>43265</v>
      </c>
      <c r="N11">
        <f t="shared" si="0"/>
        <v>315.86566428040817</v>
      </c>
      <c r="O11">
        <f t="shared" si="1"/>
        <v>304.93433610105978</v>
      </c>
      <c r="P11">
        <f t="shared" si="2"/>
        <v>310.40000019073398</v>
      </c>
      <c r="Q11">
        <f t="shared" si="3"/>
        <v>312.30416927337654</v>
      </c>
      <c r="R11">
        <f t="shared" si="4"/>
        <v>1</v>
      </c>
      <c r="S11">
        <v>-4.6937856925885093</v>
      </c>
      <c r="T11">
        <f t="shared" si="5"/>
        <v>-8.198937880329245</v>
      </c>
      <c r="U11">
        <f t="shared" si="6"/>
        <v>313.30416927337654</v>
      </c>
      <c r="V11">
        <f t="shared" si="7"/>
        <v>1</v>
      </c>
    </row>
    <row r="12" spans="1:22" x14ac:dyDescent="0.3">
      <c r="A12" s="1">
        <v>43175</v>
      </c>
      <c r="B12">
        <v>322</v>
      </c>
      <c r="C12">
        <v>309.19999980926502</v>
      </c>
      <c r="D12">
        <v>12.800000190734799</v>
      </c>
      <c r="E12" s="1">
        <v>43266</v>
      </c>
      <c r="F12">
        <v>-7.6553134918212802</v>
      </c>
      <c r="G12">
        <v>-12.800000190734799</v>
      </c>
      <c r="J12">
        <v>8.4121949600000008</v>
      </c>
      <c r="K12">
        <v>3.3019538213702435</v>
      </c>
      <c r="M12" s="1">
        <v>43266</v>
      </c>
      <c r="N12">
        <f t="shared" si="0"/>
        <v>314.62841189159769</v>
      </c>
      <c r="O12">
        <f t="shared" si="1"/>
        <v>303.77158772693235</v>
      </c>
      <c r="P12">
        <f t="shared" si="2"/>
        <v>309.19999980926502</v>
      </c>
      <c r="Q12">
        <f>B12+F12</f>
        <v>314.34468650817871</v>
      </c>
      <c r="R12">
        <f t="shared" si="4"/>
        <v>1</v>
      </c>
      <c r="S12">
        <v>-4.762459986092531</v>
      </c>
      <c r="T12">
        <f t="shared" si="5"/>
        <v>-5.2740834987750151</v>
      </c>
      <c r="U12">
        <f t="shared" ref="U12:U36" si="8">IF(AND(F12&gt;0, S12&gt;0), Q12+5, IF(AND(F12&gt;0, S12&lt;0), Q12-5, IF(AND(F12&lt;0, S12&lt;0), Q12+1, Q12-1)))</f>
        <v>315.34468650817871</v>
      </c>
      <c r="V12">
        <f>IF(AND(D12&gt;0, AND(U12&lt;N12, U12&gt;O12)),1,0)</f>
        <v>0</v>
      </c>
    </row>
    <row r="13" spans="1:22" x14ac:dyDescent="0.3">
      <c r="A13" s="1">
        <v>43178</v>
      </c>
      <c r="B13">
        <v>319.85000000000002</v>
      </c>
      <c r="C13">
        <v>305.85000000000002</v>
      </c>
      <c r="D13">
        <v>-14</v>
      </c>
      <c r="E13" s="1">
        <v>43269</v>
      </c>
      <c r="F13">
        <v>0.16855981945991499</v>
      </c>
      <c r="G13">
        <v>-14</v>
      </c>
      <c r="J13">
        <v>8.4075674189999994</v>
      </c>
      <c r="K13">
        <v>3.4426154245774345</v>
      </c>
      <c r="M13" s="1">
        <v>43269</v>
      </c>
      <c r="N13">
        <f t="shared" si="0"/>
        <v>311.50965975800534</v>
      </c>
      <c r="O13">
        <f t="shared" si="1"/>
        <v>300.1903402419947</v>
      </c>
      <c r="P13">
        <f t="shared" si="2"/>
        <v>305.85000000000002</v>
      </c>
      <c r="Q13">
        <f t="shared" si="3"/>
        <v>320.01855981945994</v>
      </c>
      <c r="R13">
        <f t="shared" si="4"/>
        <v>0</v>
      </c>
      <c r="S13">
        <v>-4.70114294428382</v>
      </c>
      <c r="T13">
        <f t="shared" si="5"/>
        <v>-2.1820116526819948</v>
      </c>
      <c r="U13">
        <f t="shared" si="8"/>
        <v>315.01855981945994</v>
      </c>
      <c r="V13">
        <f t="shared" si="7"/>
        <v>0</v>
      </c>
    </row>
    <row r="14" spans="1:22" x14ac:dyDescent="0.3">
      <c r="A14" s="1">
        <v>43179</v>
      </c>
      <c r="B14">
        <v>321.3</v>
      </c>
      <c r="C14">
        <v>301.34999923705999</v>
      </c>
      <c r="D14">
        <v>-19.9500007629394</v>
      </c>
      <c r="E14" s="1">
        <v>43270</v>
      </c>
      <c r="F14">
        <v>4.0880646705627397</v>
      </c>
      <c r="G14">
        <v>-19.9500007629394</v>
      </c>
      <c r="J14">
        <v>8.4018458220000003</v>
      </c>
      <c r="K14">
        <v>3.7405120355990746</v>
      </c>
      <c r="M14" s="1">
        <v>43270</v>
      </c>
      <c r="N14">
        <f t="shared" si="0"/>
        <v>307.49940102358488</v>
      </c>
      <c r="O14">
        <f t="shared" si="1"/>
        <v>295.2005974505351</v>
      </c>
      <c r="P14">
        <f t="shared" si="2"/>
        <v>301.34999923705999</v>
      </c>
      <c r="Q14">
        <f t="shared" si="3"/>
        <v>325.38806467056276</v>
      </c>
      <c r="R14">
        <f t="shared" si="4"/>
        <v>0</v>
      </c>
      <c r="S14">
        <v>-4.5460995527739305</v>
      </c>
      <c r="T14">
        <f t="shared" si="5"/>
        <v>1.8150148941757744</v>
      </c>
      <c r="U14">
        <f t="shared" si="8"/>
        <v>320.38806467056276</v>
      </c>
      <c r="V14">
        <f t="shared" si="7"/>
        <v>0</v>
      </c>
    </row>
    <row r="15" spans="1:22" x14ac:dyDescent="0.3">
      <c r="A15" s="1">
        <v>43180</v>
      </c>
      <c r="B15">
        <v>321.60000000000002</v>
      </c>
      <c r="C15">
        <v>304.20000038146901</v>
      </c>
      <c r="D15">
        <v>17.399999618530199</v>
      </c>
      <c r="E15" s="1">
        <v>43271</v>
      </c>
      <c r="F15">
        <v>-9.8486528396606392</v>
      </c>
      <c r="G15">
        <v>-17.399999618530199</v>
      </c>
      <c r="J15">
        <v>8.3973422559999999</v>
      </c>
      <c r="K15">
        <v>3.8529362554370836</v>
      </c>
      <c r="M15" s="1">
        <v>43271</v>
      </c>
      <c r="N15">
        <f t="shared" si="0"/>
        <v>310.53422758540756</v>
      </c>
      <c r="O15">
        <f t="shared" si="1"/>
        <v>297.86577317753046</v>
      </c>
      <c r="P15">
        <f t="shared" si="2"/>
        <v>304.20000038146901</v>
      </c>
      <c r="Q15">
        <f t="shared" si="3"/>
        <v>311.75134716033938</v>
      </c>
      <c r="R15">
        <f t="shared" si="4"/>
        <v>0</v>
      </c>
      <c r="S15">
        <v>-4.37073426573511</v>
      </c>
      <c r="T15">
        <f t="shared" si="5"/>
        <v>-7.6632857067930846</v>
      </c>
      <c r="U15">
        <f t="shared" si="8"/>
        <v>312.75134716033938</v>
      </c>
      <c r="V15">
        <f t="shared" si="7"/>
        <v>0</v>
      </c>
    </row>
    <row r="16" spans="1:22" x14ac:dyDescent="0.3">
      <c r="A16" s="1">
        <v>43181</v>
      </c>
      <c r="B16">
        <v>322.10000000000002</v>
      </c>
      <c r="C16">
        <v>300.74999961853001</v>
      </c>
      <c r="D16">
        <v>21.350000381469702</v>
      </c>
      <c r="E16" s="1">
        <v>43272</v>
      </c>
      <c r="F16">
        <v>-0.161295056343078</v>
      </c>
      <c r="G16">
        <v>-21.350000381469702</v>
      </c>
      <c r="J16">
        <v>8.3789192900000007</v>
      </c>
      <c r="K16">
        <v>4.0838499640469337</v>
      </c>
      <c r="M16" s="1">
        <v>43272</v>
      </c>
      <c r="N16">
        <f t="shared" si="0"/>
        <v>307.46384895942316</v>
      </c>
      <c r="O16">
        <f t="shared" si="1"/>
        <v>294.03615027763686</v>
      </c>
      <c r="P16">
        <f t="shared" si="2"/>
        <v>300.74999961853001</v>
      </c>
      <c r="Q16">
        <f t="shared" si="3"/>
        <v>321.93870494365694</v>
      </c>
      <c r="R16">
        <f t="shared" si="4"/>
        <v>0</v>
      </c>
      <c r="S16">
        <v>-4.2105643019018606</v>
      </c>
      <c r="T16">
        <f t="shared" si="5"/>
        <v>1.9439870946078524</v>
      </c>
      <c r="U16">
        <f t="shared" si="8"/>
        <v>322.93870494365694</v>
      </c>
      <c r="V16">
        <f t="shared" si="7"/>
        <v>0</v>
      </c>
    </row>
    <row r="17" spans="1:22" x14ac:dyDescent="0.3">
      <c r="A17" s="1">
        <v>43182</v>
      </c>
      <c r="B17">
        <v>311.5</v>
      </c>
      <c r="C17">
        <v>303.65000009536698</v>
      </c>
      <c r="D17">
        <v>-7.8499999046325604</v>
      </c>
      <c r="E17" s="1">
        <v>43273</v>
      </c>
      <c r="F17">
        <v>11.165296554565399</v>
      </c>
      <c r="G17">
        <v>-7.8499999046325604</v>
      </c>
      <c r="J17">
        <v>8.4613439439999993</v>
      </c>
      <c r="K17">
        <v>4.2709527344159843</v>
      </c>
      <c r="M17" s="1">
        <v>43273</v>
      </c>
      <c r="N17">
        <f t="shared" si="0"/>
        <v>310.67144639074684</v>
      </c>
      <c r="O17">
        <f t="shared" si="1"/>
        <v>296.62855379998712</v>
      </c>
      <c r="P17">
        <f t="shared" si="2"/>
        <v>303.65000009536698</v>
      </c>
      <c r="Q17">
        <f t="shared" si="3"/>
        <v>322.66529655456537</v>
      </c>
      <c r="R17">
        <f t="shared" si="4"/>
        <v>0</v>
      </c>
      <c r="S17">
        <v>-3.8621932863461996</v>
      </c>
      <c r="T17">
        <f t="shared" si="5"/>
        <v>9.2341999113922988</v>
      </c>
      <c r="U17">
        <f t="shared" si="8"/>
        <v>317.66529655456537</v>
      </c>
      <c r="V17">
        <f t="shared" si="7"/>
        <v>0</v>
      </c>
    </row>
    <row r="18" spans="1:22" x14ac:dyDescent="0.3">
      <c r="A18" s="1">
        <v>43185</v>
      </c>
      <c r="B18">
        <v>314.5</v>
      </c>
      <c r="C18">
        <v>303.25</v>
      </c>
      <c r="D18">
        <v>-11.25</v>
      </c>
      <c r="E18" s="1">
        <v>43276</v>
      </c>
      <c r="F18">
        <v>16.1036281585693</v>
      </c>
      <c r="G18">
        <v>-11.25</v>
      </c>
      <c r="J18">
        <v>8.4964367529999993</v>
      </c>
      <c r="K18">
        <v>4.4690734821058298</v>
      </c>
      <c r="M18" s="1">
        <v>43276</v>
      </c>
      <c r="N18">
        <f t="shared" si="0"/>
        <v>310.59715680458197</v>
      </c>
      <c r="O18">
        <f t="shared" si="1"/>
        <v>295.90284319541803</v>
      </c>
      <c r="P18">
        <f t="shared" si="2"/>
        <v>303.25</v>
      </c>
      <c r="Q18">
        <f t="shared" si="3"/>
        <v>330.60362815856928</v>
      </c>
      <c r="R18">
        <f t="shared" si="4"/>
        <v>0</v>
      </c>
      <c r="S18">
        <v>-3.798252262796149</v>
      </c>
      <c r="T18">
        <f t="shared" si="5"/>
        <v>14.204502027171227</v>
      </c>
      <c r="U18">
        <f t="shared" si="8"/>
        <v>325.60362815856928</v>
      </c>
      <c r="V18">
        <f t="shared" si="7"/>
        <v>0</v>
      </c>
    </row>
    <row r="19" spans="1:22" x14ac:dyDescent="0.3">
      <c r="A19" s="1">
        <v>43186</v>
      </c>
      <c r="B19">
        <v>315.14999999999998</v>
      </c>
      <c r="C19">
        <v>302.39999999999998</v>
      </c>
      <c r="D19">
        <v>-12.75</v>
      </c>
      <c r="E19" s="1">
        <v>43277</v>
      </c>
      <c r="F19">
        <v>0.60207885503768899</v>
      </c>
      <c r="G19">
        <v>-12.75</v>
      </c>
      <c r="J19">
        <v>8.5171890679999898</v>
      </c>
      <c r="K19">
        <v>4.6798890776220485</v>
      </c>
      <c r="M19" s="1">
        <v>43277</v>
      </c>
      <c r="N19">
        <f t="shared" si="0"/>
        <v>310.09373764361061</v>
      </c>
      <c r="O19">
        <f t="shared" si="1"/>
        <v>294.70626235638935</v>
      </c>
      <c r="P19">
        <f t="shared" si="2"/>
        <v>302.39999999999998</v>
      </c>
      <c r="Q19">
        <f t="shared" si="3"/>
        <v>315.75207885503767</v>
      </c>
      <c r="R19">
        <f t="shared" si="4"/>
        <v>0</v>
      </c>
      <c r="S19">
        <v>-3.5804548684760702</v>
      </c>
      <c r="T19">
        <f t="shared" si="5"/>
        <v>-1.1881485792003461</v>
      </c>
      <c r="U19">
        <f t="shared" si="8"/>
        <v>310.75207885503767</v>
      </c>
      <c r="V19">
        <f t="shared" si="7"/>
        <v>0</v>
      </c>
    </row>
    <row r="20" spans="1:22" x14ac:dyDescent="0.3">
      <c r="A20" s="1">
        <v>43187</v>
      </c>
      <c r="B20">
        <v>310.64999999999998</v>
      </c>
      <c r="C20">
        <v>301.54999961853002</v>
      </c>
      <c r="D20">
        <v>-9.1000003814697195</v>
      </c>
      <c r="E20" s="1">
        <v>43278</v>
      </c>
      <c r="F20">
        <v>2.2218976020812899</v>
      </c>
      <c r="G20">
        <v>-9.1000003814697195</v>
      </c>
      <c r="J20">
        <v>8.6170227179999994</v>
      </c>
      <c r="K20">
        <v>4.8980467309781917</v>
      </c>
      <c r="M20" s="1">
        <v>43278</v>
      </c>
      <c r="N20">
        <f>C20+1.644*K20</f>
        <v>309.60238844425817</v>
      </c>
      <c r="O20">
        <f>C20-1.644*K20</f>
        <v>293.49761079280188</v>
      </c>
      <c r="P20">
        <f>C20</f>
        <v>301.54999961853002</v>
      </c>
      <c r="Q20">
        <f t="shared" si="3"/>
        <v>312.87189760208128</v>
      </c>
      <c r="R20">
        <f>IF(AND(D20&gt;0, AND(Q20&lt;N20, Q20&gt;O20)),1,0)</f>
        <v>0</v>
      </c>
      <c r="S20">
        <v>-3.9035064826484396</v>
      </c>
      <c r="T20">
        <f t="shared" si="5"/>
        <v>0.27014436075707016</v>
      </c>
      <c r="U20">
        <f t="shared" si="8"/>
        <v>307.87189760208128</v>
      </c>
      <c r="V20">
        <f t="shared" si="7"/>
        <v>0</v>
      </c>
    </row>
    <row r="21" spans="1:22" x14ac:dyDescent="0.3">
      <c r="A21" s="1">
        <v>43188</v>
      </c>
      <c r="B21">
        <v>314.45</v>
      </c>
      <c r="C21">
        <v>299.09999961852998</v>
      </c>
      <c r="D21">
        <v>15.3500003814697</v>
      </c>
      <c r="E21" s="1">
        <v>43279</v>
      </c>
      <c r="F21">
        <v>-6.5029230117797798</v>
      </c>
      <c r="G21">
        <v>-15.3500003814697</v>
      </c>
      <c r="J21">
        <v>8.6352032039999997</v>
      </c>
      <c r="K21">
        <v>5.2059053699768523</v>
      </c>
      <c r="M21" s="1">
        <v>43279</v>
      </c>
      <c r="N21">
        <f t="shared" ref="N21:N26" si="9">C21+1.644*K21</f>
        <v>307.65850804677194</v>
      </c>
      <c r="O21">
        <f t="shared" ref="O21:O26" si="10">C21-1.644*K21</f>
        <v>290.54149119028801</v>
      </c>
      <c r="P21">
        <f t="shared" ref="P21:P26" si="11">C21</f>
        <v>299.09999961852998</v>
      </c>
      <c r="Q21">
        <f t="shared" si="3"/>
        <v>307.9470769882202</v>
      </c>
      <c r="R21">
        <f t="shared" ref="R21:R26" si="12">IF(AND(D21&gt;0, AND(Q21&lt;N21, Q21&gt;O21)),1,0)</f>
        <v>0</v>
      </c>
      <c r="S21">
        <v>-3.28975327953101</v>
      </c>
      <c r="T21">
        <f t="shared" si="5"/>
        <v>-4.8580463720142752</v>
      </c>
      <c r="U21">
        <f t="shared" si="8"/>
        <v>308.9470769882202</v>
      </c>
      <c r="V21">
        <f>IF(AND(D21&gt;0, AND(U21&lt;N21, U21&gt;O21)),1,0)</f>
        <v>0</v>
      </c>
    </row>
    <row r="22" spans="1:22" x14ac:dyDescent="0.3">
      <c r="A22" s="1">
        <v>43189</v>
      </c>
      <c r="B22">
        <v>314.55</v>
      </c>
      <c r="C22">
        <v>299.99999980926498</v>
      </c>
      <c r="D22">
        <v>14.550000190734799</v>
      </c>
      <c r="E22" s="1">
        <v>43280</v>
      </c>
      <c r="F22">
        <v>-9.8323612213134695</v>
      </c>
      <c r="G22">
        <v>-14.550000190734799</v>
      </c>
      <c r="J22">
        <v>8.6487421970000007</v>
      </c>
      <c r="K22">
        <v>5.4514220533587503</v>
      </c>
      <c r="M22" s="1">
        <v>43280</v>
      </c>
      <c r="N22">
        <f t="shared" si="9"/>
        <v>308.96213766498676</v>
      </c>
      <c r="O22">
        <f t="shared" si="10"/>
        <v>291.0378619535432</v>
      </c>
      <c r="P22">
        <f t="shared" si="11"/>
        <v>299.99999980926498</v>
      </c>
      <c r="Q22">
        <f t="shared" si="3"/>
        <v>304.71763877868653</v>
      </c>
      <c r="R22">
        <f t="shared" si="12"/>
        <v>1</v>
      </c>
      <c r="S22">
        <v>-3.177763936959721</v>
      </c>
      <c r="T22">
        <f t="shared" si="5"/>
        <v>-8.2434792528336089</v>
      </c>
      <c r="U22">
        <f t="shared" si="8"/>
        <v>305.71763877868653</v>
      </c>
      <c r="V22">
        <f t="shared" si="7"/>
        <v>1</v>
      </c>
    </row>
    <row r="23" spans="1:22" x14ac:dyDescent="0.3">
      <c r="A23" s="1">
        <v>43192</v>
      </c>
      <c r="B23">
        <v>313.45</v>
      </c>
      <c r="C23">
        <v>292.90000076293899</v>
      </c>
      <c r="D23">
        <v>20.549999237060501</v>
      </c>
      <c r="E23" s="1">
        <v>43283</v>
      </c>
      <c r="F23">
        <v>-5.0562400817870996</v>
      </c>
      <c r="G23">
        <v>-20.549999237060501</v>
      </c>
      <c r="J23">
        <v>8.6717526760000005</v>
      </c>
      <c r="K23">
        <v>5.9894175506599829</v>
      </c>
      <c r="M23" s="1">
        <v>43283</v>
      </c>
      <c r="N23">
        <f t="shared" si="9"/>
        <v>302.746603216224</v>
      </c>
      <c r="O23">
        <f t="shared" si="10"/>
        <v>283.05339830965397</v>
      </c>
      <c r="P23">
        <f t="shared" si="11"/>
        <v>292.90000076293899</v>
      </c>
      <c r="Q23">
        <f t="shared" si="3"/>
        <v>308.39375991821288</v>
      </c>
      <c r="R23">
        <f t="shared" si="12"/>
        <v>0</v>
      </c>
      <c r="S23">
        <v>-2.0582015361684602</v>
      </c>
      <c r="T23">
        <f t="shared" si="5"/>
        <v>-4.0271393137028699</v>
      </c>
      <c r="U23">
        <f t="shared" si="8"/>
        <v>309.39375991821288</v>
      </c>
      <c r="V23">
        <f t="shared" si="7"/>
        <v>0</v>
      </c>
    </row>
    <row r="24" spans="1:22" x14ac:dyDescent="0.3">
      <c r="A24" s="1">
        <v>43193</v>
      </c>
      <c r="B24">
        <v>312.8</v>
      </c>
      <c r="C24">
        <v>293.75000076293901</v>
      </c>
      <c r="D24">
        <v>19.049999237060501</v>
      </c>
      <c r="E24" s="1">
        <v>43284</v>
      </c>
      <c r="F24">
        <v>-4.30997514724731</v>
      </c>
      <c r="G24">
        <v>-19.049999237060501</v>
      </c>
      <c r="J24">
        <v>8.6901519890000003</v>
      </c>
      <c r="K24">
        <v>6.429470533889539</v>
      </c>
      <c r="M24" s="1">
        <v>43284</v>
      </c>
      <c r="N24">
        <f t="shared" si="9"/>
        <v>304.32005032065342</v>
      </c>
      <c r="O24">
        <f t="shared" si="10"/>
        <v>283.1799512052246</v>
      </c>
      <c r="P24">
        <f t="shared" si="11"/>
        <v>293.75000076293901</v>
      </c>
      <c r="Q24">
        <f t="shared" si="3"/>
        <v>308.4900248527527</v>
      </c>
      <c r="R24">
        <f t="shared" si="12"/>
        <v>0</v>
      </c>
      <c r="S24">
        <v>-1.9008782501389199</v>
      </c>
      <c r="T24">
        <f t="shared" si="5"/>
        <v>-3.3595360221778501</v>
      </c>
      <c r="U24">
        <f t="shared" si="8"/>
        <v>309.4900248527527</v>
      </c>
      <c r="V24">
        <f t="shared" si="7"/>
        <v>0</v>
      </c>
    </row>
    <row r="25" spans="1:22" x14ac:dyDescent="0.3">
      <c r="A25" s="1">
        <v>43194</v>
      </c>
      <c r="B25">
        <v>307.55</v>
      </c>
      <c r="C25">
        <v>292.55</v>
      </c>
      <c r="D25">
        <v>15</v>
      </c>
      <c r="E25" s="1">
        <v>43285</v>
      </c>
      <c r="F25">
        <v>-4.9292936325073198</v>
      </c>
      <c r="G25">
        <v>-15</v>
      </c>
      <c r="J25">
        <v>8.7806458519999993</v>
      </c>
      <c r="K25">
        <v>6.8578537935600625</v>
      </c>
      <c r="M25" s="1">
        <v>43285</v>
      </c>
      <c r="N25">
        <f t="shared" si="9"/>
        <v>303.82431163661278</v>
      </c>
      <c r="O25">
        <f t="shared" si="10"/>
        <v>281.27568836338725</v>
      </c>
      <c r="P25">
        <f t="shared" si="11"/>
        <v>292.55</v>
      </c>
      <c r="Q25">
        <f t="shared" si="3"/>
        <v>302.62070636749269</v>
      </c>
      <c r="R25">
        <f t="shared" si="12"/>
        <v>1</v>
      </c>
      <c r="S25">
        <v>-1.6299014138286196</v>
      </c>
      <c r="T25">
        <f t="shared" si="5"/>
        <v>-4.11434292559301</v>
      </c>
      <c r="U25">
        <f t="shared" si="8"/>
        <v>303.62070636749269</v>
      </c>
      <c r="V25">
        <f t="shared" si="7"/>
        <v>1</v>
      </c>
    </row>
    <row r="26" spans="1:22" x14ac:dyDescent="0.3">
      <c r="A26" s="1">
        <v>43195</v>
      </c>
      <c r="B26">
        <v>312.95</v>
      </c>
      <c r="C26">
        <v>291.99999923706002</v>
      </c>
      <c r="D26">
        <v>20.9500007629394</v>
      </c>
      <c r="E26" s="1">
        <v>43286</v>
      </c>
      <c r="F26">
        <v>-4.85902976989746</v>
      </c>
      <c r="G26">
        <v>-20.9500007629394</v>
      </c>
      <c r="J26">
        <v>8.8002029589999999</v>
      </c>
      <c r="K26">
        <v>7.2946155392443126</v>
      </c>
      <c r="M26" s="1">
        <v>43286</v>
      </c>
      <c r="N26">
        <f t="shared" si="9"/>
        <v>303.99234718357769</v>
      </c>
      <c r="O26">
        <f t="shared" si="10"/>
        <v>280.00765129054236</v>
      </c>
      <c r="P26">
        <f t="shared" si="11"/>
        <v>291.99999923706002</v>
      </c>
      <c r="Q26">
        <f t="shared" si="3"/>
        <v>308.09097023010253</v>
      </c>
      <c r="R26">
        <f t="shared" si="12"/>
        <v>0</v>
      </c>
      <c r="S26">
        <v>-1.3413921527255903</v>
      </c>
      <c r="T26">
        <f t="shared" si="5"/>
        <v>-4.1883336935346644</v>
      </c>
      <c r="U26">
        <f t="shared" si="8"/>
        <v>309.09097023010253</v>
      </c>
      <c r="V26">
        <f t="shared" si="7"/>
        <v>0</v>
      </c>
    </row>
    <row r="27" spans="1:22" x14ac:dyDescent="0.3">
      <c r="A27" s="1">
        <v>43196</v>
      </c>
      <c r="B27">
        <v>311.2</v>
      </c>
      <c r="C27">
        <v>293.59999961852998</v>
      </c>
      <c r="D27">
        <v>17.600000381469702</v>
      </c>
      <c r="E27" s="1">
        <v>43287</v>
      </c>
      <c r="F27">
        <v>-3.5166549682617099</v>
      </c>
      <c r="G27">
        <v>-17.600000381469702</v>
      </c>
      <c r="J27">
        <v>8.7870778289999993</v>
      </c>
      <c r="K27">
        <v>7.634292099820688</v>
      </c>
      <c r="M27" s="1">
        <v>43287</v>
      </c>
      <c r="N27">
        <f>C27+1.644*K27</f>
        <v>306.15077583063521</v>
      </c>
      <c r="O27">
        <f>C27-1.644*K27</f>
        <v>281.04922340642474</v>
      </c>
      <c r="P27">
        <f>C27</f>
        <v>293.59999961852998</v>
      </c>
      <c r="Q27">
        <f t="shared" si="3"/>
        <v>307.68334503173827</v>
      </c>
      <c r="R27">
        <f>IF(AND(D27&gt;0, AND(Q27&lt;N27, Q27&gt;O27)),1,0)</f>
        <v>0</v>
      </c>
      <c r="S27">
        <v>-1.2080277649130897</v>
      </c>
      <c r="T27">
        <f t="shared" si="5"/>
        <v>-2.912641085805165</v>
      </c>
      <c r="U27">
        <f t="shared" si="8"/>
        <v>308.68334503173827</v>
      </c>
      <c r="V27">
        <f>IF(AND(D27&gt;0, AND(U27&lt;N27, U27&gt;O27)),1,0)</f>
        <v>0</v>
      </c>
    </row>
    <row r="28" spans="1:22" x14ac:dyDescent="0.3">
      <c r="A28" s="1">
        <v>43199</v>
      </c>
      <c r="B28">
        <v>312.95</v>
      </c>
      <c r="C28">
        <v>296.24999923706002</v>
      </c>
      <c r="D28">
        <v>16.7000007629394</v>
      </c>
      <c r="E28" s="1">
        <v>43290</v>
      </c>
      <c r="F28">
        <v>-1.48801553249359</v>
      </c>
      <c r="G28">
        <v>-16.7000007629394</v>
      </c>
      <c r="J28">
        <v>8.6981674269999996</v>
      </c>
      <c r="K28">
        <v>7.8618244481701653</v>
      </c>
      <c r="M28" s="1">
        <v>43290</v>
      </c>
      <c r="N28">
        <f t="shared" ref="N28:N36" si="13">C28+1.644*K28</f>
        <v>309.17483862985176</v>
      </c>
      <c r="O28">
        <f t="shared" ref="O28:O36" si="14">C28-1.644*K28</f>
        <v>283.32515984426828</v>
      </c>
      <c r="P28">
        <f t="shared" ref="P28:P36" si="15">C28</f>
        <v>296.24999923706002</v>
      </c>
      <c r="Q28">
        <f t="shared" si="3"/>
        <v>311.4619844675064</v>
      </c>
      <c r="R28">
        <f t="shared" ref="R28:R36" si="16">IF(AND(D28&gt;0, AND(Q28&lt;N28, Q28&gt;O28)),1,0)</f>
        <v>0</v>
      </c>
      <c r="S28">
        <v>-1.1829548911418497</v>
      </c>
      <c r="T28">
        <f t="shared" si="5"/>
        <v>-0.89653808692266512</v>
      </c>
      <c r="U28">
        <f t="shared" si="8"/>
        <v>312.4619844675064</v>
      </c>
      <c r="V28">
        <f t="shared" si="7"/>
        <v>0</v>
      </c>
    </row>
    <row r="29" spans="1:22" x14ac:dyDescent="0.3">
      <c r="A29" s="1">
        <v>43200</v>
      </c>
      <c r="B29">
        <v>313.45</v>
      </c>
      <c r="C29">
        <v>296.95</v>
      </c>
      <c r="D29">
        <v>16.5</v>
      </c>
      <c r="E29" s="1">
        <v>43291</v>
      </c>
      <c r="F29">
        <v>-2.5912480354309002</v>
      </c>
      <c r="G29">
        <v>-16.5</v>
      </c>
      <c r="J29">
        <v>8.6110026469999994</v>
      </c>
      <c r="K29">
        <v>8.0530036500961248</v>
      </c>
      <c r="M29" s="1">
        <v>43291</v>
      </c>
      <c r="N29">
        <f t="shared" si="13"/>
        <v>310.18913800075802</v>
      </c>
      <c r="O29">
        <f t="shared" si="14"/>
        <v>283.71086199924196</v>
      </c>
      <c r="P29">
        <f t="shared" si="15"/>
        <v>296.95</v>
      </c>
      <c r="Q29">
        <f t="shared" si="3"/>
        <v>310.85875196456908</v>
      </c>
      <c r="R29">
        <f t="shared" si="16"/>
        <v>0</v>
      </c>
      <c r="S29">
        <v>-0.73637982519213896</v>
      </c>
      <c r="T29">
        <f t="shared" si="5"/>
        <v>-2.2230581228348307</v>
      </c>
      <c r="U29">
        <f t="shared" si="8"/>
        <v>311.85875196456908</v>
      </c>
      <c r="V29">
        <f t="shared" si="7"/>
        <v>0</v>
      </c>
    </row>
    <row r="30" spans="1:22" x14ac:dyDescent="0.3">
      <c r="A30" s="1">
        <v>43201</v>
      </c>
      <c r="B30">
        <v>312.45</v>
      </c>
      <c r="C30">
        <v>295.30000038146898</v>
      </c>
      <c r="D30">
        <v>17.149999618530199</v>
      </c>
      <c r="E30" s="1">
        <v>43292</v>
      </c>
      <c r="F30">
        <v>-1.6848729848861601</v>
      </c>
      <c r="G30">
        <v>-17.149999618530199</v>
      </c>
      <c r="J30">
        <v>8.5749008320000009</v>
      </c>
      <c r="K30">
        <v>8.2815882006412274</v>
      </c>
      <c r="M30" s="1">
        <v>43292</v>
      </c>
      <c r="N30">
        <f t="shared" si="13"/>
        <v>308.91493138332316</v>
      </c>
      <c r="O30">
        <f t="shared" si="14"/>
        <v>281.68506937961479</v>
      </c>
      <c r="P30">
        <f t="shared" si="15"/>
        <v>295.30000038146898</v>
      </c>
      <c r="Q30">
        <f t="shared" si="3"/>
        <v>310.76512701511382</v>
      </c>
      <c r="R30">
        <f t="shared" si="16"/>
        <v>0</v>
      </c>
      <c r="S30">
        <v>-0.75171586495899057</v>
      </c>
      <c r="T30">
        <f t="shared" si="5"/>
        <v>-1.3090150524066648</v>
      </c>
      <c r="U30">
        <f t="shared" si="8"/>
        <v>311.76512701511382</v>
      </c>
      <c r="V30">
        <f t="shared" si="7"/>
        <v>0</v>
      </c>
    </row>
    <row r="31" spans="1:22" x14ac:dyDescent="0.3">
      <c r="A31" s="1">
        <v>43202</v>
      </c>
      <c r="B31">
        <v>311.75</v>
      </c>
      <c r="C31">
        <v>296</v>
      </c>
      <c r="D31">
        <v>15.75</v>
      </c>
      <c r="E31" s="1">
        <v>43293</v>
      </c>
      <c r="F31">
        <v>-12.051765441894499</v>
      </c>
      <c r="G31">
        <v>-15.75</v>
      </c>
      <c r="J31">
        <v>8.5615552539999999</v>
      </c>
      <c r="K31">
        <v>8.4787483910566728</v>
      </c>
      <c r="M31" s="1">
        <v>43293</v>
      </c>
      <c r="N31">
        <f t="shared" si="13"/>
        <v>309.93906235489715</v>
      </c>
      <c r="O31">
        <f t="shared" si="14"/>
        <v>282.06093764510285</v>
      </c>
      <c r="P31">
        <f t="shared" si="15"/>
        <v>296</v>
      </c>
      <c r="Q31">
        <f t="shared" si="3"/>
        <v>299.69823455810553</v>
      </c>
      <c r="R31">
        <f t="shared" si="16"/>
        <v>1</v>
      </c>
      <c r="S31">
        <v>-0.35225139810400918</v>
      </c>
      <c r="T31">
        <f t="shared" si="5"/>
        <v>-11.875639742842495</v>
      </c>
      <c r="U31">
        <f t="shared" si="8"/>
        <v>300.69823455810553</v>
      </c>
      <c r="V31">
        <f t="shared" si="7"/>
        <v>1</v>
      </c>
    </row>
    <row r="32" spans="1:22" x14ac:dyDescent="0.3">
      <c r="A32" s="1">
        <v>43203</v>
      </c>
      <c r="B32">
        <v>314.45</v>
      </c>
      <c r="C32">
        <v>299.09999961852998</v>
      </c>
      <c r="D32">
        <v>15.3500003814697</v>
      </c>
      <c r="E32" s="1">
        <v>43294</v>
      </c>
      <c r="F32">
        <v>-10.4738321304321</v>
      </c>
      <c r="G32">
        <v>-15.3500003814697</v>
      </c>
      <c r="J32">
        <v>8.5109402159999998</v>
      </c>
      <c r="K32">
        <v>8.5792699337504121</v>
      </c>
      <c r="M32" s="1">
        <v>43294</v>
      </c>
      <c r="N32">
        <f t="shared" si="13"/>
        <v>313.20431938961565</v>
      </c>
      <c r="O32">
        <f t="shared" si="14"/>
        <v>284.99567984744431</v>
      </c>
      <c r="P32">
        <f t="shared" si="15"/>
        <v>299.09999961852998</v>
      </c>
      <c r="Q32">
        <f t="shared" si="3"/>
        <v>303.97616786956792</v>
      </c>
      <c r="R32">
        <f t="shared" si="16"/>
        <v>1</v>
      </c>
      <c r="S32">
        <v>-0.21390499871485069</v>
      </c>
      <c r="T32">
        <f t="shared" si="5"/>
        <v>-10.366879631074674</v>
      </c>
      <c r="U32">
        <f t="shared" si="8"/>
        <v>304.97616786956792</v>
      </c>
      <c r="V32">
        <f t="shared" si="7"/>
        <v>1</v>
      </c>
    </row>
    <row r="33" spans="1:22" x14ac:dyDescent="0.3">
      <c r="A33" s="1">
        <v>43206</v>
      </c>
      <c r="B33">
        <v>314.3</v>
      </c>
      <c r="C33">
        <v>298.19999961853</v>
      </c>
      <c r="D33">
        <v>16.100000381469702</v>
      </c>
      <c r="E33" s="1">
        <v>43297</v>
      </c>
      <c r="F33">
        <v>-7.4101638793945304</v>
      </c>
      <c r="G33">
        <v>-16.100000381469702</v>
      </c>
      <c r="J33">
        <v>8.4492516450000004</v>
      </c>
      <c r="K33">
        <v>8.6916496730172845</v>
      </c>
      <c r="M33" s="1">
        <v>43297</v>
      </c>
      <c r="N33">
        <f t="shared" si="13"/>
        <v>312.48907168097043</v>
      </c>
      <c r="O33">
        <f t="shared" si="14"/>
        <v>283.91092755608958</v>
      </c>
      <c r="P33">
        <f t="shared" si="15"/>
        <v>298.19999961853</v>
      </c>
      <c r="Q33">
        <f t="shared" si="3"/>
        <v>306.88983612060548</v>
      </c>
      <c r="R33">
        <f t="shared" si="16"/>
        <v>1</v>
      </c>
      <c r="S33">
        <v>-0.88159465113404067</v>
      </c>
      <c r="T33">
        <f t="shared" si="5"/>
        <v>-6.96936655382751</v>
      </c>
      <c r="U33">
        <f t="shared" si="8"/>
        <v>307.88983612060548</v>
      </c>
      <c r="V33">
        <f t="shared" si="7"/>
        <v>1</v>
      </c>
    </row>
    <row r="34" spans="1:22" x14ac:dyDescent="0.3">
      <c r="A34" s="1">
        <v>43207</v>
      </c>
      <c r="B34">
        <v>314.39999999999998</v>
      </c>
      <c r="C34">
        <v>297.35000076293898</v>
      </c>
      <c r="D34">
        <v>17.049999237060501</v>
      </c>
      <c r="E34" s="1">
        <v>43298</v>
      </c>
      <c r="F34">
        <v>-6.8297519683837802</v>
      </c>
      <c r="G34">
        <v>-17.049999237060501</v>
      </c>
      <c r="J34">
        <v>8.3157281179999991</v>
      </c>
      <c r="K34">
        <v>8.8127259245453562</v>
      </c>
      <c r="M34" s="1">
        <v>43298</v>
      </c>
      <c r="N34">
        <f t="shared" si="13"/>
        <v>311.83812218289154</v>
      </c>
      <c r="O34">
        <f t="shared" si="14"/>
        <v>282.86187934298641</v>
      </c>
      <c r="P34">
        <f t="shared" si="15"/>
        <v>297.35000076293898</v>
      </c>
      <c r="Q34">
        <f t="shared" si="3"/>
        <v>307.57024803161619</v>
      </c>
      <c r="R34">
        <f t="shared" si="16"/>
        <v>1</v>
      </c>
      <c r="S34">
        <v>-0.84162085252758878</v>
      </c>
      <c r="T34">
        <f t="shared" si="5"/>
        <v>-6.4089415421199858</v>
      </c>
      <c r="U34">
        <f t="shared" si="8"/>
        <v>308.57024803161619</v>
      </c>
      <c r="V34">
        <f t="shared" si="7"/>
        <v>1</v>
      </c>
    </row>
    <row r="35" spans="1:22" x14ac:dyDescent="0.3">
      <c r="A35" s="1">
        <v>43208</v>
      </c>
      <c r="B35">
        <v>317.60000000000002</v>
      </c>
      <c r="C35">
        <v>297.05000076293902</v>
      </c>
      <c r="D35">
        <v>20.549999237060501</v>
      </c>
      <c r="E35" s="1">
        <v>43299</v>
      </c>
      <c r="F35">
        <v>-9.1845064163208008</v>
      </c>
      <c r="G35">
        <v>-20.549999237060501</v>
      </c>
      <c r="J35">
        <v>8.1924887910000006</v>
      </c>
      <c r="K35">
        <v>8.8939108518347858</v>
      </c>
      <c r="M35" s="1">
        <v>43299</v>
      </c>
      <c r="N35">
        <f t="shared" si="13"/>
        <v>311.67159020335544</v>
      </c>
      <c r="O35">
        <f t="shared" si="14"/>
        <v>282.42841132252261</v>
      </c>
      <c r="P35">
        <f t="shared" si="15"/>
        <v>297.05000076293902</v>
      </c>
      <c r="Q35">
        <f t="shared" si="3"/>
        <v>308.41549358367922</v>
      </c>
      <c r="R35">
        <f t="shared" si="16"/>
        <v>1</v>
      </c>
      <c r="S35">
        <v>9.3961595047359125E-2</v>
      </c>
      <c r="T35">
        <f t="shared" si="5"/>
        <v>-9.2314872138444812</v>
      </c>
      <c r="U35">
        <f t="shared" si="8"/>
        <v>307.41549358367922</v>
      </c>
      <c r="V35">
        <f t="shared" si="7"/>
        <v>1</v>
      </c>
    </row>
    <row r="36" spans="1:22" x14ac:dyDescent="0.3">
      <c r="A36" s="1">
        <v>43209</v>
      </c>
      <c r="B36">
        <v>319</v>
      </c>
      <c r="C36">
        <v>296.04999923705998</v>
      </c>
      <c r="D36">
        <v>22.9500007629394</v>
      </c>
      <c r="E36" s="1">
        <v>43300</v>
      </c>
      <c r="F36">
        <v>-11.714277267456</v>
      </c>
      <c r="G36">
        <v>-22.9500007629394</v>
      </c>
      <c r="J36">
        <v>8.0608853479999993</v>
      </c>
      <c r="K36">
        <v>8.9623449723744795</v>
      </c>
      <c r="M36" s="1">
        <v>43300</v>
      </c>
      <c r="N36">
        <f t="shared" si="13"/>
        <v>310.78409437164362</v>
      </c>
      <c r="O36">
        <f t="shared" si="14"/>
        <v>281.31590410247634</v>
      </c>
      <c r="P36">
        <f t="shared" si="15"/>
        <v>296.04999923705998</v>
      </c>
      <c r="Q36">
        <f t="shared" ref="Q36" si="17">B36+T36</f>
        <v>307.64746261568871</v>
      </c>
      <c r="R36">
        <f t="shared" si="16"/>
        <v>1</v>
      </c>
      <c r="S36">
        <v>-0.22003642527050893</v>
      </c>
      <c r="T36">
        <f t="shared" ref="T36" si="18">IF(F36&lt;0, MIN(-S36*1.644+F36, -0.1), MAX(S36*1.644+F36, 0.1))</f>
        <v>-11.352537384311283</v>
      </c>
      <c r="U36">
        <f t="shared" si="8"/>
        <v>308.64746261568871</v>
      </c>
      <c r="V36">
        <f t="shared" si="7"/>
        <v>1</v>
      </c>
    </row>
    <row r="37" spans="1:22" x14ac:dyDescent="0.3">
      <c r="R37">
        <f>SUM(R2:R36)/35</f>
        <v>0.42857142857142855</v>
      </c>
      <c r="V37">
        <f>SUM(V2:V36)/35</f>
        <v>0.4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2018-07-22T16:04:42Z</dcterms:created>
  <dcterms:modified xsi:type="dcterms:W3CDTF">2018-07-28T00:40:27Z</dcterms:modified>
</cp:coreProperties>
</file>