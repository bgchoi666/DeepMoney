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DeepMoney\results_vdiff_ensemble\"/>
    </mc:Choice>
  </mc:AlternateContent>
  <bookViews>
    <workbookView xWindow="0" yWindow="0" windowWidth="28800" windowHeight="12390"/>
  </bookViews>
  <sheets>
    <sheet name="vdiff_ensemble_65_1_100_0.001_2" sheetId="1" r:id="rId1"/>
    <sheet name="Sheet1" sheetId="2" r:id="rId2"/>
  </sheets>
  <calcPr calcId="152511"/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" i="1"/>
  <c r="M277" i="2"/>
  <c r="N277" i="2"/>
  <c r="O277" i="2"/>
  <c r="P277" i="2"/>
  <c r="Q277" i="2"/>
  <c r="R277" i="2"/>
  <c r="S277" i="2"/>
  <c r="L277" i="2"/>
  <c r="N14" i="2"/>
  <c r="L11" i="2"/>
  <c r="L10" i="2"/>
  <c r="L2" i="2"/>
  <c r="L3" i="2"/>
  <c r="M3" i="2"/>
  <c r="N3" i="2"/>
  <c r="O3" i="2"/>
  <c r="P3" i="2"/>
  <c r="Q3" i="2"/>
  <c r="R3" i="2"/>
  <c r="S3" i="2"/>
  <c r="L4" i="2"/>
  <c r="M4" i="2"/>
  <c r="N4" i="2"/>
  <c r="O4" i="2"/>
  <c r="P4" i="2"/>
  <c r="Q4" i="2"/>
  <c r="R4" i="2"/>
  <c r="S4" i="2"/>
  <c r="L5" i="2"/>
  <c r="M5" i="2"/>
  <c r="N5" i="2"/>
  <c r="O5" i="2"/>
  <c r="P5" i="2"/>
  <c r="Q5" i="2"/>
  <c r="R5" i="2"/>
  <c r="S5" i="2"/>
  <c r="L6" i="2"/>
  <c r="M6" i="2"/>
  <c r="N6" i="2"/>
  <c r="O6" i="2"/>
  <c r="P6" i="2"/>
  <c r="Q6" i="2"/>
  <c r="R6" i="2"/>
  <c r="S6" i="2"/>
  <c r="L7" i="2"/>
  <c r="M7" i="2"/>
  <c r="N7" i="2"/>
  <c r="O7" i="2"/>
  <c r="P7" i="2"/>
  <c r="Q7" i="2"/>
  <c r="R7" i="2"/>
  <c r="S7" i="2"/>
  <c r="L8" i="2"/>
  <c r="M8" i="2"/>
  <c r="N8" i="2"/>
  <c r="O8" i="2"/>
  <c r="P8" i="2"/>
  <c r="Q8" i="2"/>
  <c r="R8" i="2"/>
  <c r="S8" i="2"/>
  <c r="L9" i="2"/>
  <c r="M9" i="2"/>
  <c r="N9" i="2"/>
  <c r="O9" i="2"/>
  <c r="P9" i="2"/>
  <c r="Q9" i="2"/>
  <c r="R9" i="2"/>
  <c r="S9" i="2"/>
  <c r="M10" i="2"/>
  <c r="N10" i="2"/>
  <c r="O10" i="2"/>
  <c r="P10" i="2"/>
  <c r="Q10" i="2"/>
  <c r="R10" i="2"/>
  <c r="S10" i="2"/>
  <c r="M11" i="2"/>
  <c r="N11" i="2"/>
  <c r="O11" i="2"/>
  <c r="P11" i="2"/>
  <c r="Q11" i="2"/>
  <c r="R11" i="2"/>
  <c r="S11" i="2"/>
  <c r="L12" i="2"/>
  <c r="M12" i="2"/>
  <c r="N12" i="2"/>
  <c r="O12" i="2"/>
  <c r="P12" i="2"/>
  <c r="Q12" i="2"/>
  <c r="R12" i="2"/>
  <c r="S12" i="2"/>
  <c r="L13" i="2"/>
  <c r="M13" i="2"/>
  <c r="N13" i="2"/>
  <c r="O13" i="2"/>
  <c r="P13" i="2"/>
  <c r="Q13" i="2"/>
  <c r="R13" i="2"/>
  <c r="S13" i="2"/>
  <c r="L14" i="2"/>
  <c r="M14" i="2"/>
  <c r="O14" i="2"/>
  <c r="P14" i="2"/>
  <c r="Q14" i="2"/>
  <c r="R14" i="2"/>
  <c r="S14" i="2"/>
  <c r="L15" i="2"/>
  <c r="M15" i="2"/>
  <c r="N15" i="2"/>
  <c r="O15" i="2"/>
  <c r="P15" i="2"/>
  <c r="Q15" i="2"/>
  <c r="R15" i="2"/>
  <c r="S15" i="2"/>
  <c r="L16" i="2"/>
  <c r="M16" i="2"/>
  <c r="N16" i="2"/>
  <c r="O16" i="2"/>
  <c r="P16" i="2"/>
  <c r="Q16" i="2"/>
  <c r="R16" i="2"/>
  <c r="S16" i="2"/>
  <c r="L17" i="2"/>
  <c r="M17" i="2"/>
  <c r="N17" i="2"/>
  <c r="O17" i="2"/>
  <c r="P17" i="2"/>
  <c r="Q17" i="2"/>
  <c r="R17" i="2"/>
  <c r="S17" i="2"/>
  <c r="L18" i="2"/>
  <c r="M18" i="2"/>
  <c r="N18" i="2"/>
  <c r="O18" i="2"/>
  <c r="P18" i="2"/>
  <c r="Q18" i="2"/>
  <c r="R18" i="2"/>
  <c r="S18" i="2"/>
  <c r="L19" i="2"/>
  <c r="M19" i="2"/>
  <c r="N19" i="2"/>
  <c r="O19" i="2"/>
  <c r="P19" i="2"/>
  <c r="Q19" i="2"/>
  <c r="R19" i="2"/>
  <c r="S19" i="2"/>
  <c r="L20" i="2"/>
  <c r="M20" i="2"/>
  <c r="N20" i="2"/>
  <c r="O20" i="2"/>
  <c r="P20" i="2"/>
  <c r="Q20" i="2"/>
  <c r="R20" i="2"/>
  <c r="S20" i="2"/>
  <c r="L21" i="2"/>
  <c r="M21" i="2"/>
  <c r="N21" i="2"/>
  <c r="O21" i="2"/>
  <c r="P21" i="2"/>
  <c r="Q21" i="2"/>
  <c r="R21" i="2"/>
  <c r="S21" i="2"/>
  <c r="L22" i="2"/>
  <c r="M22" i="2"/>
  <c r="N22" i="2"/>
  <c r="O22" i="2"/>
  <c r="P22" i="2"/>
  <c r="Q22" i="2"/>
  <c r="R22" i="2"/>
  <c r="S22" i="2"/>
  <c r="L23" i="2"/>
  <c r="M23" i="2"/>
  <c r="N23" i="2"/>
  <c r="O23" i="2"/>
  <c r="P23" i="2"/>
  <c r="Q23" i="2"/>
  <c r="R23" i="2"/>
  <c r="S23" i="2"/>
  <c r="L24" i="2"/>
  <c r="M24" i="2"/>
  <c r="N24" i="2"/>
  <c r="O24" i="2"/>
  <c r="P24" i="2"/>
  <c r="Q24" i="2"/>
  <c r="R24" i="2"/>
  <c r="S24" i="2"/>
  <c r="L25" i="2"/>
  <c r="M25" i="2"/>
  <c r="N25" i="2"/>
  <c r="O25" i="2"/>
  <c r="P25" i="2"/>
  <c r="Q25" i="2"/>
  <c r="R25" i="2"/>
  <c r="S25" i="2"/>
  <c r="L26" i="2"/>
  <c r="M26" i="2"/>
  <c r="N26" i="2"/>
  <c r="O26" i="2"/>
  <c r="P26" i="2"/>
  <c r="Q26" i="2"/>
  <c r="R26" i="2"/>
  <c r="S26" i="2"/>
  <c r="L27" i="2"/>
  <c r="M27" i="2"/>
  <c r="N27" i="2"/>
  <c r="O27" i="2"/>
  <c r="P27" i="2"/>
  <c r="Q27" i="2"/>
  <c r="R27" i="2"/>
  <c r="S27" i="2"/>
  <c r="L28" i="2"/>
  <c r="M28" i="2"/>
  <c r="N28" i="2"/>
  <c r="O28" i="2"/>
  <c r="P28" i="2"/>
  <c r="Q28" i="2"/>
  <c r="R28" i="2"/>
  <c r="S28" i="2"/>
  <c r="L29" i="2"/>
  <c r="M29" i="2"/>
  <c r="N29" i="2"/>
  <c r="O29" i="2"/>
  <c r="P29" i="2"/>
  <c r="Q29" i="2"/>
  <c r="R29" i="2"/>
  <c r="S29" i="2"/>
  <c r="L30" i="2"/>
  <c r="M30" i="2"/>
  <c r="N30" i="2"/>
  <c r="O30" i="2"/>
  <c r="P30" i="2"/>
  <c r="Q30" i="2"/>
  <c r="R30" i="2"/>
  <c r="S30" i="2"/>
  <c r="L31" i="2"/>
  <c r="M31" i="2"/>
  <c r="N31" i="2"/>
  <c r="O31" i="2"/>
  <c r="P31" i="2"/>
  <c r="Q31" i="2"/>
  <c r="R31" i="2"/>
  <c r="S31" i="2"/>
  <c r="L32" i="2"/>
  <c r="M32" i="2"/>
  <c r="N32" i="2"/>
  <c r="O32" i="2"/>
  <c r="P32" i="2"/>
  <c r="Q32" i="2"/>
  <c r="R32" i="2"/>
  <c r="S32" i="2"/>
  <c r="L33" i="2"/>
  <c r="M33" i="2"/>
  <c r="N33" i="2"/>
  <c r="O33" i="2"/>
  <c r="P33" i="2"/>
  <c r="Q33" i="2"/>
  <c r="R33" i="2"/>
  <c r="S33" i="2"/>
  <c r="L34" i="2"/>
  <c r="M34" i="2"/>
  <c r="N34" i="2"/>
  <c r="O34" i="2"/>
  <c r="P34" i="2"/>
  <c r="Q34" i="2"/>
  <c r="R34" i="2"/>
  <c r="S34" i="2"/>
  <c r="L35" i="2"/>
  <c r="M35" i="2"/>
  <c r="N35" i="2"/>
  <c r="O35" i="2"/>
  <c r="P35" i="2"/>
  <c r="Q35" i="2"/>
  <c r="R35" i="2"/>
  <c r="S35" i="2"/>
  <c r="L36" i="2"/>
  <c r="M36" i="2"/>
  <c r="N36" i="2"/>
  <c r="O36" i="2"/>
  <c r="P36" i="2"/>
  <c r="Q36" i="2"/>
  <c r="R36" i="2"/>
  <c r="S36" i="2"/>
  <c r="L37" i="2"/>
  <c r="M37" i="2"/>
  <c r="N37" i="2"/>
  <c r="O37" i="2"/>
  <c r="P37" i="2"/>
  <c r="Q37" i="2"/>
  <c r="R37" i="2"/>
  <c r="S37" i="2"/>
  <c r="L38" i="2"/>
  <c r="M38" i="2"/>
  <c r="N38" i="2"/>
  <c r="O38" i="2"/>
  <c r="P38" i="2"/>
  <c r="Q38" i="2"/>
  <c r="R38" i="2"/>
  <c r="S38" i="2"/>
  <c r="L39" i="2"/>
  <c r="M39" i="2"/>
  <c r="N39" i="2"/>
  <c r="O39" i="2"/>
  <c r="P39" i="2"/>
  <c r="Q39" i="2"/>
  <c r="R39" i="2"/>
  <c r="S39" i="2"/>
  <c r="L40" i="2"/>
  <c r="M40" i="2"/>
  <c r="N40" i="2"/>
  <c r="O40" i="2"/>
  <c r="P40" i="2"/>
  <c r="Q40" i="2"/>
  <c r="R40" i="2"/>
  <c r="S40" i="2"/>
  <c r="L41" i="2"/>
  <c r="M41" i="2"/>
  <c r="N41" i="2"/>
  <c r="O41" i="2"/>
  <c r="P41" i="2"/>
  <c r="Q41" i="2"/>
  <c r="R41" i="2"/>
  <c r="S41" i="2"/>
  <c r="L42" i="2"/>
  <c r="M42" i="2"/>
  <c r="N42" i="2"/>
  <c r="O42" i="2"/>
  <c r="P42" i="2"/>
  <c r="Q42" i="2"/>
  <c r="R42" i="2"/>
  <c r="S42" i="2"/>
  <c r="L43" i="2"/>
  <c r="M43" i="2"/>
  <c r="N43" i="2"/>
  <c r="O43" i="2"/>
  <c r="P43" i="2"/>
  <c r="Q43" i="2"/>
  <c r="R43" i="2"/>
  <c r="S43" i="2"/>
  <c r="L44" i="2"/>
  <c r="M44" i="2"/>
  <c r="N44" i="2"/>
  <c r="O44" i="2"/>
  <c r="P44" i="2"/>
  <c r="Q44" i="2"/>
  <c r="R44" i="2"/>
  <c r="S44" i="2"/>
  <c r="L45" i="2"/>
  <c r="M45" i="2"/>
  <c r="N45" i="2"/>
  <c r="O45" i="2"/>
  <c r="P45" i="2"/>
  <c r="Q45" i="2"/>
  <c r="R45" i="2"/>
  <c r="S45" i="2"/>
  <c r="L46" i="2"/>
  <c r="M46" i="2"/>
  <c r="N46" i="2"/>
  <c r="O46" i="2"/>
  <c r="P46" i="2"/>
  <c r="Q46" i="2"/>
  <c r="R46" i="2"/>
  <c r="S46" i="2"/>
  <c r="L47" i="2"/>
  <c r="M47" i="2"/>
  <c r="N47" i="2"/>
  <c r="O47" i="2"/>
  <c r="P47" i="2"/>
  <c r="Q47" i="2"/>
  <c r="R47" i="2"/>
  <c r="S47" i="2"/>
  <c r="L48" i="2"/>
  <c r="M48" i="2"/>
  <c r="N48" i="2"/>
  <c r="O48" i="2"/>
  <c r="P48" i="2"/>
  <c r="Q48" i="2"/>
  <c r="R48" i="2"/>
  <c r="S48" i="2"/>
  <c r="L49" i="2"/>
  <c r="M49" i="2"/>
  <c r="N49" i="2"/>
  <c r="O49" i="2"/>
  <c r="P49" i="2"/>
  <c r="Q49" i="2"/>
  <c r="R49" i="2"/>
  <c r="S49" i="2"/>
  <c r="L50" i="2"/>
  <c r="M50" i="2"/>
  <c r="N50" i="2"/>
  <c r="O50" i="2"/>
  <c r="P50" i="2"/>
  <c r="Q50" i="2"/>
  <c r="R50" i="2"/>
  <c r="S50" i="2"/>
  <c r="L51" i="2"/>
  <c r="M51" i="2"/>
  <c r="N51" i="2"/>
  <c r="O51" i="2"/>
  <c r="P51" i="2"/>
  <c r="Q51" i="2"/>
  <c r="R51" i="2"/>
  <c r="S51" i="2"/>
  <c r="L52" i="2"/>
  <c r="M52" i="2"/>
  <c r="N52" i="2"/>
  <c r="O52" i="2"/>
  <c r="P52" i="2"/>
  <c r="Q52" i="2"/>
  <c r="R52" i="2"/>
  <c r="S52" i="2"/>
  <c r="L53" i="2"/>
  <c r="M53" i="2"/>
  <c r="N53" i="2"/>
  <c r="O53" i="2"/>
  <c r="P53" i="2"/>
  <c r="Q53" i="2"/>
  <c r="R53" i="2"/>
  <c r="S53" i="2"/>
  <c r="L54" i="2"/>
  <c r="M54" i="2"/>
  <c r="N54" i="2"/>
  <c r="O54" i="2"/>
  <c r="P54" i="2"/>
  <c r="Q54" i="2"/>
  <c r="R54" i="2"/>
  <c r="S54" i="2"/>
  <c r="L55" i="2"/>
  <c r="M55" i="2"/>
  <c r="N55" i="2"/>
  <c r="O55" i="2"/>
  <c r="P55" i="2"/>
  <c r="Q55" i="2"/>
  <c r="R55" i="2"/>
  <c r="S55" i="2"/>
  <c r="L56" i="2"/>
  <c r="M56" i="2"/>
  <c r="N56" i="2"/>
  <c r="O56" i="2"/>
  <c r="P56" i="2"/>
  <c r="Q56" i="2"/>
  <c r="R56" i="2"/>
  <c r="S56" i="2"/>
  <c r="L57" i="2"/>
  <c r="M57" i="2"/>
  <c r="N57" i="2"/>
  <c r="O57" i="2"/>
  <c r="P57" i="2"/>
  <c r="Q57" i="2"/>
  <c r="R57" i="2"/>
  <c r="S57" i="2"/>
  <c r="L58" i="2"/>
  <c r="M58" i="2"/>
  <c r="N58" i="2"/>
  <c r="O58" i="2"/>
  <c r="P58" i="2"/>
  <c r="Q58" i="2"/>
  <c r="R58" i="2"/>
  <c r="S58" i="2"/>
  <c r="L59" i="2"/>
  <c r="M59" i="2"/>
  <c r="N59" i="2"/>
  <c r="O59" i="2"/>
  <c r="P59" i="2"/>
  <c r="Q59" i="2"/>
  <c r="R59" i="2"/>
  <c r="S59" i="2"/>
  <c r="L60" i="2"/>
  <c r="M60" i="2"/>
  <c r="N60" i="2"/>
  <c r="O60" i="2"/>
  <c r="P60" i="2"/>
  <c r="Q60" i="2"/>
  <c r="R60" i="2"/>
  <c r="S60" i="2"/>
  <c r="L61" i="2"/>
  <c r="M61" i="2"/>
  <c r="N61" i="2"/>
  <c r="O61" i="2"/>
  <c r="P61" i="2"/>
  <c r="Q61" i="2"/>
  <c r="R61" i="2"/>
  <c r="S61" i="2"/>
  <c r="L62" i="2"/>
  <c r="M62" i="2"/>
  <c r="N62" i="2"/>
  <c r="O62" i="2"/>
  <c r="P62" i="2"/>
  <c r="Q62" i="2"/>
  <c r="R62" i="2"/>
  <c r="S62" i="2"/>
  <c r="L63" i="2"/>
  <c r="M63" i="2"/>
  <c r="N63" i="2"/>
  <c r="O63" i="2"/>
  <c r="P63" i="2"/>
  <c r="Q63" i="2"/>
  <c r="R63" i="2"/>
  <c r="S63" i="2"/>
  <c r="L64" i="2"/>
  <c r="M64" i="2"/>
  <c r="N64" i="2"/>
  <c r="O64" i="2"/>
  <c r="P64" i="2"/>
  <c r="Q64" i="2"/>
  <c r="R64" i="2"/>
  <c r="S64" i="2"/>
  <c r="L65" i="2"/>
  <c r="M65" i="2"/>
  <c r="N65" i="2"/>
  <c r="O65" i="2"/>
  <c r="P65" i="2"/>
  <c r="Q65" i="2"/>
  <c r="R65" i="2"/>
  <c r="S65" i="2"/>
  <c r="L66" i="2"/>
  <c r="M66" i="2"/>
  <c r="N66" i="2"/>
  <c r="O66" i="2"/>
  <c r="P66" i="2"/>
  <c r="Q66" i="2"/>
  <c r="R66" i="2"/>
  <c r="S66" i="2"/>
  <c r="L67" i="2"/>
  <c r="M67" i="2"/>
  <c r="N67" i="2"/>
  <c r="O67" i="2"/>
  <c r="P67" i="2"/>
  <c r="Q67" i="2"/>
  <c r="R67" i="2"/>
  <c r="S67" i="2"/>
  <c r="L68" i="2"/>
  <c r="M68" i="2"/>
  <c r="N68" i="2"/>
  <c r="O68" i="2"/>
  <c r="P68" i="2"/>
  <c r="Q68" i="2"/>
  <c r="R68" i="2"/>
  <c r="S68" i="2"/>
  <c r="L69" i="2"/>
  <c r="M69" i="2"/>
  <c r="N69" i="2"/>
  <c r="O69" i="2"/>
  <c r="P69" i="2"/>
  <c r="Q69" i="2"/>
  <c r="R69" i="2"/>
  <c r="S69" i="2"/>
  <c r="L70" i="2"/>
  <c r="M70" i="2"/>
  <c r="N70" i="2"/>
  <c r="O70" i="2"/>
  <c r="P70" i="2"/>
  <c r="Q70" i="2"/>
  <c r="R70" i="2"/>
  <c r="S70" i="2"/>
  <c r="L71" i="2"/>
  <c r="M71" i="2"/>
  <c r="N71" i="2"/>
  <c r="O71" i="2"/>
  <c r="P71" i="2"/>
  <c r="Q71" i="2"/>
  <c r="R71" i="2"/>
  <c r="S71" i="2"/>
  <c r="L72" i="2"/>
  <c r="M72" i="2"/>
  <c r="N72" i="2"/>
  <c r="O72" i="2"/>
  <c r="P72" i="2"/>
  <c r="Q72" i="2"/>
  <c r="R72" i="2"/>
  <c r="S72" i="2"/>
  <c r="L73" i="2"/>
  <c r="M73" i="2"/>
  <c r="N73" i="2"/>
  <c r="O73" i="2"/>
  <c r="P73" i="2"/>
  <c r="Q73" i="2"/>
  <c r="R73" i="2"/>
  <c r="S73" i="2"/>
  <c r="L74" i="2"/>
  <c r="M74" i="2"/>
  <c r="N74" i="2"/>
  <c r="O74" i="2"/>
  <c r="P74" i="2"/>
  <c r="Q74" i="2"/>
  <c r="R74" i="2"/>
  <c r="S74" i="2"/>
  <c r="L75" i="2"/>
  <c r="M75" i="2"/>
  <c r="N75" i="2"/>
  <c r="O75" i="2"/>
  <c r="P75" i="2"/>
  <c r="Q75" i="2"/>
  <c r="R75" i="2"/>
  <c r="S75" i="2"/>
  <c r="L76" i="2"/>
  <c r="M76" i="2"/>
  <c r="N76" i="2"/>
  <c r="O76" i="2"/>
  <c r="P76" i="2"/>
  <c r="Q76" i="2"/>
  <c r="R76" i="2"/>
  <c r="S76" i="2"/>
  <c r="L77" i="2"/>
  <c r="M77" i="2"/>
  <c r="N77" i="2"/>
  <c r="O77" i="2"/>
  <c r="P77" i="2"/>
  <c r="Q77" i="2"/>
  <c r="R77" i="2"/>
  <c r="S77" i="2"/>
  <c r="L78" i="2"/>
  <c r="M78" i="2"/>
  <c r="N78" i="2"/>
  <c r="O78" i="2"/>
  <c r="P78" i="2"/>
  <c r="Q78" i="2"/>
  <c r="R78" i="2"/>
  <c r="S78" i="2"/>
  <c r="L79" i="2"/>
  <c r="M79" i="2"/>
  <c r="N79" i="2"/>
  <c r="O79" i="2"/>
  <c r="P79" i="2"/>
  <c r="Q79" i="2"/>
  <c r="R79" i="2"/>
  <c r="S79" i="2"/>
  <c r="L80" i="2"/>
  <c r="M80" i="2"/>
  <c r="N80" i="2"/>
  <c r="O80" i="2"/>
  <c r="P80" i="2"/>
  <c r="Q80" i="2"/>
  <c r="R80" i="2"/>
  <c r="S80" i="2"/>
  <c r="L81" i="2"/>
  <c r="M81" i="2"/>
  <c r="N81" i="2"/>
  <c r="O81" i="2"/>
  <c r="P81" i="2"/>
  <c r="Q81" i="2"/>
  <c r="R81" i="2"/>
  <c r="S81" i="2"/>
  <c r="L82" i="2"/>
  <c r="M82" i="2"/>
  <c r="N82" i="2"/>
  <c r="O82" i="2"/>
  <c r="P82" i="2"/>
  <c r="Q82" i="2"/>
  <c r="R82" i="2"/>
  <c r="S82" i="2"/>
  <c r="L83" i="2"/>
  <c r="M83" i="2"/>
  <c r="N83" i="2"/>
  <c r="O83" i="2"/>
  <c r="P83" i="2"/>
  <c r="Q83" i="2"/>
  <c r="R83" i="2"/>
  <c r="S83" i="2"/>
  <c r="L84" i="2"/>
  <c r="M84" i="2"/>
  <c r="N84" i="2"/>
  <c r="O84" i="2"/>
  <c r="P84" i="2"/>
  <c r="Q84" i="2"/>
  <c r="R84" i="2"/>
  <c r="S84" i="2"/>
  <c r="L85" i="2"/>
  <c r="M85" i="2"/>
  <c r="N85" i="2"/>
  <c r="O85" i="2"/>
  <c r="P85" i="2"/>
  <c r="Q85" i="2"/>
  <c r="R85" i="2"/>
  <c r="S85" i="2"/>
  <c r="L86" i="2"/>
  <c r="M86" i="2"/>
  <c r="N86" i="2"/>
  <c r="O86" i="2"/>
  <c r="P86" i="2"/>
  <c r="Q86" i="2"/>
  <c r="R86" i="2"/>
  <c r="S86" i="2"/>
  <c r="L87" i="2"/>
  <c r="M87" i="2"/>
  <c r="N87" i="2"/>
  <c r="O87" i="2"/>
  <c r="P87" i="2"/>
  <c r="Q87" i="2"/>
  <c r="R87" i="2"/>
  <c r="S87" i="2"/>
  <c r="L88" i="2"/>
  <c r="M88" i="2"/>
  <c r="N88" i="2"/>
  <c r="O88" i="2"/>
  <c r="P88" i="2"/>
  <c r="Q88" i="2"/>
  <c r="R88" i="2"/>
  <c r="S88" i="2"/>
  <c r="L89" i="2"/>
  <c r="M89" i="2"/>
  <c r="N89" i="2"/>
  <c r="O89" i="2"/>
  <c r="P89" i="2"/>
  <c r="Q89" i="2"/>
  <c r="R89" i="2"/>
  <c r="S89" i="2"/>
  <c r="L90" i="2"/>
  <c r="M90" i="2"/>
  <c r="N90" i="2"/>
  <c r="O90" i="2"/>
  <c r="P90" i="2"/>
  <c r="Q90" i="2"/>
  <c r="R90" i="2"/>
  <c r="S90" i="2"/>
  <c r="L91" i="2"/>
  <c r="M91" i="2"/>
  <c r="N91" i="2"/>
  <c r="O91" i="2"/>
  <c r="P91" i="2"/>
  <c r="Q91" i="2"/>
  <c r="R91" i="2"/>
  <c r="S91" i="2"/>
  <c r="L92" i="2"/>
  <c r="M92" i="2"/>
  <c r="N92" i="2"/>
  <c r="O92" i="2"/>
  <c r="P92" i="2"/>
  <c r="Q92" i="2"/>
  <c r="R92" i="2"/>
  <c r="S92" i="2"/>
  <c r="L93" i="2"/>
  <c r="M93" i="2"/>
  <c r="N93" i="2"/>
  <c r="O93" i="2"/>
  <c r="P93" i="2"/>
  <c r="Q93" i="2"/>
  <c r="R93" i="2"/>
  <c r="S93" i="2"/>
  <c r="L94" i="2"/>
  <c r="M94" i="2"/>
  <c r="N94" i="2"/>
  <c r="O94" i="2"/>
  <c r="P94" i="2"/>
  <c r="Q94" i="2"/>
  <c r="R94" i="2"/>
  <c r="S94" i="2"/>
  <c r="L95" i="2"/>
  <c r="M95" i="2"/>
  <c r="N95" i="2"/>
  <c r="O95" i="2"/>
  <c r="P95" i="2"/>
  <c r="Q95" i="2"/>
  <c r="R95" i="2"/>
  <c r="S95" i="2"/>
  <c r="L96" i="2"/>
  <c r="M96" i="2"/>
  <c r="N96" i="2"/>
  <c r="O96" i="2"/>
  <c r="P96" i="2"/>
  <c r="Q96" i="2"/>
  <c r="R96" i="2"/>
  <c r="S96" i="2"/>
  <c r="L97" i="2"/>
  <c r="M97" i="2"/>
  <c r="N97" i="2"/>
  <c r="O97" i="2"/>
  <c r="P97" i="2"/>
  <c r="Q97" i="2"/>
  <c r="R97" i="2"/>
  <c r="S97" i="2"/>
  <c r="L98" i="2"/>
  <c r="M98" i="2"/>
  <c r="N98" i="2"/>
  <c r="O98" i="2"/>
  <c r="P98" i="2"/>
  <c r="Q98" i="2"/>
  <c r="R98" i="2"/>
  <c r="S98" i="2"/>
  <c r="L99" i="2"/>
  <c r="M99" i="2"/>
  <c r="N99" i="2"/>
  <c r="O99" i="2"/>
  <c r="P99" i="2"/>
  <c r="Q99" i="2"/>
  <c r="R99" i="2"/>
  <c r="S99" i="2"/>
  <c r="L100" i="2"/>
  <c r="M100" i="2"/>
  <c r="N100" i="2"/>
  <c r="O100" i="2"/>
  <c r="P100" i="2"/>
  <c r="Q100" i="2"/>
  <c r="R100" i="2"/>
  <c r="S100" i="2"/>
  <c r="L101" i="2"/>
  <c r="M101" i="2"/>
  <c r="N101" i="2"/>
  <c r="O101" i="2"/>
  <c r="P101" i="2"/>
  <c r="Q101" i="2"/>
  <c r="R101" i="2"/>
  <c r="S101" i="2"/>
  <c r="L102" i="2"/>
  <c r="M102" i="2"/>
  <c r="N102" i="2"/>
  <c r="O102" i="2"/>
  <c r="P102" i="2"/>
  <c r="Q102" i="2"/>
  <c r="R102" i="2"/>
  <c r="S102" i="2"/>
  <c r="L103" i="2"/>
  <c r="M103" i="2"/>
  <c r="N103" i="2"/>
  <c r="O103" i="2"/>
  <c r="P103" i="2"/>
  <c r="Q103" i="2"/>
  <c r="R103" i="2"/>
  <c r="S103" i="2"/>
  <c r="L104" i="2"/>
  <c r="M104" i="2"/>
  <c r="N104" i="2"/>
  <c r="O104" i="2"/>
  <c r="P104" i="2"/>
  <c r="Q104" i="2"/>
  <c r="R104" i="2"/>
  <c r="S104" i="2"/>
  <c r="L105" i="2"/>
  <c r="M105" i="2"/>
  <c r="N105" i="2"/>
  <c r="O105" i="2"/>
  <c r="P105" i="2"/>
  <c r="Q105" i="2"/>
  <c r="R105" i="2"/>
  <c r="S105" i="2"/>
  <c r="L106" i="2"/>
  <c r="M106" i="2"/>
  <c r="N106" i="2"/>
  <c r="O106" i="2"/>
  <c r="P106" i="2"/>
  <c r="Q106" i="2"/>
  <c r="R106" i="2"/>
  <c r="S106" i="2"/>
  <c r="L107" i="2"/>
  <c r="M107" i="2"/>
  <c r="N107" i="2"/>
  <c r="O107" i="2"/>
  <c r="P107" i="2"/>
  <c r="Q107" i="2"/>
  <c r="R107" i="2"/>
  <c r="S107" i="2"/>
  <c r="L108" i="2"/>
  <c r="M108" i="2"/>
  <c r="N108" i="2"/>
  <c r="O108" i="2"/>
  <c r="P108" i="2"/>
  <c r="Q108" i="2"/>
  <c r="R108" i="2"/>
  <c r="S108" i="2"/>
  <c r="L109" i="2"/>
  <c r="M109" i="2"/>
  <c r="N109" i="2"/>
  <c r="O109" i="2"/>
  <c r="P109" i="2"/>
  <c r="Q109" i="2"/>
  <c r="R109" i="2"/>
  <c r="S109" i="2"/>
  <c r="L110" i="2"/>
  <c r="M110" i="2"/>
  <c r="N110" i="2"/>
  <c r="O110" i="2"/>
  <c r="P110" i="2"/>
  <c r="Q110" i="2"/>
  <c r="R110" i="2"/>
  <c r="S110" i="2"/>
  <c r="L111" i="2"/>
  <c r="M111" i="2"/>
  <c r="N111" i="2"/>
  <c r="O111" i="2"/>
  <c r="P111" i="2"/>
  <c r="Q111" i="2"/>
  <c r="R111" i="2"/>
  <c r="S111" i="2"/>
  <c r="L112" i="2"/>
  <c r="M112" i="2"/>
  <c r="N112" i="2"/>
  <c r="O112" i="2"/>
  <c r="P112" i="2"/>
  <c r="Q112" i="2"/>
  <c r="R112" i="2"/>
  <c r="S112" i="2"/>
  <c r="L113" i="2"/>
  <c r="M113" i="2"/>
  <c r="N113" i="2"/>
  <c r="O113" i="2"/>
  <c r="P113" i="2"/>
  <c r="Q113" i="2"/>
  <c r="R113" i="2"/>
  <c r="S113" i="2"/>
  <c r="L114" i="2"/>
  <c r="M114" i="2"/>
  <c r="N114" i="2"/>
  <c r="O114" i="2"/>
  <c r="P114" i="2"/>
  <c r="Q114" i="2"/>
  <c r="R114" i="2"/>
  <c r="S114" i="2"/>
  <c r="L115" i="2"/>
  <c r="M115" i="2"/>
  <c r="N115" i="2"/>
  <c r="O115" i="2"/>
  <c r="P115" i="2"/>
  <c r="Q115" i="2"/>
  <c r="R115" i="2"/>
  <c r="S115" i="2"/>
  <c r="L116" i="2"/>
  <c r="M116" i="2"/>
  <c r="N116" i="2"/>
  <c r="O116" i="2"/>
  <c r="P116" i="2"/>
  <c r="Q116" i="2"/>
  <c r="R116" i="2"/>
  <c r="S116" i="2"/>
  <c r="L117" i="2"/>
  <c r="M117" i="2"/>
  <c r="N117" i="2"/>
  <c r="O117" i="2"/>
  <c r="P117" i="2"/>
  <c r="Q117" i="2"/>
  <c r="R117" i="2"/>
  <c r="S117" i="2"/>
  <c r="L118" i="2"/>
  <c r="M118" i="2"/>
  <c r="N118" i="2"/>
  <c r="O118" i="2"/>
  <c r="P118" i="2"/>
  <c r="Q118" i="2"/>
  <c r="R118" i="2"/>
  <c r="S118" i="2"/>
  <c r="L119" i="2"/>
  <c r="M119" i="2"/>
  <c r="N119" i="2"/>
  <c r="O119" i="2"/>
  <c r="P119" i="2"/>
  <c r="Q119" i="2"/>
  <c r="R119" i="2"/>
  <c r="S119" i="2"/>
  <c r="L120" i="2"/>
  <c r="M120" i="2"/>
  <c r="N120" i="2"/>
  <c r="O120" i="2"/>
  <c r="P120" i="2"/>
  <c r="Q120" i="2"/>
  <c r="R120" i="2"/>
  <c r="S120" i="2"/>
  <c r="L121" i="2"/>
  <c r="M121" i="2"/>
  <c r="N121" i="2"/>
  <c r="O121" i="2"/>
  <c r="P121" i="2"/>
  <c r="Q121" i="2"/>
  <c r="R121" i="2"/>
  <c r="S121" i="2"/>
  <c r="L122" i="2"/>
  <c r="M122" i="2"/>
  <c r="N122" i="2"/>
  <c r="O122" i="2"/>
  <c r="P122" i="2"/>
  <c r="Q122" i="2"/>
  <c r="R122" i="2"/>
  <c r="S122" i="2"/>
  <c r="L123" i="2"/>
  <c r="M123" i="2"/>
  <c r="N123" i="2"/>
  <c r="O123" i="2"/>
  <c r="P123" i="2"/>
  <c r="Q123" i="2"/>
  <c r="R123" i="2"/>
  <c r="S123" i="2"/>
  <c r="L124" i="2"/>
  <c r="M124" i="2"/>
  <c r="N124" i="2"/>
  <c r="O124" i="2"/>
  <c r="P124" i="2"/>
  <c r="Q124" i="2"/>
  <c r="R124" i="2"/>
  <c r="S124" i="2"/>
  <c r="L125" i="2"/>
  <c r="M125" i="2"/>
  <c r="N125" i="2"/>
  <c r="O125" i="2"/>
  <c r="P125" i="2"/>
  <c r="Q125" i="2"/>
  <c r="R125" i="2"/>
  <c r="S125" i="2"/>
  <c r="L126" i="2"/>
  <c r="M126" i="2"/>
  <c r="N126" i="2"/>
  <c r="O126" i="2"/>
  <c r="P126" i="2"/>
  <c r="Q126" i="2"/>
  <c r="R126" i="2"/>
  <c r="S126" i="2"/>
  <c r="L127" i="2"/>
  <c r="M127" i="2"/>
  <c r="N127" i="2"/>
  <c r="O127" i="2"/>
  <c r="P127" i="2"/>
  <c r="Q127" i="2"/>
  <c r="R127" i="2"/>
  <c r="S127" i="2"/>
  <c r="L128" i="2"/>
  <c r="M128" i="2"/>
  <c r="N128" i="2"/>
  <c r="O128" i="2"/>
  <c r="P128" i="2"/>
  <c r="Q128" i="2"/>
  <c r="R128" i="2"/>
  <c r="S128" i="2"/>
  <c r="L129" i="2"/>
  <c r="M129" i="2"/>
  <c r="N129" i="2"/>
  <c r="O129" i="2"/>
  <c r="P129" i="2"/>
  <c r="Q129" i="2"/>
  <c r="R129" i="2"/>
  <c r="S129" i="2"/>
  <c r="L130" i="2"/>
  <c r="M130" i="2"/>
  <c r="N130" i="2"/>
  <c r="O130" i="2"/>
  <c r="P130" i="2"/>
  <c r="Q130" i="2"/>
  <c r="R130" i="2"/>
  <c r="S130" i="2"/>
  <c r="L131" i="2"/>
  <c r="M131" i="2"/>
  <c r="N131" i="2"/>
  <c r="O131" i="2"/>
  <c r="P131" i="2"/>
  <c r="Q131" i="2"/>
  <c r="R131" i="2"/>
  <c r="S131" i="2"/>
  <c r="L132" i="2"/>
  <c r="M132" i="2"/>
  <c r="N132" i="2"/>
  <c r="O132" i="2"/>
  <c r="P132" i="2"/>
  <c r="Q132" i="2"/>
  <c r="R132" i="2"/>
  <c r="S132" i="2"/>
  <c r="L133" i="2"/>
  <c r="M133" i="2"/>
  <c r="N133" i="2"/>
  <c r="O133" i="2"/>
  <c r="P133" i="2"/>
  <c r="Q133" i="2"/>
  <c r="R133" i="2"/>
  <c r="S133" i="2"/>
  <c r="L134" i="2"/>
  <c r="M134" i="2"/>
  <c r="N134" i="2"/>
  <c r="O134" i="2"/>
  <c r="P134" i="2"/>
  <c r="Q134" i="2"/>
  <c r="R134" i="2"/>
  <c r="S134" i="2"/>
  <c r="L135" i="2"/>
  <c r="M135" i="2"/>
  <c r="N135" i="2"/>
  <c r="O135" i="2"/>
  <c r="P135" i="2"/>
  <c r="Q135" i="2"/>
  <c r="R135" i="2"/>
  <c r="S135" i="2"/>
  <c r="L136" i="2"/>
  <c r="M136" i="2"/>
  <c r="N136" i="2"/>
  <c r="O136" i="2"/>
  <c r="P136" i="2"/>
  <c r="Q136" i="2"/>
  <c r="R136" i="2"/>
  <c r="S136" i="2"/>
  <c r="L137" i="2"/>
  <c r="M137" i="2"/>
  <c r="N137" i="2"/>
  <c r="O137" i="2"/>
  <c r="P137" i="2"/>
  <c r="Q137" i="2"/>
  <c r="R137" i="2"/>
  <c r="S137" i="2"/>
  <c r="L138" i="2"/>
  <c r="M138" i="2"/>
  <c r="N138" i="2"/>
  <c r="O138" i="2"/>
  <c r="P138" i="2"/>
  <c r="Q138" i="2"/>
  <c r="R138" i="2"/>
  <c r="S138" i="2"/>
  <c r="L139" i="2"/>
  <c r="M139" i="2"/>
  <c r="N139" i="2"/>
  <c r="O139" i="2"/>
  <c r="P139" i="2"/>
  <c r="Q139" i="2"/>
  <c r="R139" i="2"/>
  <c r="S139" i="2"/>
  <c r="L140" i="2"/>
  <c r="M140" i="2"/>
  <c r="N140" i="2"/>
  <c r="O140" i="2"/>
  <c r="P140" i="2"/>
  <c r="Q140" i="2"/>
  <c r="R140" i="2"/>
  <c r="S140" i="2"/>
  <c r="L141" i="2"/>
  <c r="M141" i="2"/>
  <c r="N141" i="2"/>
  <c r="O141" i="2"/>
  <c r="P141" i="2"/>
  <c r="Q141" i="2"/>
  <c r="R141" i="2"/>
  <c r="S141" i="2"/>
  <c r="L142" i="2"/>
  <c r="M142" i="2"/>
  <c r="N142" i="2"/>
  <c r="O142" i="2"/>
  <c r="P142" i="2"/>
  <c r="Q142" i="2"/>
  <c r="R142" i="2"/>
  <c r="S142" i="2"/>
  <c r="L143" i="2"/>
  <c r="M143" i="2"/>
  <c r="N143" i="2"/>
  <c r="O143" i="2"/>
  <c r="P143" i="2"/>
  <c r="Q143" i="2"/>
  <c r="R143" i="2"/>
  <c r="S143" i="2"/>
  <c r="L144" i="2"/>
  <c r="M144" i="2"/>
  <c r="N144" i="2"/>
  <c r="O144" i="2"/>
  <c r="P144" i="2"/>
  <c r="Q144" i="2"/>
  <c r="R144" i="2"/>
  <c r="S144" i="2"/>
  <c r="L145" i="2"/>
  <c r="M145" i="2"/>
  <c r="N145" i="2"/>
  <c r="O145" i="2"/>
  <c r="P145" i="2"/>
  <c r="Q145" i="2"/>
  <c r="R145" i="2"/>
  <c r="S145" i="2"/>
  <c r="L146" i="2"/>
  <c r="M146" i="2"/>
  <c r="N146" i="2"/>
  <c r="O146" i="2"/>
  <c r="P146" i="2"/>
  <c r="Q146" i="2"/>
  <c r="R146" i="2"/>
  <c r="S146" i="2"/>
  <c r="L147" i="2"/>
  <c r="M147" i="2"/>
  <c r="N147" i="2"/>
  <c r="O147" i="2"/>
  <c r="P147" i="2"/>
  <c r="Q147" i="2"/>
  <c r="R147" i="2"/>
  <c r="S147" i="2"/>
  <c r="L148" i="2"/>
  <c r="M148" i="2"/>
  <c r="N148" i="2"/>
  <c r="O148" i="2"/>
  <c r="P148" i="2"/>
  <c r="Q148" i="2"/>
  <c r="R148" i="2"/>
  <c r="S148" i="2"/>
  <c r="L149" i="2"/>
  <c r="M149" i="2"/>
  <c r="N149" i="2"/>
  <c r="O149" i="2"/>
  <c r="P149" i="2"/>
  <c r="Q149" i="2"/>
  <c r="R149" i="2"/>
  <c r="S149" i="2"/>
  <c r="L150" i="2"/>
  <c r="M150" i="2"/>
  <c r="N150" i="2"/>
  <c r="O150" i="2"/>
  <c r="P150" i="2"/>
  <c r="Q150" i="2"/>
  <c r="R150" i="2"/>
  <c r="S150" i="2"/>
  <c r="L151" i="2"/>
  <c r="M151" i="2"/>
  <c r="N151" i="2"/>
  <c r="O151" i="2"/>
  <c r="P151" i="2"/>
  <c r="Q151" i="2"/>
  <c r="R151" i="2"/>
  <c r="S151" i="2"/>
  <c r="L152" i="2"/>
  <c r="M152" i="2"/>
  <c r="N152" i="2"/>
  <c r="O152" i="2"/>
  <c r="P152" i="2"/>
  <c r="Q152" i="2"/>
  <c r="R152" i="2"/>
  <c r="S152" i="2"/>
  <c r="L153" i="2"/>
  <c r="M153" i="2"/>
  <c r="N153" i="2"/>
  <c r="O153" i="2"/>
  <c r="P153" i="2"/>
  <c r="Q153" i="2"/>
  <c r="R153" i="2"/>
  <c r="S153" i="2"/>
  <c r="L154" i="2"/>
  <c r="M154" i="2"/>
  <c r="N154" i="2"/>
  <c r="O154" i="2"/>
  <c r="P154" i="2"/>
  <c r="Q154" i="2"/>
  <c r="R154" i="2"/>
  <c r="S154" i="2"/>
  <c r="L155" i="2"/>
  <c r="M155" i="2"/>
  <c r="N155" i="2"/>
  <c r="O155" i="2"/>
  <c r="P155" i="2"/>
  <c r="Q155" i="2"/>
  <c r="R155" i="2"/>
  <c r="S155" i="2"/>
  <c r="L156" i="2"/>
  <c r="M156" i="2"/>
  <c r="N156" i="2"/>
  <c r="O156" i="2"/>
  <c r="P156" i="2"/>
  <c r="Q156" i="2"/>
  <c r="R156" i="2"/>
  <c r="S156" i="2"/>
  <c r="L157" i="2"/>
  <c r="M157" i="2"/>
  <c r="N157" i="2"/>
  <c r="O157" i="2"/>
  <c r="P157" i="2"/>
  <c r="Q157" i="2"/>
  <c r="R157" i="2"/>
  <c r="S157" i="2"/>
  <c r="L158" i="2"/>
  <c r="M158" i="2"/>
  <c r="N158" i="2"/>
  <c r="O158" i="2"/>
  <c r="P158" i="2"/>
  <c r="Q158" i="2"/>
  <c r="R158" i="2"/>
  <c r="S158" i="2"/>
  <c r="L159" i="2"/>
  <c r="M159" i="2"/>
  <c r="N159" i="2"/>
  <c r="O159" i="2"/>
  <c r="P159" i="2"/>
  <c r="Q159" i="2"/>
  <c r="R159" i="2"/>
  <c r="S159" i="2"/>
  <c r="L160" i="2"/>
  <c r="M160" i="2"/>
  <c r="N160" i="2"/>
  <c r="O160" i="2"/>
  <c r="P160" i="2"/>
  <c r="Q160" i="2"/>
  <c r="R160" i="2"/>
  <c r="S160" i="2"/>
  <c r="L161" i="2"/>
  <c r="M161" i="2"/>
  <c r="N161" i="2"/>
  <c r="O161" i="2"/>
  <c r="P161" i="2"/>
  <c r="Q161" i="2"/>
  <c r="R161" i="2"/>
  <c r="S161" i="2"/>
  <c r="L162" i="2"/>
  <c r="M162" i="2"/>
  <c r="N162" i="2"/>
  <c r="O162" i="2"/>
  <c r="P162" i="2"/>
  <c r="Q162" i="2"/>
  <c r="R162" i="2"/>
  <c r="S162" i="2"/>
  <c r="L163" i="2"/>
  <c r="M163" i="2"/>
  <c r="N163" i="2"/>
  <c r="O163" i="2"/>
  <c r="P163" i="2"/>
  <c r="Q163" i="2"/>
  <c r="R163" i="2"/>
  <c r="S163" i="2"/>
  <c r="L164" i="2"/>
  <c r="M164" i="2"/>
  <c r="N164" i="2"/>
  <c r="O164" i="2"/>
  <c r="P164" i="2"/>
  <c r="Q164" i="2"/>
  <c r="R164" i="2"/>
  <c r="S164" i="2"/>
  <c r="L165" i="2"/>
  <c r="M165" i="2"/>
  <c r="N165" i="2"/>
  <c r="O165" i="2"/>
  <c r="P165" i="2"/>
  <c r="Q165" i="2"/>
  <c r="R165" i="2"/>
  <c r="S165" i="2"/>
  <c r="L166" i="2"/>
  <c r="M166" i="2"/>
  <c r="N166" i="2"/>
  <c r="O166" i="2"/>
  <c r="P166" i="2"/>
  <c r="Q166" i="2"/>
  <c r="R166" i="2"/>
  <c r="S166" i="2"/>
  <c r="L167" i="2"/>
  <c r="M167" i="2"/>
  <c r="N167" i="2"/>
  <c r="O167" i="2"/>
  <c r="P167" i="2"/>
  <c r="Q167" i="2"/>
  <c r="R167" i="2"/>
  <c r="S167" i="2"/>
  <c r="L168" i="2"/>
  <c r="M168" i="2"/>
  <c r="N168" i="2"/>
  <c r="O168" i="2"/>
  <c r="P168" i="2"/>
  <c r="Q168" i="2"/>
  <c r="R168" i="2"/>
  <c r="S168" i="2"/>
  <c r="L169" i="2"/>
  <c r="M169" i="2"/>
  <c r="N169" i="2"/>
  <c r="O169" i="2"/>
  <c r="P169" i="2"/>
  <c r="Q169" i="2"/>
  <c r="R169" i="2"/>
  <c r="S169" i="2"/>
  <c r="L170" i="2"/>
  <c r="M170" i="2"/>
  <c r="N170" i="2"/>
  <c r="O170" i="2"/>
  <c r="P170" i="2"/>
  <c r="Q170" i="2"/>
  <c r="R170" i="2"/>
  <c r="S170" i="2"/>
  <c r="L171" i="2"/>
  <c r="M171" i="2"/>
  <c r="N171" i="2"/>
  <c r="O171" i="2"/>
  <c r="P171" i="2"/>
  <c r="Q171" i="2"/>
  <c r="R171" i="2"/>
  <c r="S171" i="2"/>
  <c r="L172" i="2"/>
  <c r="M172" i="2"/>
  <c r="N172" i="2"/>
  <c r="O172" i="2"/>
  <c r="P172" i="2"/>
  <c r="Q172" i="2"/>
  <c r="R172" i="2"/>
  <c r="S172" i="2"/>
  <c r="L173" i="2"/>
  <c r="M173" i="2"/>
  <c r="N173" i="2"/>
  <c r="O173" i="2"/>
  <c r="P173" i="2"/>
  <c r="Q173" i="2"/>
  <c r="R173" i="2"/>
  <c r="S173" i="2"/>
  <c r="L174" i="2"/>
  <c r="M174" i="2"/>
  <c r="N174" i="2"/>
  <c r="O174" i="2"/>
  <c r="P174" i="2"/>
  <c r="Q174" i="2"/>
  <c r="R174" i="2"/>
  <c r="S174" i="2"/>
  <c r="L175" i="2"/>
  <c r="M175" i="2"/>
  <c r="N175" i="2"/>
  <c r="O175" i="2"/>
  <c r="P175" i="2"/>
  <c r="Q175" i="2"/>
  <c r="R175" i="2"/>
  <c r="S175" i="2"/>
  <c r="L176" i="2"/>
  <c r="M176" i="2"/>
  <c r="N176" i="2"/>
  <c r="O176" i="2"/>
  <c r="P176" i="2"/>
  <c r="Q176" i="2"/>
  <c r="R176" i="2"/>
  <c r="S176" i="2"/>
  <c r="L177" i="2"/>
  <c r="M177" i="2"/>
  <c r="N177" i="2"/>
  <c r="O177" i="2"/>
  <c r="P177" i="2"/>
  <c r="Q177" i="2"/>
  <c r="R177" i="2"/>
  <c r="S177" i="2"/>
  <c r="L178" i="2"/>
  <c r="M178" i="2"/>
  <c r="N178" i="2"/>
  <c r="O178" i="2"/>
  <c r="P178" i="2"/>
  <c r="Q178" i="2"/>
  <c r="R178" i="2"/>
  <c r="S178" i="2"/>
  <c r="L179" i="2"/>
  <c r="M179" i="2"/>
  <c r="N179" i="2"/>
  <c r="O179" i="2"/>
  <c r="P179" i="2"/>
  <c r="Q179" i="2"/>
  <c r="R179" i="2"/>
  <c r="S179" i="2"/>
  <c r="L180" i="2"/>
  <c r="M180" i="2"/>
  <c r="N180" i="2"/>
  <c r="O180" i="2"/>
  <c r="P180" i="2"/>
  <c r="Q180" i="2"/>
  <c r="R180" i="2"/>
  <c r="S180" i="2"/>
  <c r="L181" i="2"/>
  <c r="M181" i="2"/>
  <c r="N181" i="2"/>
  <c r="O181" i="2"/>
  <c r="P181" i="2"/>
  <c r="Q181" i="2"/>
  <c r="R181" i="2"/>
  <c r="S181" i="2"/>
  <c r="L182" i="2"/>
  <c r="M182" i="2"/>
  <c r="N182" i="2"/>
  <c r="O182" i="2"/>
  <c r="P182" i="2"/>
  <c r="Q182" i="2"/>
  <c r="R182" i="2"/>
  <c r="S182" i="2"/>
  <c r="L183" i="2"/>
  <c r="M183" i="2"/>
  <c r="N183" i="2"/>
  <c r="O183" i="2"/>
  <c r="P183" i="2"/>
  <c r="Q183" i="2"/>
  <c r="R183" i="2"/>
  <c r="S183" i="2"/>
  <c r="L184" i="2"/>
  <c r="M184" i="2"/>
  <c r="N184" i="2"/>
  <c r="O184" i="2"/>
  <c r="P184" i="2"/>
  <c r="Q184" i="2"/>
  <c r="R184" i="2"/>
  <c r="S184" i="2"/>
  <c r="L185" i="2"/>
  <c r="M185" i="2"/>
  <c r="N185" i="2"/>
  <c r="O185" i="2"/>
  <c r="P185" i="2"/>
  <c r="Q185" i="2"/>
  <c r="R185" i="2"/>
  <c r="S185" i="2"/>
  <c r="L186" i="2"/>
  <c r="M186" i="2"/>
  <c r="N186" i="2"/>
  <c r="O186" i="2"/>
  <c r="P186" i="2"/>
  <c r="Q186" i="2"/>
  <c r="R186" i="2"/>
  <c r="S186" i="2"/>
  <c r="L187" i="2"/>
  <c r="M187" i="2"/>
  <c r="N187" i="2"/>
  <c r="O187" i="2"/>
  <c r="P187" i="2"/>
  <c r="Q187" i="2"/>
  <c r="R187" i="2"/>
  <c r="S187" i="2"/>
  <c r="L188" i="2"/>
  <c r="M188" i="2"/>
  <c r="N188" i="2"/>
  <c r="O188" i="2"/>
  <c r="P188" i="2"/>
  <c r="Q188" i="2"/>
  <c r="R188" i="2"/>
  <c r="S188" i="2"/>
  <c r="L189" i="2"/>
  <c r="M189" i="2"/>
  <c r="N189" i="2"/>
  <c r="O189" i="2"/>
  <c r="P189" i="2"/>
  <c r="Q189" i="2"/>
  <c r="R189" i="2"/>
  <c r="S189" i="2"/>
  <c r="L190" i="2"/>
  <c r="M190" i="2"/>
  <c r="N190" i="2"/>
  <c r="O190" i="2"/>
  <c r="P190" i="2"/>
  <c r="Q190" i="2"/>
  <c r="R190" i="2"/>
  <c r="S190" i="2"/>
  <c r="L191" i="2"/>
  <c r="M191" i="2"/>
  <c r="N191" i="2"/>
  <c r="O191" i="2"/>
  <c r="P191" i="2"/>
  <c r="Q191" i="2"/>
  <c r="R191" i="2"/>
  <c r="S191" i="2"/>
  <c r="L192" i="2"/>
  <c r="M192" i="2"/>
  <c r="N192" i="2"/>
  <c r="O192" i="2"/>
  <c r="P192" i="2"/>
  <c r="Q192" i="2"/>
  <c r="R192" i="2"/>
  <c r="S192" i="2"/>
  <c r="L193" i="2"/>
  <c r="M193" i="2"/>
  <c r="N193" i="2"/>
  <c r="O193" i="2"/>
  <c r="P193" i="2"/>
  <c r="Q193" i="2"/>
  <c r="R193" i="2"/>
  <c r="S193" i="2"/>
  <c r="L194" i="2"/>
  <c r="M194" i="2"/>
  <c r="N194" i="2"/>
  <c r="O194" i="2"/>
  <c r="P194" i="2"/>
  <c r="Q194" i="2"/>
  <c r="R194" i="2"/>
  <c r="S194" i="2"/>
  <c r="L195" i="2"/>
  <c r="M195" i="2"/>
  <c r="N195" i="2"/>
  <c r="O195" i="2"/>
  <c r="P195" i="2"/>
  <c r="Q195" i="2"/>
  <c r="R195" i="2"/>
  <c r="S195" i="2"/>
  <c r="L196" i="2"/>
  <c r="M196" i="2"/>
  <c r="N196" i="2"/>
  <c r="O196" i="2"/>
  <c r="P196" i="2"/>
  <c r="Q196" i="2"/>
  <c r="R196" i="2"/>
  <c r="S196" i="2"/>
  <c r="L197" i="2"/>
  <c r="M197" i="2"/>
  <c r="N197" i="2"/>
  <c r="O197" i="2"/>
  <c r="P197" i="2"/>
  <c r="Q197" i="2"/>
  <c r="R197" i="2"/>
  <c r="S197" i="2"/>
  <c r="L198" i="2"/>
  <c r="M198" i="2"/>
  <c r="N198" i="2"/>
  <c r="O198" i="2"/>
  <c r="P198" i="2"/>
  <c r="Q198" i="2"/>
  <c r="R198" i="2"/>
  <c r="S198" i="2"/>
  <c r="L199" i="2"/>
  <c r="M199" i="2"/>
  <c r="N199" i="2"/>
  <c r="O199" i="2"/>
  <c r="P199" i="2"/>
  <c r="Q199" i="2"/>
  <c r="R199" i="2"/>
  <c r="S199" i="2"/>
  <c r="L200" i="2"/>
  <c r="M200" i="2"/>
  <c r="N200" i="2"/>
  <c r="O200" i="2"/>
  <c r="P200" i="2"/>
  <c r="Q200" i="2"/>
  <c r="R200" i="2"/>
  <c r="S200" i="2"/>
  <c r="L201" i="2"/>
  <c r="M201" i="2"/>
  <c r="N201" i="2"/>
  <c r="O201" i="2"/>
  <c r="P201" i="2"/>
  <c r="Q201" i="2"/>
  <c r="R201" i="2"/>
  <c r="S201" i="2"/>
  <c r="L202" i="2"/>
  <c r="M202" i="2"/>
  <c r="N202" i="2"/>
  <c r="O202" i="2"/>
  <c r="P202" i="2"/>
  <c r="Q202" i="2"/>
  <c r="R202" i="2"/>
  <c r="S202" i="2"/>
  <c r="L203" i="2"/>
  <c r="M203" i="2"/>
  <c r="N203" i="2"/>
  <c r="O203" i="2"/>
  <c r="P203" i="2"/>
  <c r="Q203" i="2"/>
  <c r="R203" i="2"/>
  <c r="S203" i="2"/>
  <c r="L204" i="2"/>
  <c r="M204" i="2"/>
  <c r="N204" i="2"/>
  <c r="O204" i="2"/>
  <c r="P204" i="2"/>
  <c r="Q204" i="2"/>
  <c r="R204" i="2"/>
  <c r="S204" i="2"/>
  <c r="L205" i="2"/>
  <c r="M205" i="2"/>
  <c r="N205" i="2"/>
  <c r="O205" i="2"/>
  <c r="P205" i="2"/>
  <c r="Q205" i="2"/>
  <c r="R205" i="2"/>
  <c r="S205" i="2"/>
  <c r="L206" i="2"/>
  <c r="M206" i="2"/>
  <c r="N206" i="2"/>
  <c r="O206" i="2"/>
  <c r="P206" i="2"/>
  <c r="Q206" i="2"/>
  <c r="R206" i="2"/>
  <c r="S206" i="2"/>
  <c r="L207" i="2"/>
  <c r="M207" i="2"/>
  <c r="N207" i="2"/>
  <c r="O207" i="2"/>
  <c r="P207" i="2"/>
  <c r="Q207" i="2"/>
  <c r="R207" i="2"/>
  <c r="S207" i="2"/>
  <c r="L208" i="2"/>
  <c r="M208" i="2"/>
  <c r="N208" i="2"/>
  <c r="O208" i="2"/>
  <c r="P208" i="2"/>
  <c r="Q208" i="2"/>
  <c r="R208" i="2"/>
  <c r="S208" i="2"/>
  <c r="L209" i="2"/>
  <c r="M209" i="2"/>
  <c r="N209" i="2"/>
  <c r="O209" i="2"/>
  <c r="P209" i="2"/>
  <c r="Q209" i="2"/>
  <c r="R209" i="2"/>
  <c r="S209" i="2"/>
  <c r="L210" i="2"/>
  <c r="M210" i="2"/>
  <c r="N210" i="2"/>
  <c r="O210" i="2"/>
  <c r="P210" i="2"/>
  <c r="Q210" i="2"/>
  <c r="R210" i="2"/>
  <c r="S210" i="2"/>
  <c r="L211" i="2"/>
  <c r="M211" i="2"/>
  <c r="N211" i="2"/>
  <c r="O211" i="2"/>
  <c r="P211" i="2"/>
  <c r="Q211" i="2"/>
  <c r="R211" i="2"/>
  <c r="S211" i="2"/>
  <c r="L212" i="2"/>
  <c r="M212" i="2"/>
  <c r="N212" i="2"/>
  <c r="O212" i="2"/>
  <c r="P212" i="2"/>
  <c r="Q212" i="2"/>
  <c r="R212" i="2"/>
  <c r="S212" i="2"/>
  <c r="L213" i="2"/>
  <c r="M213" i="2"/>
  <c r="N213" i="2"/>
  <c r="O213" i="2"/>
  <c r="P213" i="2"/>
  <c r="Q213" i="2"/>
  <c r="R213" i="2"/>
  <c r="S213" i="2"/>
  <c r="L214" i="2"/>
  <c r="M214" i="2"/>
  <c r="N214" i="2"/>
  <c r="O214" i="2"/>
  <c r="P214" i="2"/>
  <c r="Q214" i="2"/>
  <c r="R214" i="2"/>
  <c r="S214" i="2"/>
  <c r="L215" i="2"/>
  <c r="M215" i="2"/>
  <c r="N215" i="2"/>
  <c r="O215" i="2"/>
  <c r="P215" i="2"/>
  <c r="Q215" i="2"/>
  <c r="R215" i="2"/>
  <c r="S215" i="2"/>
  <c r="L216" i="2"/>
  <c r="M216" i="2"/>
  <c r="N216" i="2"/>
  <c r="O216" i="2"/>
  <c r="P216" i="2"/>
  <c r="Q216" i="2"/>
  <c r="R216" i="2"/>
  <c r="S216" i="2"/>
  <c r="L217" i="2"/>
  <c r="M217" i="2"/>
  <c r="N217" i="2"/>
  <c r="O217" i="2"/>
  <c r="P217" i="2"/>
  <c r="Q217" i="2"/>
  <c r="R217" i="2"/>
  <c r="S217" i="2"/>
  <c r="L218" i="2"/>
  <c r="M218" i="2"/>
  <c r="N218" i="2"/>
  <c r="O218" i="2"/>
  <c r="P218" i="2"/>
  <c r="Q218" i="2"/>
  <c r="R218" i="2"/>
  <c r="S218" i="2"/>
  <c r="L219" i="2"/>
  <c r="M219" i="2"/>
  <c r="N219" i="2"/>
  <c r="O219" i="2"/>
  <c r="P219" i="2"/>
  <c r="Q219" i="2"/>
  <c r="R219" i="2"/>
  <c r="S219" i="2"/>
  <c r="L220" i="2"/>
  <c r="M220" i="2"/>
  <c r="N220" i="2"/>
  <c r="O220" i="2"/>
  <c r="P220" i="2"/>
  <c r="Q220" i="2"/>
  <c r="R220" i="2"/>
  <c r="S220" i="2"/>
  <c r="L221" i="2"/>
  <c r="M221" i="2"/>
  <c r="N221" i="2"/>
  <c r="O221" i="2"/>
  <c r="P221" i="2"/>
  <c r="Q221" i="2"/>
  <c r="R221" i="2"/>
  <c r="S221" i="2"/>
  <c r="L222" i="2"/>
  <c r="M222" i="2"/>
  <c r="N222" i="2"/>
  <c r="O222" i="2"/>
  <c r="P222" i="2"/>
  <c r="Q222" i="2"/>
  <c r="R222" i="2"/>
  <c r="S222" i="2"/>
  <c r="L223" i="2"/>
  <c r="M223" i="2"/>
  <c r="N223" i="2"/>
  <c r="O223" i="2"/>
  <c r="P223" i="2"/>
  <c r="Q223" i="2"/>
  <c r="R223" i="2"/>
  <c r="S223" i="2"/>
  <c r="L224" i="2"/>
  <c r="M224" i="2"/>
  <c r="N224" i="2"/>
  <c r="O224" i="2"/>
  <c r="P224" i="2"/>
  <c r="Q224" i="2"/>
  <c r="R224" i="2"/>
  <c r="S224" i="2"/>
  <c r="L225" i="2"/>
  <c r="M225" i="2"/>
  <c r="N225" i="2"/>
  <c r="O225" i="2"/>
  <c r="P225" i="2"/>
  <c r="Q225" i="2"/>
  <c r="R225" i="2"/>
  <c r="S225" i="2"/>
  <c r="L226" i="2"/>
  <c r="M226" i="2"/>
  <c r="N226" i="2"/>
  <c r="O226" i="2"/>
  <c r="P226" i="2"/>
  <c r="Q226" i="2"/>
  <c r="R226" i="2"/>
  <c r="S226" i="2"/>
  <c r="L227" i="2"/>
  <c r="M227" i="2"/>
  <c r="N227" i="2"/>
  <c r="O227" i="2"/>
  <c r="P227" i="2"/>
  <c r="Q227" i="2"/>
  <c r="R227" i="2"/>
  <c r="S227" i="2"/>
  <c r="L228" i="2"/>
  <c r="M228" i="2"/>
  <c r="N228" i="2"/>
  <c r="O228" i="2"/>
  <c r="P228" i="2"/>
  <c r="Q228" i="2"/>
  <c r="R228" i="2"/>
  <c r="S228" i="2"/>
  <c r="L229" i="2"/>
  <c r="M229" i="2"/>
  <c r="N229" i="2"/>
  <c r="O229" i="2"/>
  <c r="P229" i="2"/>
  <c r="Q229" i="2"/>
  <c r="R229" i="2"/>
  <c r="S229" i="2"/>
  <c r="L230" i="2"/>
  <c r="M230" i="2"/>
  <c r="N230" i="2"/>
  <c r="O230" i="2"/>
  <c r="P230" i="2"/>
  <c r="Q230" i="2"/>
  <c r="R230" i="2"/>
  <c r="S230" i="2"/>
  <c r="L231" i="2"/>
  <c r="M231" i="2"/>
  <c r="N231" i="2"/>
  <c r="O231" i="2"/>
  <c r="P231" i="2"/>
  <c r="Q231" i="2"/>
  <c r="R231" i="2"/>
  <c r="S231" i="2"/>
  <c r="L232" i="2"/>
  <c r="M232" i="2"/>
  <c r="N232" i="2"/>
  <c r="O232" i="2"/>
  <c r="P232" i="2"/>
  <c r="Q232" i="2"/>
  <c r="R232" i="2"/>
  <c r="S232" i="2"/>
  <c r="L233" i="2"/>
  <c r="M233" i="2"/>
  <c r="N233" i="2"/>
  <c r="O233" i="2"/>
  <c r="P233" i="2"/>
  <c r="Q233" i="2"/>
  <c r="R233" i="2"/>
  <c r="S233" i="2"/>
  <c r="L234" i="2"/>
  <c r="M234" i="2"/>
  <c r="N234" i="2"/>
  <c r="O234" i="2"/>
  <c r="P234" i="2"/>
  <c r="Q234" i="2"/>
  <c r="R234" i="2"/>
  <c r="S234" i="2"/>
  <c r="L235" i="2"/>
  <c r="M235" i="2"/>
  <c r="N235" i="2"/>
  <c r="O235" i="2"/>
  <c r="P235" i="2"/>
  <c r="Q235" i="2"/>
  <c r="R235" i="2"/>
  <c r="S235" i="2"/>
  <c r="L236" i="2"/>
  <c r="M236" i="2"/>
  <c r="N236" i="2"/>
  <c r="O236" i="2"/>
  <c r="P236" i="2"/>
  <c r="Q236" i="2"/>
  <c r="R236" i="2"/>
  <c r="S236" i="2"/>
  <c r="L237" i="2"/>
  <c r="M237" i="2"/>
  <c r="N237" i="2"/>
  <c r="O237" i="2"/>
  <c r="P237" i="2"/>
  <c r="Q237" i="2"/>
  <c r="R237" i="2"/>
  <c r="S237" i="2"/>
  <c r="L238" i="2"/>
  <c r="M238" i="2"/>
  <c r="N238" i="2"/>
  <c r="O238" i="2"/>
  <c r="P238" i="2"/>
  <c r="Q238" i="2"/>
  <c r="R238" i="2"/>
  <c r="S238" i="2"/>
  <c r="L239" i="2"/>
  <c r="M239" i="2"/>
  <c r="N239" i="2"/>
  <c r="O239" i="2"/>
  <c r="P239" i="2"/>
  <c r="Q239" i="2"/>
  <c r="R239" i="2"/>
  <c r="S239" i="2"/>
  <c r="L240" i="2"/>
  <c r="M240" i="2"/>
  <c r="N240" i="2"/>
  <c r="O240" i="2"/>
  <c r="P240" i="2"/>
  <c r="Q240" i="2"/>
  <c r="R240" i="2"/>
  <c r="S240" i="2"/>
  <c r="L241" i="2"/>
  <c r="M241" i="2"/>
  <c r="N241" i="2"/>
  <c r="O241" i="2"/>
  <c r="P241" i="2"/>
  <c r="Q241" i="2"/>
  <c r="R241" i="2"/>
  <c r="S241" i="2"/>
  <c r="L242" i="2"/>
  <c r="M242" i="2"/>
  <c r="N242" i="2"/>
  <c r="O242" i="2"/>
  <c r="P242" i="2"/>
  <c r="Q242" i="2"/>
  <c r="R242" i="2"/>
  <c r="S242" i="2"/>
  <c r="L243" i="2"/>
  <c r="M243" i="2"/>
  <c r="N243" i="2"/>
  <c r="O243" i="2"/>
  <c r="P243" i="2"/>
  <c r="Q243" i="2"/>
  <c r="R243" i="2"/>
  <c r="S243" i="2"/>
  <c r="L244" i="2"/>
  <c r="M244" i="2"/>
  <c r="N244" i="2"/>
  <c r="O244" i="2"/>
  <c r="P244" i="2"/>
  <c r="Q244" i="2"/>
  <c r="R244" i="2"/>
  <c r="S244" i="2"/>
  <c r="L245" i="2"/>
  <c r="M245" i="2"/>
  <c r="N245" i="2"/>
  <c r="O245" i="2"/>
  <c r="P245" i="2"/>
  <c r="Q245" i="2"/>
  <c r="R245" i="2"/>
  <c r="S245" i="2"/>
  <c r="L246" i="2"/>
  <c r="M246" i="2"/>
  <c r="N246" i="2"/>
  <c r="O246" i="2"/>
  <c r="P246" i="2"/>
  <c r="Q246" i="2"/>
  <c r="R246" i="2"/>
  <c r="S246" i="2"/>
  <c r="L247" i="2"/>
  <c r="M247" i="2"/>
  <c r="N247" i="2"/>
  <c r="O247" i="2"/>
  <c r="P247" i="2"/>
  <c r="Q247" i="2"/>
  <c r="R247" i="2"/>
  <c r="S247" i="2"/>
  <c r="L248" i="2"/>
  <c r="M248" i="2"/>
  <c r="N248" i="2"/>
  <c r="O248" i="2"/>
  <c r="P248" i="2"/>
  <c r="Q248" i="2"/>
  <c r="R248" i="2"/>
  <c r="S248" i="2"/>
  <c r="L249" i="2"/>
  <c r="M249" i="2"/>
  <c r="N249" i="2"/>
  <c r="O249" i="2"/>
  <c r="P249" i="2"/>
  <c r="Q249" i="2"/>
  <c r="R249" i="2"/>
  <c r="S249" i="2"/>
  <c r="L250" i="2"/>
  <c r="M250" i="2"/>
  <c r="N250" i="2"/>
  <c r="O250" i="2"/>
  <c r="P250" i="2"/>
  <c r="Q250" i="2"/>
  <c r="R250" i="2"/>
  <c r="S250" i="2"/>
  <c r="L251" i="2"/>
  <c r="M251" i="2"/>
  <c r="N251" i="2"/>
  <c r="O251" i="2"/>
  <c r="P251" i="2"/>
  <c r="Q251" i="2"/>
  <c r="R251" i="2"/>
  <c r="S251" i="2"/>
  <c r="L252" i="2"/>
  <c r="M252" i="2"/>
  <c r="N252" i="2"/>
  <c r="O252" i="2"/>
  <c r="P252" i="2"/>
  <c r="Q252" i="2"/>
  <c r="R252" i="2"/>
  <c r="S252" i="2"/>
  <c r="L253" i="2"/>
  <c r="M253" i="2"/>
  <c r="N253" i="2"/>
  <c r="O253" i="2"/>
  <c r="P253" i="2"/>
  <c r="Q253" i="2"/>
  <c r="R253" i="2"/>
  <c r="S253" i="2"/>
  <c r="L254" i="2"/>
  <c r="M254" i="2"/>
  <c r="N254" i="2"/>
  <c r="O254" i="2"/>
  <c r="P254" i="2"/>
  <c r="Q254" i="2"/>
  <c r="R254" i="2"/>
  <c r="S254" i="2"/>
  <c r="L255" i="2"/>
  <c r="M255" i="2"/>
  <c r="N255" i="2"/>
  <c r="O255" i="2"/>
  <c r="P255" i="2"/>
  <c r="Q255" i="2"/>
  <c r="R255" i="2"/>
  <c r="S255" i="2"/>
  <c r="L256" i="2"/>
  <c r="M256" i="2"/>
  <c r="N256" i="2"/>
  <c r="O256" i="2"/>
  <c r="P256" i="2"/>
  <c r="Q256" i="2"/>
  <c r="R256" i="2"/>
  <c r="S256" i="2"/>
  <c r="L257" i="2"/>
  <c r="M257" i="2"/>
  <c r="N257" i="2"/>
  <c r="O257" i="2"/>
  <c r="P257" i="2"/>
  <c r="Q257" i="2"/>
  <c r="R257" i="2"/>
  <c r="S257" i="2"/>
  <c r="L258" i="2"/>
  <c r="M258" i="2"/>
  <c r="N258" i="2"/>
  <c r="O258" i="2"/>
  <c r="P258" i="2"/>
  <c r="Q258" i="2"/>
  <c r="R258" i="2"/>
  <c r="S258" i="2"/>
  <c r="L259" i="2"/>
  <c r="M259" i="2"/>
  <c r="N259" i="2"/>
  <c r="O259" i="2"/>
  <c r="P259" i="2"/>
  <c r="Q259" i="2"/>
  <c r="R259" i="2"/>
  <c r="S259" i="2"/>
  <c r="L260" i="2"/>
  <c r="M260" i="2"/>
  <c r="N260" i="2"/>
  <c r="O260" i="2"/>
  <c r="P260" i="2"/>
  <c r="Q260" i="2"/>
  <c r="R260" i="2"/>
  <c r="S260" i="2"/>
  <c r="L261" i="2"/>
  <c r="M261" i="2"/>
  <c r="N261" i="2"/>
  <c r="O261" i="2"/>
  <c r="P261" i="2"/>
  <c r="Q261" i="2"/>
  <c r="R261" i="2"/>
  <c r="S261" i="2"/>
  <c r="L262" i="2"/>
  <c r="M262" i="2"/>
  <c r="N262" i="2"/>
  <c r="O262" i="2"/>
  <c r="P262" i="2"/>
  <c r="Q262" i="2"/>
  <c r="R262" i="2"/>
  <c r="S262" i="2"/>
  <c r="L263" i="2"/>
  <c r="M263" i="2"/>
  <c r="N263" i="2"/>
  <c r="O263" i="2"/>
  <c r="P263" i="2"/>
  <c r="Q263" i="2"/>
  <c r="R263" i="2"/>
  <c r="S263" i="2"/>
  <c r="L264" i="2"/>
  <c r="M264" i="2"/>
  <c r="N264" i="2"/>
  <c r="O264" i="2"/>
  <c r="P264" i="2"/>
  <c r="Q264" i="2"/>
  <c r="R264" i="2"/>
  <c r="S264" i="2"/>
  <c r="L265" i="2"/>
  <c r="M265" i="2"/>
  <c r="N265" i="2"/>
  <c r="O265" i="2"/>
  <c r="P265" i="2"/>
  <c r="Q265" i="2"/>
  <c r="R265" i="2"/>
  <c r="S265" i="2"/>
  <c r="L266" i="2"/>
  <c r="M266" i="2"/>
  <c r="N266" i="2"/>
  <c r="O266" i="2"/>
  <c r="P266" i="2"/>
  <c r="Q266" i="2"/>
  <c r="R266" i="2"/>
  <c r="S266" i="2"/>
  <c r="L267" i="2"/>
  <c r="M267" i="2"/>
  <c r="N267" i="2"/>
  <c r="O267" i="2"/>
  <c r="P267" i="2"/>
  <c r="Q267" i="2"/>
  <c r="R267" i="2"/>
  <c r="S267" i="2"/>
  <c r="L268" i="2"/>
  <c r="M268" i="2"/>
  <c r="N268" i="2"/>
  <c r="O268" i="2"/>
  <c r="P268" i="2"/>
  <c r="Q268" i="2"/>
  <c r="R268" i="2"/>
  <c r="S268" i="2"/>
  <c r="L269" i="2"/>
  <c r="M269" i="2"/>
  <c r="N269" i="2"/>
  <c r="O269" i="2"/>
  <c r="P269" i="2"/>
  <c r="Q269" i="2"/>
  <c r="R269" i="2"/>
  <c r="S269" i="2"/>
  <c r="L270" i="2"/>
  <c r="M270" i="2"/>
  <c r="N270" i="2"/>
  <c r="O270" i="2"/>
  <c r="P270" i="2"/>
  <c r="Q270" i="2"/>
  <c r="R270" i="2"/>
  <c r="S270" i="2"/>
  <c r="L271" i="2"/>
  <c r="M271" i="2"/>
  <c r="N271" i="2"/>
  <c r="O271" i="2"/>
  <c r="P271" i="2"/>
  <c r="Q271" i="2"/>
  <c r="R271" i="2"/>
  <c r="S271" i="2"/>
  <c r="L272" i="2"/>
  <c r="M272" i="2"/>
  <c r="N272" i="2"/>
  <c r="O272" i="2"/>
  <c r="P272" i="2"/>
  <c r="Q272" i="2"/>
  <c r="R272" i="2"/>
  <c r="S272" i="2"/>
  <c r="L273" i="2"/>
  <c r="M273" i="2"/>
  <c r="N273" i="2"/>
  <c r="O273" i="2"/>
  <c r="P273" i="2"/>
  <c r="Q273" i="2"/>
  <c r="R273" i="2"/>
  <c r="S273" i="2"/>
  <c r="L274" i="2"/>
  <c r="M274" i="2"/>
  <c r="N274" i="2"/>
  <c r="O274" i="2"/>
  <c r="P274" i="2"/>
  <c r="Q274" i="2"/>
  <c r="R274" i="2"/>
  <c r="S274" i="2"/>
  <c r="L275" i="2"/>
  <c r="M275" i="2"/>
  <c r="N275" i="2"/>
  <c r="O275" i="2"/>
  <c r="P275" i="2"/>
  <c r="Q275" i="2"/>
  <c r="R275" i="2"/>
  <c r="S275" i="2"/>
  <c r="L276" i="2"/>
  <c r="M276" i="2"/>
  <c r="N276" i="2"/>
  <c r="O276" i="2"/>
  <c r="P276" i="2"/>
  <c r="Q276" i="2"/>
  <c r="R276" i="2"/>
  <c r="S276" i="2"/>
  <c r="S2" i="2"/>
  <c r="N2" i="2"/>
  <c r="O2" i="2"/>
  <c r="P2" i="2"/>
  <c r="Q2" i="2"/>
  <c r="R2" i="2"/>
  <c r="M2" i="2"/>
  <c r="AA2" i="1"/>
  <c r="Y2" i="1"/>
  <c r="R2" i="1"/>
  <c r="W9" i="1" l="1"/>
  <c r="W13" i="1"/>
  <c r="W17" i="1"/>
  <c r="W18" i="1"/>
  <c r="W21" i="1"/>
  <c r="W26" i="1"/>
  <c r="R29" i="1"/>
  <c r="W37" i="1"/>
  <c r="W41" i="1"/>
  <c r="R45" i="1"/>
  <c r="W53" i="1"/>
  <c r="R61" i="1"/>
  <c r="W65" i="1"/>
  <c r="W66" i="1"/>
  <c r="W69" i="1"/>
  <c r="W73" i="1"/>
  <c r="W77" i="1"/>
  <c r="W81" i="1"/>
  <c r="W82" i="1"/>
  <c r="W85" i="1"/>
  <c r="W86" i="1"/>
  <c r="W90" i="1"/>
  <c r="W94" i="1"/>
  <c r="W97" i="1"/>
  <c r="W98" i="1"/>
  <c r="W101" i="1"/>
  <c r="W105" i="1"/>
  <c r="W106" i="1"/>
  <c r="R109" i="1"/>
  <c r="W114" i="1"/>
  <c r="W117" i="1"/>
  <c r="W122" i="1"/>
  <c r="R125" i="1"/>
  <c r="W130" i="1"/>
  <c r="W133" i="1"/>
  <c r="R137" i="1"/>
  <c r="W138" i="1"/>
  <c r="W141" i="1"/>
  <c r="W145" i="1"/>
  <c r="W149" i="1"/>
  <c r="W154" i="1"/>
  <c r="W161" i="1"/>
  <c r="W165" i="1"/>
  <c r="W166" i="1"/>
  <c r="W169" i="1"/>
  <c r="W170" i="1"/>
  <c r="W173" i="1"/>
  <c r="W174" i="1"/>
  <c r="W177" i="1"/>
  <c r="W178" i="1"/>
  <c r="W181" i="1"/>
  <c r="W182" i="1"/>
  <c r="R189" i="1"/>
  <c r="W190" i="1"/>
  <c r="W197" i="1"/>
  <c r="W198" i="1"/>
  <c r="R201" i="1"/>
  <c r="W202" i="1"/>
  <c r="R205" i="1"/>
  <c r="W206" i="1"/>
  <c r="W209" i="1"/>
  <c r="W210" i="1"/>
  <c r="W214" i="1"/>
  <c r="R217" i="1"/>
  <c r="W218" i="1"/>
  <c r="R221" i="1"/>
  <c r="W222" i="1"/>
  <c r="W225" i="1"/>
  <c r="W229" i="1"/>
  <c r="W230" i="1"/>
  <c r="W233" i="1"/>
  <c r="W237" i="1"/>
  <c r="W238" i="1"/>
  <c r="W241" i="1"/>
  <c r="W242" i="1"/>
  <c r="W245" i="1"/>
  <c r="W246" i="1"/>
  <c r="W250" i="1"/>
  <c r="R253" i="1"/>
  <c r="W254" i="1"/>
  <c r="W257" i="1"/>
  <c r="W258" i="1"/>
  <c r="W266" i="1"/>
  <c r="W274" i="1"/>
  <c r="W276" i="1"/>
  <c r="W3" i="1"/>
  <c r="W4" i="1"/>
  <c r="W7" i="1"/>
  <c r="W8" i="1"/>
  <c r="W11" i="1"/>
  <c r="W12" i="1"/>
  <c r="W15" i="1"/>
  <c r="W16" i="1"/>
  <c r="W19" i="1"/>
  <c r="W20" i="1"/>
  <c r="W23" i="1"/>
  <c r="W24" i="1"/>
  <c r="W25" i="1"/>
  <c r="W27" i="1"/>
  <c r="W28" i="1"/>
  <c r="W29" i="1"/>
  <c r="W31" i="1"/>
  <c r="W32" i="1"/>
  <c r="W35" i="1"/>
  <c r="W36" i="1"/>
  <c r="W39" i="1"/>
  <c r="W40" i="1"/>
  <c r="W43" i="1"/>
  <c r="W44" i="1"/>
  <c r="W47" i="1"/>
  <c r="W48" i="1"/>
  <c r="W51" i="1"/>
  <c r="W52" i="1"/>
  <c r="W55" i="1"/>
  <c r="W56" i="1"/>
  <c r="W57" i="1"/>
  <c r="W59" i="1"/>
  <c r="W60" i="1"/>
  <c r="W61" i="1"/>
  <c r="W63" i="1"/>
  <c r="W64" i="1"/>
  <c r="W67" i="1"/>
  <c r="W68" i="1"/>
  <c r="W71" i="1"/>
  <c r="W72" i="1"/>
  <c r="W75" i="1"/>
  <c r="W76" i="1"/>
  <c r="W79" i="1"/>
  <c r="W80" i="1"/>
  <c r="W83" i="1"/>
  <c r="W84" i="1"/>
  <c r="W87" i="1"/>
  <c r="W88" i="1"/>
  <c r="W89" i="1"/>
  <c r="W91" i="1"/>
  <c r="W92" i="1"/>
  <c r="W93" i="1"/>
  <c r="W95" i="1"/>
  <c r="W96" i="1"/>
  <c r="W99" i="1"/>
  <c r="W100" i="1"/>
  <c r="W103" i="1"/>
  <c r="W104" i="1"/>
  <c r="W107" i="1"/>
  <c r="W108" i="1"/>
  <c r="W111" i="1"/>
  <c r="W112" i="1"/>
  <c r="W115" i="1"/>
  <c r="W116" i="1"/>
  <c r="W119" i="1"/>
  <c r="W120" i="1"/>
  <c r="W121" i="1"/>
  <c r="W123" i="1"/>
  <c r="W124" i="1"/>
  <c r="W125" i="1"/>
  <c r="W127" i="1"/>
  <c r="W128" i="1"/>
  <c r="W131" i="1"/>
  <c r="W132" i="1"/>
  <c r="W135" i="1"/>
  <c r="W136" i="1"/>
  <c r="W139" i="1"/>
  <c r="W140" i="1"/>
  <c r="W143" i="1"/>
  <c r="W144" i="1"/>
  <c r="W147" i="1"/>
  <c r="W148" i="1"/>
  <c r="W151" i="1"/>
  <c r="W152" i="1"/>
  <c r="W153" i="1"/>
  <c r="W155" i="1"/>
  <c r="W156" i="1"/>
  <c r="W157" i="1"/>
  <c r="W159" i="1"/>
  <c r="W160" i="1"/>
  <c r="W163" i="1"/>
  <c r="W164" i="1"/>
  <c r="W167" i="1"/>
  <c r="W168" i="1"/>
  <c r="W171" i="1"/>
  <c r="W172" i="1"/>
  <c r="W175" i="1"/>
  <c r="W176" i="1"/>
  <c r="W179" i="1"/>
  <c r="W180" i="1"/>
  <c r="W183" i="1"/>
  <c r="W184" i="1"/>
  <c r="W185" i="1"/>
  <c r="W187" i="1"/>
  <c r="W188" i="1"/>
  <c r="W189" i="1"/>
  <c r="W191" i="1"/>
  <c r="W192" i="1"/>
  <c r="W195" i="1"/>
  <c r="W196" i="1"/>
  <c r="W199" i="1"/>
  <c r="W200" i="1"/>
  <c r="W203" i="1"/>
  <c r="W204" i="1"/>
  <c r="W207" i="1"/>
  <c r="W208" i="1"/>
  <c r="W211" i="1"/>
  <c r="W212" i="1"/>
  <c r="W215" i="1"/>
  <c r="W216" i="1"/>
  <c r="W217" i="1"/>
  <c r="W219" i="1"/>
  <c r="W220" i="1"/>
  <c r="W221" i="1"/>
  <c r="W223" i="1"/>
  <c r="W224" i="1"/>
  <c r="W227" i="1"/>
  <c r="W228" i="1"/>
  <c r="W231" i="1"/>
  <c r="W232" i="1"/>
  <c r="W235" i="1"/>
  <c r="W236" i="1"/>
  <c r="W239" i="1"/>
  <c r="W240" i="1"/>
  <c r="W243" i="1"/>
  <c r="W244" i="1"/>
  <c r="W247" i="1"/>
  <c r="W248" i="1"/>
  <c r="W249" i="1"/>
  <c r="W251" i="1"/>
  <c r="W252" i="1"/>
  <c r="W253" i="1"/>
  <c r="W255" i="1"/>
  <c r="W256" i="1"/>
  <c r="W259" i="1"/>
  <c r="W260" i="1"/>
  <c r="W263" i="1"/>
  <c r="W264" i="1"/>
  <c r="W267" i="1"/>
  <c r="W268" i="1"/>
  <c r="W271" i="1"/>
  <c r="W272" i="1"/>
  <c r="W275" i="1"/>
  <c r="R9" i="1"/>
  <c r="R13" i="1"/>
  <c r="R37" i="1"/>
  <c r="R41" i="1"/>
  <c r="R53" i="1"/>
  <c r="R57" i="1"/>
  <c r="R82" i="1"/>
  <c r="R117" i="1"/>
  <c r="R121" i="1"/>
  <c r="R181" i="1"/>
  <c r="R185" i="1"/>
  <c r="R209" i="1"/>
  <c r="R257" i="1"/>
  <c r="U276" i="1"/>
  <c r="Y276" i="1" s="1"/>
  <c r="AA276" i="1" s="1"/>
  <c r="V276" i="1"/>
  <c r="U42" i="1"/>
  <c r="V42" i="1"/>
  <c r="U43" i="1"/>
  <c r="V43" i="1"/>
  <c r="U44" i="1"/>
  <c r="V44" i="1"/>
  <c r="U45" i="1"/>
  <c r="Y45" i="1" s="1"/>
  <c r="AA45" i="1" s="1"/>
  <c r="V45" i="1"/>
  <c r="U46" i="1"/>
  <c r="V46" i="1"/>
  <c r="U47" i="1"/>
  <c r="Y47" i="1" s="1"/>
  <c r="AA47" i="1" s="1"/>
  <c r="V47" i="1"/>
  <c r="U48" i="1"/>
  <c r="V48" i="1"/>
  <c r="U49" i="1"/>
  <c r="Y49" i="1" s="1"/>
  <c r="AA49" i="1" s="1"/>
  <c r="V49" i="1"/>
  <c r="U50" i="1"/>
  <c r="V50" i="1"/>
  <c r="U51" i="1"/>
  <c r="Y51" i="1" s="1"/>
  <c r="AA51" i="1" s="1"/>
  <c r="V51" i="1"/>
  <c r="U52" i="1"/>
  <c r="V52" i="1"/>
  <c r="U53" i="1"/>
  <c r="Y53" i="1" s="1"/>
  <c r="AA53" i="1" s="1"/>
  <c r="V53" i="1"/>
  <c r="U54" i="1"/>
  <c r="V54" i="1"/>
  <c r="Y54" i="1" s="1"/>
  <c r="AA54" i="1" s="1"/>
  <c r="U55" i="1"/>
  <c r="V55" i="1"/>
  <c r="U56" i="1"/>
  <c r="V56" i="1"/>
  <c r="U57" i="1"/>
  <c r="Y57" i="1" s="1"/>
  <c r="AA57" i="1" s="1"/>
  <c r="V57" i="1"/>
  <c r="U58" i="1"/>
  <c r="V58" i="1"/>
  <c r="U59" i="1"/>
  <c r="Y59" i="1" s="1"/>
  <c r="AA59" i="1" s="1"/>
  <c r="V59" i="1"/>
  <c r="U60" i="1"/>
  <c r="V60" i="1"/>
  <c r="U61" i="1"/>
  <c r="V61" i="1"/>
  <c r="U62" i="1"/>
  <c r="V62" i="1"/>
  <c r="U63" i="1"/>
  <c r="Y63" i="1" s="1"/>
  <c r="AA63" i="1" s="1"/>
  <c r="V63" i="1"/>
  <c r="U64" i="1"/>
  <c r="V64" i="1"/>
  <c r="U65" i="1"/>
  <c r="V65" i="1"/>
  <c r="U66" i="1"/>
  <c r="V66" i="1"/>
  <c r="U67" i="1"/>
  <c r="V67" i="1"/>
  <c r="U68" i="1"/>
  <c r="V68" i="1"/>
  <c r="U69" i="1"/>
  <c r="Y69" i="1" s="1"/>
  <c r="AA69" i="1" s="1"/>
  <c r="V69" i="1"/>
  <c r="U70" i="1"/>
  <c r="V70" i="1"/>
  <c r="U71" i="1"/>
  <c r="Y71" i="1" s="1"/>
  <c r="AA71" i="1" s="1"/>
  <c r="V71" i="1"/>
  <c r="U72" i="1"/>
  <c r="V72" i="1"/>
  <c r="U73" i="1"/>
  <c r="V73" i="1"/>
  <c r="U74" i="1"/>
  <c r="V74" i="1"/>
  <c r="U75" i="1"/>
  <c r="Y75" i="1" s="1"/>
  <c r="AA75" i="1" s="1"/>
  <c r="V75" i="1"/>
  <c r="U76" i="1"/>
  <c r="V76" i="1"/>
  <c r="U77" i="1"/>
  <c r="V77" i="1"/>
  <c r="U78" i="1"/>
  <c r="V78" i="1"/>
  <c r="U79" i="1"/>
  <c r="V79" i="1"/>
  <c r="U80" i="1"/>
  <c r="V80" i="1"/>
  <c r="U81" i="1"/>
  <c r="Y81" i="1" s="1"/>
  <c r="AA81" i="1" s="1"/>
  <c r="V81" i="1"/>
  <c r="U82" i="1"/>
  <c r="V82" i="1"/>
  <c r="U83" i="1"/>
  <c r="V83" i="1"/>
  <c r="U84" i="1"/>
  <c r="V84" i="1"/>
  <c r="U85" i="1"/>
  <c r="V85" i="1"/>
  <c r="U86" i="1"/>
  <c r="V86" i="1"/>
  <c r="Y86" i="1" s="1"/>
  <c r="AA86" i="1" s="1"/>
  <c r="U87" i="1"/>
  <c r="Y87" i="1" s="1"/>
  <c r="AA87" i="1" s="1"/>
  <c r="V87" i="1"/>
  <c r="U88" i="1"/>
  <c r="V88" i="1"/>
  <c r="U89" i="1"/>
  <c r="V89" i="1"/>
  <c r="U90" i="1"/>
  <c r="V90" i="1"/>
  <c r="U91" i="1"/>
  <c r="V91" i="1"/>
  <c r="U92" i="1"/>
  <c r="V92" i="1"/>
  <c r="U93" i="1"/>
  <c r="Y93" i="1" s="1"/>
  <c r="AA93" i="1" s="1"/>
  <c r="V93" i="1"/>
  <c r="U94" i="1"/>
  <c r="V94" i="1"/>
  <c r="U95" i="1"/>
  <c r="V95" i="1"/>
  <c r="U96" i="1"/>
  <c r="V96" i="1"/>
  <c r="U97" i="1"/>
  <c r="Y97" i="1" s="1"/>
  <c r="AA97" i="1" s="1"/>
  <c r="V97" i="1"/>
  <c r="U98" i="1"/>
  <c r="V98" i="1"/>
  <c r="U99" i="1"/>
  <c r="Y99" i="1" s="1"/>
  <c r="AA99" i="1" s="1"/>
  <c r="V99" i="1"/>
  <c r="U100" i="1"/>
  <c r="V100" i="1"/>
  <c r="U101" i="1"/>
  <c r="Y101" i="1" s="1"/>
  <c r="AA101" i="1" s="1"/>
  <c r="V101" i="1"/>
  <c r="U102" i="1"/>
  <c r="V102" i="1"/>
  <c r="U103" i="1"/>
  <c r="Y103" i="1" s="1"/>
  <c r="AA103" i="1" s="1"/>
  <c r="V103" i="1"/>
  <c r="U104" i="1"/>
  <c r="V104" i="1"/>
  <c r="U105" i="1"/>
  <c r="Y105" i="1" s="1"/>
  <c r="AA105" i="1" s="1"/>
  <c r="V105" i="1"/>
  <c r="U106" i="1"/>
  <c r="V106" i="1"/>
  <c r="U107" i="1"/>
  <c r="Y107" i="1" s="1"/>
  <c r="AA107" i="1" s="1"/>
  <c r="V107" i="1"/>
  <c r="U108" i="1"/>
  <c r="V108" i="1"/>
  <c r="U109" i="1"/>
  <c r="Y109" i="1" s="1"/>
  <c r="AA109" i="1" s="1"/>
  <c r="V109" i="1"/>
  <c r="U110" i="1"/>
  <c r="V110" i="1"/>
  <c r="U111" i="1"/>
  <c r="Y111" i="1" s="1"/>
  <c r="AA111" i="1" s="1"/>
  <c r="V111" i="1"/>
  <c r="U112" i="1"/>
  <c r="V112" i="1"/>
  <c r="U113" i="1"/>
  <c r="Y113" i="1" s="1"/>
  <c r="AA113" i="1" s="1"/>
  <c r="V113" i="1"/>
  <c r="U114" i="1"/>
  <c r="V114" i="1"/>
  <c r="Y114" i="1" s="1"/>
  <c r="AA114" i="1" s="1"/>
  <c r="U115" i="1"/>
  <c r="Y115" i="1" s="1"/>
  <c r="AA115" i="1" s="1"/>
  <c r="V115" i="1"/>
  <c r="U116" i="1"/>
  <c r="V116" i="1"/>
  <c r="U117" i="1"/>
  <c r="Y117" i="1" s="1"/>
  <c r="AA117" i="1" s="1"/>
  <c r="V117" i="1"/>
  <c r="U118" i="1"/>
  <c r="V118" i="1"/>
  <c r="U119" i="1"/>
  <c r="Y119" i="1" s="1"/>
  <c r="AA119" i="1" s="1"/>
  <c r="V119" i="1"/>
  <c r="U120" i="1"/>
  <c r="V120" i="1"/>
  <c r="U121" i="1"/>
  <c r="Y121" i="1" s="1"/>
  <c r="AA121" i="1" s="1"/>
  <c r="V121" i="1"/>
  <c r="U122" i="1"/>
  <c r="V122" i="1"/>
  <c r="U123" i="1"/>
  <c r="Y123" i="1" s="1"/>
  <c r="AA123" i="1" s="1"/>
  <c r="V123" i="1"/>
  <c r="U124" i="1"/>
  <c r="V124" i="1"/>
  <c r="X124" i="1" s="1"/>
  <c r="U125" i="1"/>
  <c r="Y125" i="1" s="1"/>
  <c r="AA125" i="1" s="1"/>
  <c r="V125" i="1"/>
  <c r="U126" i="1"/>
  <c r="V126" i="1"/>
  <c r="U127" i="1"/>
  <c r="Y127" i="1" s="1"/>
  <c r="AA127" i="1" s="1"/>
  <c r="V127" i="1"/>
  <c r="U128" i="1"/>
  <c r="V128" i="1"/>
  <c r="U129" i="1"/>
  <c r="Y129" i="1" s="1"/>
  <c r="AA129" i="1" s="1"/>
  <c r="V129" i="1"/>
  <c r="U130" i="1"/>
  <c r="V130" i="1"/>
  <c r="Y130" i="1" s="1"/>
  <c r="AA130" i="1" s="1"/>
  <c r="U131" i="1"/>
  <c r="Y131" i="1" s="1"/>
  <c r="AA131" i="1" s="1"/>
  <c r="V131" i="1"/>
  <c r="U132" i="1"/>
  <c r="V132" i="1"/>
  <c r="U133" i="1"/>
  <c r="Y133" i="1" s="1"/>
  <c r="AA133" i="1" s="1"/>
  <c r="V133" i="1"/>
  <c r="U134" i="1"/>
  <c r="V134" i="1"/>
  <c r="U135" i="1"/>
  <c r="Y135" i="1" s="1"/>
  <c r="AA135" i="1" s="1"/>
  <c r="V135" i="1"/>
  <c r="U136" i="1"/>
  <c r="V136" i="1"/>
  <c r="U137" i="1"/>
  <c r="Y137" i="1" s="1"/>
  <c r="AA137" i="1" s="1"/>
  <c r="V137" i="1"/>
  <c r="U138" i="1"/>
  <c r="V138" i="1"/>
  <c r="U139" i="1"/>
  <c r="Y139" i="1" s="1"/>
  <c r="AA139" i="1" s="1"/>
  <c r="V139" i="1"/>
  <c r="U140" i="1"/>
  <c r="V140" i="1"/>
  <c r="U141" i="1"/>
  <c r="Y141" i="1" s="1"/>
  <c r="AA141" i="1" s="1"/>
  <c r="V141" i="1"/>
  <c r="U142" i="1"/>
  <c r="V142" i="1"/>
  <c r="U143" i="1"/>
  <c r="Y143" i="1" s="1"/>
  <c r="AA143" i="1" s="1"/>
  <c r="V143" i="1"/>
  <c r="U144" i="1"/>
  <c r="V144" i="1"/>
  <c r="U145" i="1"/>
  <c r="Y145" i="1" s="1"/>
  <c r="AA145" i="1" s="1"/>
  <c r="V145" i="1"/>
  <c r="U146" i="1"/>
  <c r="V146" i="1"/>
  <c r="Y146" i="1" s="1"/>
  <c r="AA146" i="1" s="1"/>
  <c r="U147" i="1"/>
  <c r="Y147" i="1" s="1"/>
  <c r="AA147" i="1" s="1"/>
  <c r="V147" i="1"/>
  <c r="U148" i="1"/>
  <c r="V148" i="1"/>
  <c r="U149" i="1"/>
  <c r="Y149" i="1" s="1"/>
  <c r="AA149" i="1" s="1"/>
  <c r="V149" i="1"/>
  <c r="U150" i="1"/>
  <c r="V150" i="1"/>
  <c r="U151" i="1"/>
  <c r="Y151" i="1" s="1"/>
  <c r="AA151" i="1" s="1"/>
  <c r="V151" i="1"/>
  <c r="U152" i="1"/>
  <c r="V152" i="1"/>
  <c r="U153" i="1"/>
  <c r="Y153" i="1" s="1"/>
  <c r="AA153" i="1" s="1"/>
  <c r="V153" i="1"/>
  <c r="U154" i="1"/>
  <c r="V154" i="1"/>
  <c r="U155" i="1"/>
  <c r="Y155" i="1" s="1"/>
  <c r="AA155" i="1" s="1"/>
  <c r="V155" i="1"/>
  <c r="U156" i="1"/>
  <c r="V156" i="1"/>
  <c r="U157" i="1"/>
  <c r="Y157" i="1" s="1"/>
  <c r="AA157" i="1" s="1"/>
  <c r="V157" i="1"/>
  <c r="U158" i="1"/>
  <c r="V158" i="1"/>
  <c r="U159" i="1"/>
  <c r="Y159" i="1" s="1"/>
  <c r="AA159" i="1" s="1"/>
  <c r="V159" i="1"/>
  <c r="U160" i="1"/>
  <c r="V160" i="1"/>
  <c r="U161" i="1"/>
  <c r="Y161" i="1" s="1"/>
  <c r="AA161" i="1" s="1"/>
  <c r="V161" i="1"/>
  <c r="U162" i="1"/>
  <c r="V162" i="1"/>
  <c r="Y162" i="1" s="1"/>
  <c r="AA162" i="1" s="1"/>
  <c r="U163" i="1"/>
  <c r="Y163" i="1" s="1"/>
  <c r="AA163" i="1" s="1"/>
  <c r="V163" i="1"/>
  <c r="U164" i="1"/>
  <c r="V164" i="1"/>
  <c r="U165" i="1"/>
  <c r="Y165" i="1" s="1"/>
  <c r="AA165" i="1" s="1"/>
  <c r="V165" i="1"/>
  <c r="U166" i="1"/>
  <c r="V166" i="1"/>
  <c r="U167" i="1"/>
  <c r="Y167" i="1" s="1"/>
  <c r="AA167" i="1" s="1"/>
  <c r="V167" i="1"/>
  <c r="U168" i="1"/>
  <c r="V168" i="1"/>
  <c r="U169" i="1"/>
  <c r="Y169" i="1" s="1"/>
  <c r="AA169" i="1" s="1"/>
  <c r="V169" i="1"/>
  <c r="U170" i="1"/>
  <c r="V170" i="1"/>
  <c r="U171" i="1"/>
  <c r="Y171" i="1" s="1"/>
  <c r="AA171" i="1" s="1"/>
  <c r="V171" i="1"/>
  <c r="U172" i="1"/>
  <c r="V172" i="1"/>
  <c r="U173" i="1"/>
  <c r="Y173" i="1" s="1"/>
  <c r="AA173" i="1" s="1"/>
  <c r="V173" i="1"/>
  <c r="U174" i="1"/>
  <c r="V174" i="1"/>
  <c r="U175" i="1"/>
  <c r="Y175" i="1" s="1"/>
  <c r="AA175" i="1" s="1"/>
  <c r="V175" i="1"/>
  <c r="U176" i="1"/>
  <c r="V176" i="1"/>
  <c r="U177" i="1"/>
  <c r="Y177" i="1" s="1"/>
  <c r="AA177" i="1" s="1"/>
  <c r="V177" i="1"/>
  <c r="U178" i="1"/>
  <c r="V178" i="1"/>
  <c r="Y178" i="1" s="1"/>
  <c r="AA178" i="1" s="1"/>
  <c r="U179" i="1"/>
  <c r="Y179" i="1" s="1"/>
  <c r="AA179" i="1" s="1"/>
  <c r="V179" i="1"/>
  <c r="U180" i="1"/>
  <c r="V180" i="1"/>
  <c r="U181" i="1"/>
  <c r="V181" i="1"/>
  <c r="U182" i="1"/>
  <c r="V182" i="1"/>
  <c r="U183" i="1"/>
  <c r="V183" i="1"/>
  <c r="U184" i="1"/>
  <c r="V184" i="1"/>
  <c r="U185" i="1"/>
  <c r="Y185" i="1" s="1"/>
  <c r="AA185" i="1" s="1"/>
  <c r="V185" i="1"/>
  <c r="U186" i="1"/>
  <c r="V186" i="1"/>
  <c r="U187" i="1"/>
  <c r="V187" i="1"/>
  <c r="U188" i="1"/>
  <c r="V188" i="1"/>
  <c r="X188" i="1" s="1"/>
  <c r="U189" i="1"/>
  <c r="V189" i="1"/>
  <c r="U190" i="1"/>
  <c r="V190" i="1"/>
  <c r="U191" i="1"/>
  <c r="Y191" i="1" s="1"/>
  <c r="AA191" i="1" s="1"/>
  <c r="V191" i="1"/>
  <c r="U192" i="1"/>
  <c r="V192" i="1"/>
  <c r="U193" i="1"/>
  <c r="Y193" i="1" s="1"/>
  <c r="AA193" i="1" s="1"/>
  <c r="V193" i="1"/>
  <c r="U194" i="1"/>
  <c r="V194" i="1"/>
  <c r="Y194" i="1" s="1"/>
  <c r="AA194" i="1" s="1"/>
  <c r="U195" i="1"/>
  <c r="V195" i="1"/>
  <c r="U196" i="1"/>
  <c r="V196" i="1"/>
  <c r="U197" i="1"/>
  <c r="V197" i="1"/>
  <c r="U198" i="1"/>
  <c r="V198" i="1"/>
  <c r="U199" i="1"/>
  <c r="V199" i="1"/>
  <c r="U200" i="1"/>
  <c r="V200" i="1"/>
  <c r="U201" i="1"/>
  <c r="Y201" i="1" s="1"/>
  <c r="AA201" i="1" s="1"/>
  <c r="V201" i="1"/>
  <c r="U202" i="1"/>
  <c r="V202" i="1"/>
  <c r="U203" i="1"/>
  <c r="V203" i="1"/>
  <c r="U204" i="1"/>
  <c r="V204" i="1"/>
  <c r="U205" i="1"/>
  <c r="Y205" i="1" s="1"/>
  <c r="AA205" i="1" s="1"/>
  <c r="V205" i="1"/>
  <c r="U206" i="1"/>
  <c r="V206" i="1"/>
  <c r="U207" i="1"/>
  <c r="V207" i="1"/>
  <c r="U208" i="1"/>
  <c r="V208" i="1"/>
  <c r="U209" i="1"/>
  <c r="V209" i="1"/>
  <c r="U210" i="1"/>
  <c r="V210" i="1"/>
  <c r="Y210" i="1" s="1"/>
  <c r="AA210" i="1" s="1"/>
  <c r="U211" i="1"/>
  <c r="V211" i="1"/>
  <c r="U212" i="1"/>
  <c r="V212" i="1"/>
  <c r="U213" i="1"/>
  <c r="Y213" i="1" s="1"/>
  <c r="AA213" i="1" s="1"/>
  <c r="V213" i="1"/>
  <c r="U214" i="1"/>
  <c r="V214" i="1"/>
  <c r="U215" i="1"/>
  <c r="V215" i="1"/>
  <c r="U216" i="1"/>
  <c r="V216" i="1"/>
  <c r="U217" i="1"/>
  <c r="V217" i="1"/>
  <c r="U218" i="1"/>
  <c r="V218" i="1"/>
  <c r="U219" i="1"/>
  <c r="V219" i="1"/>
  <c r="U220" i="1"/>
  <c r="V220" i="1"/>
  <c r="U221" i="1"/>
  <c r="V221" i="1"/>
  <c r="U222" i="1"/>
  <c r="V222" i="1"/>
  <c r="U223" i="1"/>
  <c r="V223" i="1"/>
  <c r="U224" i="1"/>
  <c r="V224" i="1"/>
  <c r="U225" i="1"/>
  <c r="V225" i="1"/>
  <c r="U226" i="1"/>
  <c r="V226" i="1"/>
  <c r="Y226" i="1" s="1"/>
  <c r="AA226" i="1" s="1"/>
  <c r="U227" i="1"/>
  <c r="V227" i="1"/>
  <c r="U228" i="1"/>
  <c r="V228" i="1"/>
  <c r="U229" i="1"/>
  <c r="V229" i="1"/>
  <c r="U230" i="1"/>
  <c r="V230" i="1"/>
  <c r="U231" i="1"/>
  <c r="V231" i="1"/>
  <c r="U232" i="1"/>
  <c r="V232" i="1"/>
  <c r="U233" i="1"/>
  <c r="V233" i="1"/>
  <c r="U234" i="1"/>
  <c r="V234" i="1"/>
  <c r="U235" i="1"/>
  <c r="V235" i="1"/>
  <c r="U236" i="1"/>
  <c r="V236" i="1"/>
  <c r="U237" i="1"/>
  <c r="V237" i="1"/>
  <c r="U238" i="1"/>
  <c r="V238" i="1"/>
  <c r="U239" i="1"/>
  <c r="V239" i="1"/>
  <c r="U240" i="1"/>
  <c r="V240" i="1"/>
  <c r="U241" i="1"/>
  <c r="V241" i="1"/>
  <c r="U242" i="1"/>
  <c r="V242" i="1"/>
  <c r="Y242" i="1" s="1"/>
  <c r="AA242" i="1" s="1"/>
  <c r="U243" i="1"/>
  <c r="Y243" i="1" s="1"/>
  <c r="AA243" i="1" s="1"/>
  <c r="V243" i="1"/>
  <c r="U244" i="1"/>
  <c r="V244" i="1"/>
  <c r="U245" i="1"/>
  <c r="V245" i="1"/>
  <c r="U246" i="1"/>
  <c r="V246" i="1"/>
  <c r="U247" i="1"/>
  <c r="Y247" i="1" s="1"/>
  <c r="AA247" i="1" s="1"/>
  <c r="V247" i="1"/>
  <c r="U248" i="1"/>
  <c r="V248" i="1"/>
  <c r="U249" i="1"/>
  <c r="Y249" i="1" s="1"/>
  <c r="AA249" i="1" s="1"/>
  <c r="V249" i="1"/>
  <c r="U250" i="1"/>
  <c r="V250" i="1"/>
  <c r="U251" i="1"/>
  <c r="V251" i="1"/>
  <c r="U252" i="1"/>
  <c r="V252" i="1"/>
  <c r="X252" i="1" s="1"/>
  <c r="U253" i="1"/>
  <c r="V253" i="1"/>
  <c r="U254" i="1"/>
  <c r="V254" i="1"/>
  <c r="U255" i="1"/>
  <c r="Y255" i="1" s="1"/>
  <c r="AA255" i="1" s="1"/>
  <c r="V255" i="1"/>
  <c r="U256" i="1"/>
  <c r="V256" i="1"/>
  <c r="U257" i="1"/>
  <c r="Y257" i="1" s="1"/>
  <c r="AA257" i="1" s="1"/>
  <c r="V257" i="1"/>
  <c r="U258" i="1"/>
  <c r="V258" i="1"/>
  <c r="Y258" i="1" s="1"/>
  <c r="AA258" i="1" s="1"/>
  <c r="U259" i="1"/>
  <c r="V259" i="1"/>
  <c r="U260" i="1"/>
  <c r="V260" i="1"/>
  <c r="U261" i="1"/>
  <c r="Y261" i="1" s="1"/>
  <c r="AA261" i="1" s="1"/>
  <c r="V261" i="1"/>
  <c r="U262" i="1"/>
  <c r="V262" i="1"/>
  <c r="U263" i="1"/>
  <c r="V263" i="1"/>
  <c r="U264" i="1"/>
  <c r="V264" i="1"/>
  <c r="U265" i="1"/>
  <c r="Y265" i="1" s="1"/>
  <c r="AA265" i="1" s="1"/>
  <c r="V265" i="1"/>
  <c r="U266" i="1"/>
  <c r="V266" i="1"/>
  <c r="U267" i="1"/>
  <c r="V267" i="1"/>
  <c r="U268" i="1"/>
  <c r="V268" i="1"/>
  <c r="U269" i="1"/>
  <c r="Y269" i="1" s="1"/>
  <c r="AA269" i="1" s="1"/>
  <c r="V269" i="1"/>
  <c r="U270" i="1"/>
  <c r="V270" i="1"/>
  <c r="U271" i="1"/>
  <c r="V271" i="1"/>
  <c r="U272" i="1"/>
  <c r="V272" i="1"/>
  <c r="U273" i="1"/>
  <c r="Y273" i="1" s="1"/>
  <c r="AA273" i="1" s="1"/>
  <c r="V273" i="1"/>
  <c r="U274" i="1"/>
  <c r="V274" i="1"/>
  <c r="Y274" i="1" s="1"/>
  <c r="AA274" i="1" s="1"/>
  <c r="U275" i="1"/>
  <c r="Y275" i="1" s="1"/>
  <c r="AA275" i="1" s="1"/>
  <c r="V275" i="1"/>
  <c r="U35" i="1"/>
  <c r="V35" i="1"/>
  <c r="U36" i="1"/>
  <c r="Y36" i="1" s="1"/>
  <c r="AA36" i="1" s="1"/>
  <c r="V36" i="1"/>
  <c r="U37" i="1"/>
  <c r="V37" i="1"/>
  <c r="U38" i="1"/>
  <c r="Y38" i="1" s="1"/>
  <c r="AA38" i="1" s="1"/>
  <c r="V38" i="1"/>
  <c r="U39" i="1"/>
  <c r="V39" i="1"/>
  <c r="U40" i="1"/>
  <c r="V40" i="1"/>
  <c r="U41" i="1"/>
  <c r="V41" i="1"/>
  <c r="U25" i="1"/>
  <c r="V25" i="1"/>
  <c r="U26" i="1"/>
  <c r="V26" i="1"/>
  <c r="U27" i="1"/>
  <c r="V27" i="1"/>
  <c r="U28" i="1"/>
  <c r="V28" i="1"/>
  <c r="U29" i="1"/>
  <c r="V29" i="1"/>
  <c r="U30" i="1"/>
  <c r="V30" i="1"/>
  <c r="U31" i="1"/>
  <c r="V31" i="1"/>
  <c r="U32" i="1"/>
  <c r="V32" i="1"/>
  <c r="U33" i="1"/>
  <c r="Y33" i="1" s="1"/>
  <c r="AA33" i="1" s="1"/>
  <c r="V33" i="1"/>
  <c r="U34" i="1"/>
  <c r="V34" i="1"/>
  <c r="U14" i="1"/>
  <c r="Y14" i="1" s="1"/>
  <c r="AA14" i="1" s="1"/>
  <c r="V14" i="1"/>
  <c r="U15" i="1"/>
  <c r="V15" i="1"/>
  <c r="U16" i="1"/>
  <c r="V16" i="1"/>
  <c r="U17" i="1"/>
  <c r="V17" i="1"/>
  <c r="U18" i="1"/>
  <c r="Y18" i="1" s="1"/>
  <c r="AA18" i="1" s="1"/>
  <c r="V18" i="1"/>
  <c r="U19" i="1"/>
  <c r="V19" i="1"/>
  <c r="U20" i="1"/>
  <c r="Y20" i="1" s="1"/>
  <c r="AA20" i="1" s="1"/>
  <c r="V20" i="1"/>
  <c r="U21" i="1"/>
  <c r="V21" i="1"/>
  <c r="U22" i="1"/>
  <c r="Y22" i="1" s="1"/>
  <c r="AA22" i="1" s="1"/>
  <c r="V22" i="1"/>
  <c r="U23" i="1"/>
  <c r="V23" i="1"/>
  <c r="Y23" i="1" s="1"/>
  <c r="AA23" i="1" s="1"/>
  <c r="U24" i="1"/>
  <c r="V24" i="1"/>
  <c r="U7" i="1"/>
  <c r="V7" i="1"/>
  <c r="U8" i="1"/>
  <c r="V8" i="1"/>
  <c r="U9" i="1"/>
  <c r="V9" i="1"/>
  <c r="U10" i="1"/>
  <c r="Y10" i="1" s="1"/>
  <c r="AA10" i="1" s="1"/>
  <c r="V10" i="1"/>
  <c r="U11" i="1"/>
  <c r="V11" i="1"/>
  <c r="U12" i="1"/>
  <c r="V12" i="1"/>
  <c r="U13" i="1"/>
  <c r="V13" i="1"/>
  <c r="U3" i="1"/>
  <c r="V3" i="1"/>
  <c r="U4" i="1"/>
  <c r="V4" i="1"/>
  <c r="U5" i="1"/>
  <c r="Y5" i="1" s="1"/>
  <c r="AA5" i="1" s="1"/>
  <c r="V5" i="1"/>
  <c r="U6" i="1"/>
  <c r="V6" i="1"/>
  <c r="V2" i="1"/>
  <c r="U2" i="1"/>
  <c r="R43" i="1"/>
  <c r="R63" i="1"/>
  <c r="R83" i="1"/>
  <c r="R99" i="1"/>
  <c r="R127" i="1"/>
  <c r="R139" i="1"/>
  <c r="R163" i="1"/>
  <c r="R179" i="1"/>
  <c r="R200" i="1"/>
  <c r="R223" i="1"/>
  <c r="R239" i="1"/>
  <c r="R251" i="1"/>
  <c r="R263" i="1"/>
  <c r="R27" i="1"/>
  <c r="R4" i="1"/>
  <c r="R15" i="1"/>
  <c r="R23" i="1"/>
  <c r="R3" i="1"/>
  <c r="R7" i="1"/>
  <c r="R8" i="1"/>
  <c r="R11" i="1"/>
  <c r="R12" i="1"/>
  <c r="R16" i="1"/>
  <c r="R17" i="1"/>
  <c r="R19" i="1"/>
  <c r="R20" i="1"/>
  <c r="R21" i="1"/>
  <c r="R24" i="1"/>
  <c r="R25" i="1"/>
  <c r="R28" i="1"/>
  <c r="R31" i="1"/>
  <c r="R32" i="1"/>
  <c r="R35" i="1"/>
  <c r="R36" i="1"/>
  <c r="R39" i="1"/>
  <c r="R40" i="1"/>
  <c r="R44" i="1"/>
  <c r="R47" i="1"/>
  <c r="R48" i="1"/>
  <c r="R51" i="1"/>
  <c r="R52" i="1"/>
  <c r="R55" i="1"/>
  <c r="R56" i="1"/>
  <c r="R59" i="1"/>
  <c r="R60" i="1"/>
  <c r="R64" i="1"/>
  <c r="R65" i="1"/>
  <c r="R67" i="1"/>
  <c r="R68" i="1"/>
  <c r="R69" i="1"/>
  <c r="R71" i="1"/>
  <c r="R72" i="1"/>
  <c r="R73" i="1"/>
  <c r="R75" i="1"/>
  <c r="R76" i="1"/>
  <c r="R77" i="1"/>
  <c r="R79" i="1"/>
  <c r="R80" i="1"/>
  <c r="R81" i="1"/>
  <c r="R84" i="1"/>
  <c r="R85" i="1"/>
  <c r="R87" i="1"/>
  <c r="R88" i="1"/>
  <c r="R89" i="1"/>
  <c r="R91" i="1"/>
  <c r="R92" i="1"/>
  <c r="R93" i="1"/>
  <c r="R95" i="1"/>
  <c r="R96" i="1"/>
  <c r="R97" i="1"/>
  <c r="R100" i="1"/>
  <c r="R103" i="1"/>
  <c r="R104" i="1"/>
  <c r="R107" i="1"/>
  <c r="R108" i="1"/>
  <c r="R111" i="1"/>
  <c r="R112" i="1"/>
  <c r="R115" i="1"/>
  <c r="R116" i="1"/>
  <c r="R119" i="1"/>
  <c r="R120" i="1"/>
  <c r="R123" i="1"/>
  <c r="R124" i="1"/>
  <c r="R128" i="1"/>
  <c r="R131" i="1"/>
  <c r="R132" i="1"/>
  <c r="R135" i="1"/>
  <c r="R136" i="1"/>
  <c r="R140" i="1"/>
  <c r="R141" i="1"/>
  <c r="R143" i="1"/>
  <c r="R144" i="1"/>
  <c r="R145" i="1"/>
  <c r="R147" i="1"/>
  <c r="R148" i="1"/>
  <c r="R149" i="1"/>
  <c r="R151" i="1"/>
  <c r="R152" i="1"/>
  <c r="R153" i="1"/>
  <c r="R155" i="1"/>
  <c r="R156" i="1"/>
  <c r="R157" i="1"/>
  <c r="R159" i="1"/>
  <c r="R160" i="1"/>
  <c r="R161" i="1"/>
  <c r="R164" i="1"/>
  <c r="R165" i="1"/>
  <c r="R167" i="1"/>
  <c r="R168" i="1"/>
  <c r="R169" i="1"/>
  <c r="R171" i="1"/>
  <c r="R172" i="1"/>
  <c r="R173" i="1"/>
  <c r="R175" i="1"/>
  <c r="R176" i="1"/>
  <c r="R177" i="1"/>
  <c r="R180" i="1"/>
  <c r="R183" i="1"/>
  <c r="R184" i="1"/>
  <c r="R187" i="1"/>
  <c r="R188" i="1"/>
  <c r="R191" i="1"/>
  <c r="R192" i="1"/>
  <c r="R195" i="1"/>
  <c r="R196" i="1"/>
  <c r="R199" i="1"/>
  <c r="R203" i="1"/>
  <c r="R204" i="1"/>
  <c r="R207" i="1"/>
  <c r="R208" i="1"/>
  <c r="R211" i="1"/>
  <c r="R212" i="1"/>
  <c r="R215" i="1"/>
  <c r="R216" i="1"/>
  <c r="R219" i="1"/>
  <c r="R220" i="1"/>
  <c r="R224" i="1"/>
  <c r="R225" i="1"/>
  <c r="R227" i="1"/>
  <c r="R228" i="1"/>
  <c r="R229" i="1"/>
  <c r="R231" i="1"/>
  <c r="R232" i="1"/>
  <c r="R233" i="1"/>
  <c r="R235" i="1"/>
  <c r="R236" i="1"/>
  <c r="R237" i="1"/>
  <c r="R240" i="1"/>
  <c r="R241" i="1"/>
  <c r="R243" i="1"/>
  <c r="R244" i="1"/>
  <c r="R245" i="1"/>
  <c r="R247" i="1"/>
  <c r="R248" i="1"/>
  <c r="R249" i="1"/>
  <c r="R252" i="1"/>
  <c r="R255" i="1"/>
  <c r="R256" i="1"/>
  <c r="R259" i="1"/>
  <c r="R260" i="1"/>
  <c r="R264" i="1"/>
  <c r="R267" i="1"/>
  <c r="R268" i="1"/>
  <c r="R271" i="1"/>
  <c r="R272" i="1"/>
  <c r="R275" i="1"/>
  <c r="R276" i="1"/>
  <c r="X119" i="1" l="1"/>
  <c r="X47" i="1"/>
  <c r="X179" i="1"/>
  <c r="X171" i="1"/>
  <c r="Z171" i="1" s="1"/>
  <c r="X127" i="1"/>
  <c r="X121" i="1"/>
  <c r="X115" i="1"/>
  <c r="X107" i="1"/>
  <c r="Z107" i="1" s="1"/>
  <c r="X71" i="1"/>
  <c r="X63" i="1"/>
  <c r="Z63" i="1" s="1"/>
  <c r="X57" i="1"/>
  <c r="X51" i="1"/>
  <c r="X159" i="1"/>
  <c r="X101" i="1"/>
  <c r="X165" i="1"/>
  <c r="Y272" i="1"/>
  <c r="X153" i="1"/>
  <c r="X81" i="1"/>
  <c r="Z81" i="1" s="1"/>
  <c r="X141" i="1"/>
  <c r="Z141" i="1" s="1"/>
  <c r="X147" i="1"/>
  <c r="X59" i="1"/>
  <c r="X272" i="1"/>
  <c r="X264" i="1"/>
  <c r="X93" i="1"/>
  <c r="Z93" i="1" s="1"/>
  <c r="Z153" i="1"/>
  <c r="Z159" i="1"/>
  <c r="X35" i="1"/>
  <c r="Z35" i="1" s="1"/>
  <c r="X240" i="1"/>
  <c r="Z240" i="1" s="1"/>
  <c r="X176" i="1"/>
  <c r="X112" i="1"/>
  <c r="Z112" i="1" s="1"/>
  <c r="Z165" i="1"/>
  <c r="Z124" i="1"/>
  <c r="Z71" i="1"/>
  <c r="R206" i="1"/>
  <c r="R130" i="1"/>
  <c r="R198" i="1"/>
  <c r="X200" i="1"/>
  <c r="Z200" i="1" s="1"/>
  <c r="X136" i="1"/>
  <c r="R254" i="1"/>
  <c r="X3" i="1"/>
  <c r="Z3" i="1" s="1"/>
  <c r="Y3" i="1"/>
  <c r="AA3" i="1" s="1"/>
  <c r="Y12" i="1"/>
  <c r="AA12" i="1" s="1"/>
  <c r="X12" i="1"/>
  <c r="Z12" i="1" s="1"/>
  <c r="X8" i="1"/>
  <c r="Z8" i="1" s="1"/>
  <c r="Y8" i="1"/>
  <c r="AA8" i="1" s="1"/>
  <c r="Y24" i="1"/>
  <c r="AA24" i="1" s="1"/>
  <c r="X24" i="1"/>
  <c r="Z24" i="1" s="1"/>
  <c r="Y16" i="1"/>
  <c r="AA16" i="1" s="1"/>
  <c r="X16" i="1"/>
  <c r="Z16" i="1" s="1"/>
  <c r="Y31" i="1"/>
  <c r="AA31" i="1" s="1"/>
  <c r="X31" i="1"/>
  <c r="Y29" i="1"/>
  <c r="AA29" i="1" s="1"/>
  <c r="X29" i="1"/>
  <c r="Z29" i="1" s="1"/>
  <c r="X27" i="1"/>
  <c r="Z27" i="1" s="1"/>
  <c r="Y27" i="1"/>
  <c r="AA27" i="1" s="1"/>
  <c r="X25" i="1"/>
  <c r="Z25" i="1" s="1"/>
  <c r="Y25" i="1"/>
  <c r="AA25" i="1" s="1"/>
  <c r="Y40" i="1"/>
  <c r="AA40" i="1" s="1"/>
  <c r="X40" i="1"/>
  <c r="Y271" i="1"/>
  <c r="AA271" i="1" s="1"/>
  <c r="X271" i="1"/>
  <c r="Z271" i="1" s="1"/>
  <c r="Y267" i="1"/>
  <c r="AA267" i="1" s="1"/>
  <c r="X267" i="1"/>
  <c r="Z267" i="1" s="1"/>
  <c r="Y263" i="1"/>
  <c r="AA263" i="1" s="1"/>
  <c r="X263" i="1"/>
  <c r="Z263" i="1" s="1"/>
  <c r="Y259" i="1"/>
  <c r="AA259" i="1" s="1"/>
  <c r="X259" i="1"/>
  <c r="Z259" i="1" s="1"/>
  <c r="Y253" i="1"/>
  <c r="AA253" i="1" s="1"/>
  <c r="X253" i="1"/>
  <c r="Z253" i="1" s="1"/>
  <c r="Y251" i="1"/>
  <c r="AA251" i="1" s="1"/>
  <c r="X251" i="1"/>
  <c r="Y245" i="1"/>
  <c r="AA245" i="1" s="1"/>
  <c r="X245" i="1"/>
  <c r="Z245" i="1" s="1"/>
  <c r="Y241" i="1"/>
  <c r="AA241" i="1" s="1"/>
  <c r="X241" i="1"/>
  <c r="Z241" i="1" s="1"/>
  <c r="Y239" i="1"/>
  <c r="AA239" i="1" s="1"/>
  <c r="X239" i="1"/>
  <c r="Z239" i="1" s="1"/>
  <c r="Y237" i="1"/>
  <c r="AA237" i="1" s="1"/>
  <c r="X237" i="1"/>
  <c r="Z237" i="1" s="1"/>
  <c r="Y235" i="1"/>
  <c r="AA235" i="1" s="1"/>
  <c r="X235" i="1"/>
  <c r="Z235" i="1" s="1"/>
  <c r="Y233" i="1"/>
  <c r="AA233" i="1" s="1"/>
  <c r="X233" i="1"/>
  <c r="Z233" i="1" s="1"/>
  <c r="Y231" i="1"/>
  <c r="AA231" i="1" s="1"/>
  <c r="X231" i="1"/>
  <c r="Z231" i="1" s="1"/>
  <c r="Y229" i="1"/>
  <c r="AA229" i="1" s="1"/>
  <c r="X229" i="1"/>
  <c r="Z229" i="1" s="1"/>
  <c r="Y227" i="1"/>
  <c r="AA227" i="1" s="1"/>
  <c r="X227" i="1"/>
  <c r="Z227" i="1" s="1"/>
  <c r="Y225" i="1"/>
  <c r="AA225" i="1" s="1"/>
  <c r="X225" i="1"/>
  <c r="Y223" i="1"/>
  <c r="AA223" i="1" s="1"/>
  <c r="X223" i="1"/>
  <c r="Z223" i="1" s="1"/>
  <c r="Y221" i="1"/>
  <c r="AA221" i="1" s="1"/>
  <c r="X221" i="1"/>
  <c r="Z221" i="1" s="1"/>
  <c r="Y219" i="1"/>
  <c r="AA219" i="1" s="1"/>
  <c r="X219" i="1"/>
  <c r="Z219" i="1" s="1"/>
  <c r="Y217" i="1"/>
  <c r="AA217" i="1" s="1"/>
  <c r="X217" i="1"/>
  <c r="Z217" i="1" s="1"/>
  <c r="Y215" i="1"/>
  <c r="AA215" i="1" s="1"/>
  <c r="X215" i="1"/>
  <c r="Z215" i="1" s="1"/>
  <c r="Y211" i="1"/>
  <c r="AA211" i="1" s="1"/>
  <c r="X211" i="1"/>
  <c r="Z211" i="1" s="1"/>
  <c r="Y209" i="1"/>
  <c r="AA209" i="1" s="1"/>
  <c r="X209" i="1"/>
  <c r="Z209" i="1" s="1"/>
  <c r="Y207" i="1"/>
  <c r="AA207" i="1" s="1"/>
  <c r="X207" i="1"/>
  <c r="Z207" i="1" s="1"/>
  <c r="Y203" i="1"/>
  <c r="AA203" i="1" s="1"/>
  <c r="X203" i="1"/>
  <c r="Z203" i="1" s="1"/>
  <c r="Y199" i="1"/>
  <c r="AA199" i="1" s="1"/>
  <c r="X199" i="1"/>
  <c r="Y197" i="1"/>
  <c r="AA197" i="1" s="1"/>
  <c r="X197" i="1"/>
  <c r="Y195" i="1"/>
  <c r="AA195" i="1" s="1"/>
  <c r="X195" i="1"/>
  <c r="Z195" i="1" s="1"/>
  <c r="Y189" i="1"/>
  <c r="AA189" i="1" s="1"/>
  <c r="X189" i="1"/>
  <c r="Z189" i="1" s="1"/>
  <c r="Y187" i="1"/>
  <c r="AA187" i="1" s="1"/>
  <c r="X187" i="1"/>
  <c r="Z187" i="1" s="1"/>
  <c r="Y183" i="1"/>
  <c r="AA183" i="1" s="1"/>
  <c r="X183" i="1"/>
  <c r="Z183" i="1" s="1"/>
  <c r="Y181" i="1"/>
  <c r="AA181" i="1" s="1"/>
  <c r="X181" i="1"/>
  <c r="Z181" i="1" s="1"/>
  <c r="X257" i="1"/>
  <c r="Z257" i="1" s="1"/>
  <c r="X255" i="1"/>
  <c r="Z255" i="1" s="1"/>
  <c r="X249" i="1"/>
  <c r="Z249" i="1" s="1"/>
  <c r="X243" i="1"/>
  <c r="Z243" i="1" s="1"/>
  <c r="X191" i="1"/>
  <c r="Z191" i="1" s="1"/>
  <c r="X185" i="1"/>
  <c r="Z185" i="1" s="1"/>
  <c r="X275" i="1"/>
  <c r="Z31" i="1"/>
  <c r="Y4" i="1"/>
  <c r="AA4" i="1" s="1"/>
  <c r="Y11" i="1"/>
  <c r="AA11" i="1" s="1"/>
  <c r="X7" i="1"/>
  <c r="Z7" i="1" s="1"/>
  <c r="X23" i="1"/>
  <c r="Z23" i="1" s="1"/>
  <c r="Y30" i="1"/>
  <c r="AA30" i="1" s="1"/>
  <c r="Y270" i="1"/>
  <c r="AA270" i="1" s="1"/>
  <c r="Y266" i="1"/>
  <c r="AA266" i="1" s="1"/>
  <c r="Y262" i="1"/>
  <c r="AA262" i="1" s="1"/>
  <c r="Y254" i="1"/>
  <c r="AA254" i="1" s="1"/>
  <c r="Y250" i="1"/>
  <c r="AA250" i="1" s="1"/>
  <c r="Y246" i="1"/>
  <c r="AA246" i="1" s="1"/>
  <c r="Y238" i="1"/>
  <c r="AA238" i="1" s="1"/>
  <c r="Y234" i="1"/>
  <c r="AA234" i="1" s="1"/>
  <c r="Y230" i="1"/>
  <c r="AA230" i="1" s="1"/>
  <c r="Y222" i="1"/>
  <c r="AA222" i="1" s="1"/>
  <c r="Y218" i="1"/>
  <c r="AA218" i="1" s="1"/>
  <c r="Y214" i="1"/>
  <c r="AA214" i="1" s="1"/>
  <c r="Y206" i="1"/>
  <c r="AA206" i="1" s="1"/>
  <c r="Y202" i="1"/>
  <c r="AA202" i="1" s="1"/>
  <c r="Y198" i="1"/>
  <c r="AA198" i="1" s="1"/>
  <c r="Y190" i="1"/>
  <c r="AA190" i="1" s="1"/>
  <c r="Y186" i="1"/>
  <c r="AA186" i="1" s="1"/>
  <c r="Y182" i="1"/>
  <c r="AA182" i="1" s="1"/>
  <c r="Y174" i="1"/>
  <c r="AA174" i="1" s="1"/>
  <c r="Y170" i="1"/>
  <c r="AA170" i="1" s="1"/>
  <c r="Y166" i="1"/>
  <c r="AA166" i="1" s="1"/>
  <c r="Y158" i="1"/>
  <c r="AA158" i="1" s="1"/>
  <c r="Y154" i="1"/>
  <c r="AA154" i="1" s="1"/>
  <c r="Y150" i="1"/>
  <c r="AA150" i="1" s="1"/>
  <c r="Y142" i="1"/>
  <c r="AA142" i="1" s="1"/>
  <c r="Y138" i="1"/>
  <c r="AA138" i="1" s="1"/>
  <c r="Y134" i="1"/>
  <c r="AA134" i="1" s="1"/>
  <c r="Y126" i="1"/>
  <c r="AA126" i="1" s="1"/>
  <c r="Y122" i="1"/>
  <c r="AA122" i="1" s="1"/>
  <c r="Y118" i="1"/>
  <c r="AA118" i="1" s="1"/>
  <c r="Y110" i="1"/>
  <c r="AA110" i="1" s="1"/>
  <c r="Y102" i="1"/>
  <c r="AA102" i="1" s="1"/>
  <c r="Y94" i="1"/>
  <c r="AA94" i="1" s="1"/>
  <c r="Y78" i="1"/>
  <c r="AA78" i="1" s="1"/>
  <c r="Y70" i="1"/>
  <c r="AA70" i="1" s="1"/>
  <c r="Y62" i="1"/>
  <c r="AA62" i="1" s="1"/>
  <c r="Y46" i="1"/>
  <c r="AA46" i="1" s="1"/>
  <c r="X247" i="1"/>
  <c r="X274" i="1"/>
  <c r="X266" i="1"/>
  <c r="Z127" i="1"/>
  <c r="Y6" i="1"/>
  <c r="AA6" i="1" s="1"/>
  <c r="X13" i="1"/>
  <c r="Z13" i="1" s="1"/>
  <c r="Y13" i="1"/>
  <c r="AA13" i="1" s="1"/>
  <c r="Y9" i="1"/>
  <c r="AA9" i="1" s="1"/>
  <c r="X9" i="1"/>
  <c r="Z9" i="1" s="1"/>
  <c r="Y21" i="1"/>
  <c r="AA21" i="1" s="1"/>
  <c r="X21" i="1"/>
  <c r="Z21" i="1" s="1"/>
  <c r="X19" i="1"/>
  <c r="Z19" i="1" s="1"/>
  <c r="Y17" i="1"/>
  <c r="AA17" i="1" s="1"/>
  <c r="X15" i="1"/>
  <c r="Z15" i="1" s="1"/>
  <c r="Y34" i="1"/>
  <c r="AA34" i="1" s="1"/>
  <c r="Y32" i="1"/>
  <c r="AA32" i="1" s="1"/>
  <c r="X32" i="1"/>
  <c r="Z32" i="1" s="1"/>
  <c r="Y28" i="1"/>
  <c r="AA28" i="1" s="1"/>
  <c r="Y26" i="1"/>
  <c r="AA26" i="1" s="1"/>
  <c r="Y41" i="1"/>
  <c r="AA41" i="1" s="1"/>
  <c r="Y39" i="1"/>
  <c r="AA39" i="1" s="1"/>
  <c r="X39" i="1"/>
  <c r="Z39" i="1" s="1"/>
  <c r="Y37" i="1"/>
  <c r="AA37" i="1" s="1"/>
  <c r="X37" i="1"/>
  <c r="Z37" i="1" s="1"/>
  <c r="Y35" i="1"/>
  <c r="AA35" i="1" s="1"/>
  <c r="AA272" i="1"/>
  <c r="Y268" i="1"/>
  <c r="AA268" i="1" s="1"/>
  <c r="Y264" i="1"/>
  <c r="AA264" i="1" s="1"/>
  <c r="Y260" i="1"/>
  <c r="AA260" i="1" s="1"/>
  <c r="Y256" i="1"/>
  <c r="AA256" i="1" s="1"/>
  <c r="Y252" i="1"/>
  <c r="AA252" i="1" s="1"/>
  <c r="Y248" i="1"/>
  <c r="AA248" i="1" s="1"/>
  <c r="Y244" i="1"/>
  <c r="AA244" i="1" s="1"/>
  <c r="Y240" i="1"/>
  <c r="AA240" i="1" s="1"/>
  <c r="Y236" i="1"/>
  <c r="AA236" i="1" s="1"/>
  <c r="Y232" i="1"/>
  <c r="AA232" i="1" s="1"/>
  <c r="Y228" i="1"/>
  <c r="AA228" i="1" s="1"/>
  <c r="Y224" i="1"/>
  <c r="AA224" i="1" s="1"/>
  <c r="Y220" i="1"/>
  <c r="AA220" i="1" s="1"/>
  <c r="Y216" i="1"/>
  <c r="AA216" i="1" s="1"/>
  <c r="Y212" i="1"/>
  <c r="AA212" i="1" s="1"/>
  <c r="Y208" i="1"/>
  <c r="AA208" i="1" s="1"/>
  <c r="Y204" i="1"/>
  <c r="AA204" i="1" s="1"/>
  <c r="Y200" i="1"/>
  <c r="AA200" i="1" s="1"/>
  <c r="Y196" i="1"/>
  <c r="AA196" i="1" s="1"/>
  <c r="Y192" i="1"/>
  <c r="AA192" i="1" s="1"/>
  <c r="Y188" i="1"/>
  <c r="AA188" i="1" s="1"/>
  <c r="Y184" i="1"/>
  <c r="AA184" i="1" s="1"/>
  <c r="Y180" i="1"/>
  <c r="AA180" i="1" s="1"/>
  <c r="Y176" i="1"/>
  <c r="AA176" i="1" s="1"/>
  <c r="Y172" i="1"/>
  <c r="AA172" i="1" s="1"/>
  <c r="Y168" i="1"/>
  <c r="AA168" i="1" s="1"/>
  <c r="Y164" i="1"/>
  <c r="AA164" i="1" s="1"/>
  <c r="Y160" i="1"/>
  <c r="AA160" i="1" s="1"/>
  <c r="Y156" i="1"/>
  <c r="AA156" i="1" s="1"/>
  <c r="Y152" i="1"/>
  <c r="AA152" i="1" s="1"/>
  <c r="Y148" i="1"/>
  <c r="AA148" i="1" s="1"/>
  <c r="Y144" i="1"/>
  <c r="AA144" i="1" s="1"/>
  <c r="Y140" i="1"/>
  <c r="AA140" i="1" s="1"/>
  <c r="Y136" i="1"/>
  <c r="AA136" i="1" s="1"/>
  <c r="Y132" i="1"/>
  <c r="AA132" i="1" s="1"/>
  <c r="Y128" i="1"/>
  <c r="AA128" i="1" s="1"/>
  <c r="Y124" i="1"/>
  <c r="AA124" i="1" s="1"/>
  <c r="Y120" i="1"/>
  <c r="AA120" i="1" s="1"/>
  <c r="Y116" i="1"/>
  <c r="AA116" i="1" s="1"/>
  <c r="Y112" i="1"/>
  <c r="AA112" i="1" s="1"/>
  <c r="Y108" i="1"/>
  <c r="AA108" i="1" s="1"/>
  <c r="Y106" i="1"/>
  <c r="AA106" i="1" s="1"/>
  <c r="Y104" i="1"/>
  <c r="AA104" i="1" s="1"/>
  <c r="Y100" i="1"/>
  <c r="AA100" i="1" s="1"/>
  <c r="Y98" i="1"/>
  <c r="AA98" i="1" s="1"/>
  <c r="Y96" i="1"/>
  <c r="AA96" i="1" s="1"/>
  <c r="Y92" i="1"/>
  <c r="AA92" i="1" s="1"/>
  <c r="Y90" i="1"/>
  <c r="AA90" i="1" s="1"/>
  <c r="Y88" i="1"/>
  <c r="AA88" i="1" s="1"/>
  <c r="Y84" i="1"/>
  <c r="AA84" i="1" s="1"/>
  <c r="Y82" i="1"/>
  <c r="AA82" i="1" s="1"/>
  <c r="Y80" i="1"/>
  <c r="AA80" i="1" s="1"/>
  <c r="Y76" i="1"/>
  <c r="AA76" i="1" s="1"/>
  <c r="Y74" i="1"/>
  <c r="AA74" i="1" s="1"/>
  <c r="Y72" i="1"/>
  <c r="AA72" i="1" s="1"/>
  <c r="X72" i="1"/>
  <c r="Z72" i="1" s="1"/>
  <c r="Y68" i="1"/>
  <c r="AA68" i="1" s="1"/>
  <c r="Y66" i="1"/>
  <c r="AA66" i="1" s="1"/>
  <c r="Y64" i="1"/>
  <c r="AA64" i="1" s="1"/>
  <c r="Y60" i="1"/>
  <c r="AA60" i="1" s="1"/>
  <c r="X60" i="1"/>
  <c r="Z60" i="1" s="1"/>
  <c r="Y58" i="1"/>
  <c r="AA58" i="1" s="1"/>
  <c r="Y56" i="1"/>
  <c r="AA56" i="1" s="1"/>
  <c r="X56" i="1"/>
  <c r="Z56" i="1" s="1"/>
  <c r="Y52" i="1"/>
  <c r="AA52" i="1" s="1"/>
  <c r="Y50" i="1"/>
  <c r="AA50" i="1" s="1"/>
  <c r="Y48" i="1"/>
  <c r="AA48" i="1" s="1"/>
  <c r="X48" i="1"/>
  <c r="Z48" i="1" s="1"/>
  <c r="Y44" i="1"/>
  <c r="AA44" i="1" s="1"/>
  <c r="X44" i="1"/>
  <c r="Z44" i="1" s="1"/>
  <c r="Y42" i="1"/>
  <c r="AA42" i="1" s="1"/>
  <c r="X268" i="1"/>
  <c r="Z268" i="1" s="1"/>
  <c r="X256" i="1"/>
  <c r="Z256" i="1" s="1"/>
  <c r="X216" i="1"/>
  <c r="Z216" i="1" s="1"/>
  <c r="X204" i="1"/>
  <c r="Z204" i="1" s="1"/>
  <c r="X192" i="1"/>
  <c r="Z192" i="1" s="1"/>
  <c r="X175" i="1"/>
  <c r="Z175" i="1" s="1"/>
  <c r="X169" i="1"/>
  <c r="Z169" i="1" s="1"/>
  <c r="X163" i="1"/>
  <c r="Z163" i="1" s="1"/>
  <c r="X157" i="1"/>
  <c r="Z157" i="1" s="1"/>
  <c r="X152" i="1"/>
  <c r="Z152" i="1" s="1"/>
  <c r="X145" i="1"/>
  <c r="Z145" i="1" s="1"/>
  <c r="X140" i="1"/>
  <c r="Z140" i="1" s="1"/>
  <c r="X135" i="1"/>
  <c r="Z135" i="1" s="1"/>
  <c r="X128" i="1"/>
  <c r="Z128" i="1" s="1"/>
  <c r="X123" i="1"/>
  <c r="Z123" i="1" s="1"/>
  <c r="X117" i="1"/>
  <c r="Z117" i="1" s="1"/>
  <c r="X111" i="1"/>
  <c r="Z111" i="1" s="1"/>
  <c r="X105" i="1"/>
  <c r="X99" i="1"/>
  <c r="Z99" i="1" s="1"/>
  <c r="X92" i="1"/>
  <c r="Z92" i="1" s="1"/>
  <c r="X80" i="1"/>
  <c r="Z80" i="1" s="1"/>
  <c r="X69" i="1"/>
  <c r="Z69" i="1" s="1"/>
  <c r="X11" i="1"/>
  <c r="Z11" i="1" s="1"/>
  <c r="Y7" i="1"/>
  <c r="AA7" i="1" s="1"/>
  <c r="Y19" i="1"/>
  <c r="AA19" i="1" s="1"/>
  <c r="W270" i="1"/>
  <c r="X270" i="1" s="1"/>
  <c r="R270" i="1"/>
  <c r="W262" i="1"/>
  <c r="X262" i="1" s="1"/>
  <c r="R262" i="1"/>
  <c r="Z247" i="1"/>
  <c r="Z252" i="1"/>
  <c r="Z59" i="1"/>
  <c r="Z40" i="1"/>
  <c r="Z251" i="1"/>
  <c r="Z179" i="1"/>
  <c r="Z272" i="1"/>
  <c r="X232" i="1"/>
  <c r="Z232" i="1" s="1"/>
  <c r="X220" i="1"/>
  <c r="Z220" i="1" s="1"/>
  <c r="X208" i="1"/>
  <c r="Z208" i="1" s="1"/>
  <c r="X173" i="1"/>
  <c r="Z173" i="1" s="1"/>
  <c r="X168" i="1"/>
  <c r="Z168" i="1" s="1"/>
  <c r="X161" i="1"/>
  <c r="X156" i="1"/>
  <c r="Z156" i="1" s="1"/>
  <c r="X151" i="1"/>
  <c r="Z151" i="1" s="1"/>
  <c r="X144" i="1"/>
  <c r="Z144" i="1" s="1"/>
  <c r="X139" i="1"/>
  <c r="Z139" i="1" s="1"/>
  <c r="X133" i="1"/>
  <c r="X104" i="1"/>
  <c r="Z104" i="1" s="1"/>
  <c r="X97" i="1"/>
  <c r="Z97" i="1" s="1"/>
  <c r="X88" i="1"/>
  <c r="Z88" i="1" s="1"/>
  <c r="X76" i="1"/>
  <c r="Z76" i="1" s="1"/>
  <c r="X64" i="1"/>
  <c r="Z64" i="1" s="1"/>
  <c r="X53" i="1"/>
  <c r="Z53" i="1" s="1"/>
  <c r="X41" i="1"/>
  <c r="Z41" i="1" s="1"/>
  <c r="X17" i="1"/>
  <c r="Z17" i="1" s="1"/>
  <c r="Y15" i="1"/>
  <c r="AA15" i="1" s="1"/>
  <c r="Y95" i="1"/>
  <c r="AA95" i="1" s="1"/>
  <c r="X95" i="1"/>
  <c r="Z95" i="1" s="1"/>
  <c r="X91" i="1"/>
  <c r="Z91" i="1" s="1"/>
  <c r="Y91" i="1"/>
  <c r="AA91" i="1" s="1"/>
  <c r="Y89" i="1"/>
  <c r="AA89" i="1" s="1"/>
  <c r="X89" i="1"/>
  <c r="Z89" i="1" s="1"/>
  <c r="Y85" i="1"/>
  <c r="AA85" i="1" s="1"/>
  <c r="X85" i="1"/>
  <c r="Z85" i="1" s="1"/>
  <c r="X83" i="1"/>
  <c r="Z83" i="1" s="1"/>
  <c r="Y83" i="1"/>
  <c r="AA83" i="1" s="1"/>
  <c r="Y79" i="1"/>
  <c r="AA79" i="1" s="1"/>
  <c r="X79" i="1"/>
  <c r="Z79" i="1" s="1"/>
  <c r="Y77" i="1"/>
  <c r="AA77" i="1" s="1"/>
  <c r="X77" i="1"/>
  <c r="Z77" i="1" s="1"/>
  <c r="Y73" i="1"/>
  <c r="AA73" i="1" s="1"/>
  <c r="X73" i="1"/>
  <c r="Z73" i="1" s="1"/>
  <c r="X67" i="1"/>
  <c r="Z67" i="1" s="1"/>
  <c r="Y67" i="1"/>
  <c r="AA67" i="1" s="1"/>
  <c r="Y65" i="1"/>
  <c r="AA65" i="1" s="1"/>
  <c r="X65" i="1"/>
  <c r="Z65" i="1" s="1"/>
  <c r="Y61" i="1"/>
  <c r="AA61" i="1" s="1"/>
  <c r="X61" i="1"/>
  <c r="Z61" i="1" s="1"/>
  <c r="Y55" i="1"/>
  <c r="AA55" i="1" s="1"/>
  <c r="X55" i="1"/>
  <c r="Z55" i="1" s="1"/>
  <c r="X43" i="1"/>
  <c r="Z43" i="1" s="1"/>
  <c r="Y43" i="1"/>
  <c r="AA43" i="1" s="1"/>
  <c r="X248" i="1"/>
  <c r="Z248" i="1" s="1"/>
  <c r="X236" i="1"/>
  <c r="Z236" i="1" s="1"/>
  <c r="X224" i="1"/>
  <c r="Z224" i="1" s="1"/>
  <c r="X184" i="1"/>
  <c r="Z184" i="1" s="1"/>
  <c r="X177" i="1"/>
  <c r="Z177" i="1" s="1"/>
  <c r="X172" i="1"/>
  <c r="Z172" i="1" s="1"/>
  <c r="X167" i="1"/>
  <c r="Z167" i="1" s="1"/>
  <c r="X160" i="1"/>
  <c r="X155" i="1"/>
  <c r="Z155" i="1" s="1"/>
  <c r="X149" i="1"/>
  <c r="Z149" i="1" s="1"/>
  <c r="X143" i="1"/>
  <c r="Z143" i="1" s="1"/>
  <c r="X131" i="1"/>
  <c r="Z131" i="1" s="1"/>
  <c r="X125" i="1"/>
  <c r="Z125" i="1" s="1"/>
  <c r="X120" i="1"/>
  <c r="Z120" i="1" s="1"/>
  <c r="X108" i="1"/>
  <c r="Z108" i="1" s="1"/>
  <c r="X103" i="1"/>
  <c r="X96" i="1"/>
  <c r="Z96" i="1" s="1"/>
  <c r="X87" i="1"/>
  <c r="Z87" i="1" s="1"/>
  <c r="X75" i="1"/>
  <c r="Z75" i="1" s="1"/>
  <c r="X28" i="1"/>
  <c r="X260" i="1"/>
  <c r="Z260" i="1" s="1"/>
  <c r="X196" i="1"/>
  <c r="Z196" i="1" s="1"/>
  <c r="X132" i="1"/>
  <c r="Z132" i="1" s="1"/>
  <c r="X68" i="1"/>
  <c r="Z68" i="1" s="1"/>
  <c r="X4" i="1"/>
  <c r="Z4" i="1" s="1"/>
  <c r="W2" i="1"/>
  <c r="X2" i="1" s="1"/>
  <c r="Z2" i="1" s="1"/>
  <c r="W273" i="1"/>
  <c r="X273" i="1" s="1"/>
  <c r="R273" i="1"/>
  <c r="W269" i="1"/>
  <c r="X269" i="1" s="1"/>
  <c r="R269" i="1"/>
  <c r="R265" i="1"/>
  <c r="W265" i="1"/>
  <c r="X265" i="1" s="1"/>
  <c r="W261" i="1"/>
  <c r="X261" i="1" s="1"/>
  <c r="R261" i="1"/>
  <c r="X228" i="1"/>
  <c r="Z228" i="1" s="1"/>
  <c r="X164" i="1"/>
  <c r="Z164" i="1" s="1"/>
  <c r="X100" i="1"/>
  <c r="Z100" i="1" s="1"/>
  <c r="X36" i="1"/>
  <c r="Z36" i="1" s="1"/>
  <c r="W213" i="1"/>
  <c r="X213" i="1" s="1"/>
  <c r="R213" i="1"/>
  <c r="W193" i="1"/>
  <c r="X193" i="1" s="1"/>
  <c r="R193" i="1"/>
  <c r="W129" i="1"/>
  <c r="X129" i="1" s="1"/>
  <c r="R129" i="1"/>
  <c r="W113" i="1"/>
  <c r="X113" i="1" s="1"/>
  <c r="R113" i="1"/>
  <c r="W49" i="1"/>
  <c r="X49" i="1" s="1"/>
  <c r="R49" i="1"/>
  <c r="W33" i="1"/>
  <c r="X33" i="1" s="1"/>
  <c r="R33" i="1"/>
  <c r="W5" i="1"/>
  <c r="X5" i="1" s="1"/>
  <c r="R5" i="1"/>
  <c r="R133" i="1"/>
  <c r="R105" i="1"/>
  <c r="W201" i="1"/>
  <c r="X201" i="1" s="1"/>
  <c r="Z201" i="1" s="1"/>
  <c r="W137" i="1"/>
  <c r="X137" i="1" s="1"/>
  <c r="Z137" i="1" s="1"/>
  <c r="R197" i="1"/>
  <c r="R101" i="1"/>
  <c r="Z101" i="1" s="1"/>
  <c r="X244" i="1"/>
  <c r="Z244" i="1" s="1"/>
  <c r="X212" i="1"/>
  <c r="Z212" i="1" s="1"/>
  <c r="W205" i="1"/>
  <c r="X205" i="1" s="1"/>
  <c r="Z205" i="1" s="1"/>
  <c r="X180" i="1"/>
  <c r="Z180" i="1" s="1"/>
  <c r="X148" i="1"/>
  <c r="Z148" i="1" s="1"/>
  <c r="X116" i="1"/>
  <c r="Z116" i="1" s="1"/>
  <c r="W109" i="1"/>
  <c r="X109" i="1" s="1"/>
  <c r="Z109" i="1" s="1"/>
  <c r="X84" i="1"/>
  <c r="Z84" i="1" s="1"/>
  <c r="X52" i="1"/>
  <c r="Z52" i="1" s="1"/>
  <c r="W45" i="1"/>
  <c r="X45" i="1" s="1"/>
  <c r="Z45" i="1" s="1"/>
  <c r="X20" i="1"/>
  <c r="Z20" i="1" s="1"/>
  <c r="X276" i="1"/>
  <c r="Z276" i="1" s="1"/>
  <c r="R214" i="1"/>
  <c r="R154" i="1"/>
  <c r="R222" i="1"/>
  <c r="X258" i="1"/>
  <c r="X254" i="1"/>
  <c r="X250" i="1"/>
  <c r="X246" i="1"/>
  <c r="X242" i="1"/>
  <c r="X238" i="1"/>
  <c r="X230" i="1"/>
  <c r="X222" i="1"/>
  <c r="Z222" i="1" s="1"/>
  <c r="X218" i="1"/>
  <c r="X214" i="1"/>
  <c r="Z214" i="1" s="1"/>
  <c r="X210" i="1"/>
  <c r="X206" i="1"/>
  <c r="X202" i="1"/>
  <c r="X198" i="1"/>
  <c r="X190" i="1"/>
  <c r="X182" i="1"/>
  <c r="X178" i="1"/>
  <c r="X174" i="1"/>
  <c r="X170" i="1"/>
  <c r="X166" i="1"/>
  <c r="X154" i="1"/>
  <c r="X138" i="1"/>
  <c r="X130" i="1"/>
  <c r="X122" i="1"/>
  <c r="X114" i="1"/>
  <c r="X106" i="1"/>
  <c r="X98" i="1"/>
  <c r="X94" i="1"/>
  <c r="X90" i="1"/>
  <c r="X86" i="1"/>
  <c r="X82" i="1"/>
  <c r="Z82" i="1" s="1"/>
  <c r="X66" i="1"/>
  <c r="X26" i="1"/>
  <c r="X18" i="1"/>
  <c r="W234" i="1"/>
  <c r="X234" i="1" s="1"/>
  <c r="R234" i="1"/>
  <c r="W194" i="1"/>
  <c r="X194" i="1" s="1"/>
  <c r="R194" i="1"/>
  <c r="W162" i="1"/>
  <c r="X162" i="1" s="1"/>
  <c r="R162" i="1"/>
  <c r="R158" i="1"/>
  <c r="W158" i="1"/>
  <c r="X158" i="1" s="1"/>
  <c r="W150" i="1"/>
  <c r="X150" i="1" s="1"/>
  <c r="R150" i="1"/>
  <c r="W146" i="1"/>
  <c r="X146" i="1" s="1"/>
  <c r="R146" i="1"/>
  <c r="R142" i="1"/>
  <c r="W142" i="1"/>
  <c r="X142" i="1" s="1"/>
  <c r="W134" i="1"/>
  <c r="X134" i="1" s="1"/>
  <c r="R134" i="1"/>
  <c r="W126" i="1"/>
  <c r="X126" i="1" s="1"/>
  <c r="R126" i="1"/>
  <c r="W118" i="1"/>
  <c r="X118" i="1" s="1"/>
  <c r="R118" i="1"/>
  <c r="W110" i="1"/>
  <c r="X110" i="1" s="1"/>
  <c r="R110" i="1"/>
  <c r="W102" i="1"/>
  <c r="X102" i="1" s="1"/>
  <c r="R102" i="1"/>
  <c r="W78" i="1"/>
  <c r="X78" i="1" s="1"/>
  <c r="R78" i="1"/>
  <c r="W74" i="1"/>
  <c r="X74" i="1" s="1"/>
  <c r="R74" i="1"/>
  <c r="R70" i="1"/>
  <c r="W70" i="1"/>
  <c r="X70" i="1" s="1"/>
  <c r="W62" i="1"/>
  <c r="X62" i="1" s="1"/>
  <c r="R62" i="1"/>
  <c r="R58" i="1"/>
  <c r="W58" i="1"/>
  <c r="X58" i="1" s="1"/>
  <c r="W54" i="1"/>
  <c r="X54" i="1" s="1"/>
  <c r="R54" i="1"/>
  <c r="R50" i="1"/>
  <c r="W50" i="1"/>
  <c r="X50" i="1" s="1"/>
  <c r="W46" i="1"/>
  <c r="X46" i="1" s="1"/>
  <c r="R46" i="1"/>
  <c r="R42" i="1"/>
  <c r="W42" i="1"/>
  <c r="X42" i="1" s="1"/>
  <c r="W38" i="1"/>
  <c r="X38" i="1" s="1"/>
  <c r="R38" i="1"/>
  <c r="R34" i="1"/>
  <c r="W34" i="1"/>
  <c r="X34" i="1" s="1"/>
  <c r="W30" i="1"/>
  <c r="X30" i="1" s="1"/>
  <c r="R30" i="1"/>
  <c r="W14" i="1"/>
  <c r="X14" i="1" s="1"/>
  <c r="R14" i="1"/>
  <c r="R10" i="1"/>
  <c r="W10" i="1"/>
  <c r="X10" i="1" s="1"/>
  <c r="W6" i="1"/>
  <c r="X6" i="1" s="1"/>
  <c r="R6" i="1"/>
  <c r="R250" i="1"/>
  <c r="R246" i="1"/>
  <c r="R242" i="1"/>
  <c r="Z225" i="1"/>
  <c r="Z199" i="1"/>
  <c r="R98" i="1"/>
  <c r="R94" i="1"/>
  <c r="R90" i="1"/>
  <c r="R86" i="1"/>
  <c r="R138" i="1"/>
  <c r="Z138" i="1" s="1"/>
  <c r="R106" i="1"/>
  <c r="R66" i="1"/>
  <c r="R226" i="1"/>
  <c r="W226" i="1"/>
  <c r="X226" i="1" s="1"/>
  <c r="Z188" i="1"/>
  <c r="R26" i="1"/>
  <c r="R274" i="1"/>
  <c r="R266" i="1"/>
  <c r="R258" i="1"/>
  <c r="R238" i="1"/>
  <c r="R218" i="1"/>
  <c r="R210" i="1"/>
  <c r="R202" i="1"/>
  <c r="R182" i="1"/>
  <c r="R114" i="1"/>
  <c r="W186" i="1"/>
  <c r="X186" i="1" s="1"/>
  <c r="R186" i="1"/>
  <c r="R22" i="1"/>
  <c r="W22" i="1"/>
  <c r="X22" i="1" s="1"/>
  <c r="Z161" i="1"/>
  <c r="R178" i="1"/>
  <c r="R174" i="1"/>
  <c r="Z174" i="1" s="1"/>
  <c r="R170" i="1"/>
  <c r="R166" i="1"/>
  <c r="Z119" i="1"/>
  <c r="Z103" i="1"/>
  <c r="R230" i="1"/>
  <c r="R190" i="1"/>
  <c r="R122" i="1"/>
  <c r="Z57" i="1"/>
  <c r="R18" i="1"/>
  <c r="Z121" i="1"/>
  <c r="Z176" i="1"/>
  <c r="Z147" i="1"/>
  <c r="Z115" i="1"/>
  <c r="Z275" i="1"/>
  <c r="Z264" i="1"/>
  <c r="Z160" i="1"/>
  <c r="Z136" i="1"/>
  <c r="Z51" i="1"/>
  <c r="Z47" i="1"/>
  <c r="Z28" i="1"/>
  <c r="Z5" i="1" l="1"/>
  <c r="Z238" i="1"/>
  <c r="Z86" i="1"/>
  <c r="Z206" i="1"/>
  <c r="Z18" i="1"/>
  <c r="R277" i="1"/>
  <c r="Z49" i="1"/>
  <c r="Z129" i="1"/>
  <c r="Z273" i="1"/>
  <c r="Z74" i="1"/>
  <c r="Z186" i="1"/>
  <c r="Z150" i="1"/>
  <c r="Z130" i="1"/>
  <c r="Z258" i="1"/>
  <c r="Z226" i="1"/>
  <c r="Z106" i="1"/>
  <c r="Z198" i="1"/>
  <c r="Z166" i="1"/>
  <c r="Z62" i="1"/>
  <c r="Z102" i="1"/>
  <c r="Z118" i="1"/>
  <c r="Z134" i="1"/>
  <c r="Z146" i="1"/>
  <c r="Z158" i="1"/>
  <c r="Z194" i="1"/>
  <c r="Z262" i="1"/>
  <c r="Z98" i="1"/>
  <c r="Z190" i="1"/>
  <c r="Z6" i="1"/>
  <c r="Z14" i="1"/>
  <c r="Z250" i="1"/>
  <c r="Z154" i="1"/>
  <c r="Z254" i="1"/>
  <c r="Z34" i="1"/>
  <c r="Z42" i="1"/>
  <c r="Z50" i="1"/>
  <c r="Z58" i="1"/>
  <c r="Z70" i="1"/>
  <c r="Z126" i="1"/>
  <c r="Z142" i="1"/>
  <c r="Z234" i="1"/>
  <c r="Z66" i="1"/>
  <c r="Z94" i="1"/>
  <c r="Z246" i="1"/>
  <c r="Z197" i="1"/>
  <c r="Z33" i="1"/>
  <c r="Z193" i="1"/>
  <c r="Z261" i="1"/>
  <c r="Z26" i="1"/>
  <c r="Z122" i="1"/>
  <c r="Z182" i="1"/>
  <c r="Z270" i="1"/>
  <c r="Z105" i="1"/>
  <c r="Z78" i="1"/>
  <c r="Z110" i="1"/>
  <c r="Z162" i="1"/>
  <c r="Z170" i="1"/>
  <c r="Z230" i="1"/>
  <c r="Z213" i="1"/>
  <c r="Z265" i="1"/>
  <c r="Z133" i="1"/>
  <c r="Z274" i="1"/>
  <c r="Z54" i="1"/>
  <c r="Z266" i="1"/>
  <c r="Z22" i="1"/>
  <c r="Z210" i="1"/>
  <c r="Z10" i="1"/>
  <c r="Z30" i="1"/>
  <c r="Z38" i="1"/>
  <c r="Z46" i="1"/>
  <c r="Z90" i="1"/>
  <c r="Z114" i="1"/>
  <c r="Z178" i="1"/>
  <c r="Z202" i="1"/>
  <c r="Z113" i="1"/>
  <c r="Z269" i="1"/>
  <c r="Z218" i="1"/>
  <c r="Z242" i="1"/>
  <c r="X277" i="1"/>
  <c r="Y277" i="1"/>
  <c r="AA277" i="1"/>
  <c r="Z277" i="1" l="1"/>
</calcChain>
</file>

<file path=xl/sharedStrings.xml><?xml version="1.0" encoding="utf-8"?>
<sst xmlns="http://schemas.openxmlformats.org/spreadsheetml/2006/main" count="25" uniqueCount="20">
  <si>
    <t>date_base</t>
  </si>
  <si>
    <t>date_pred</t>
  </si>
  <si>
    <t>index_pred</t>
  </si>
  <si>
    <t>index_real</t>
  </si>
  <si>
    <t>index_today</t>
  </si>
  <si>
    <t>loss_profits</t>
  </si>
  <si>
    <t>prediction</t>
  </si>
  <si>
    <t>real</t>
  </si>
  <si>
    <t>accuracy</t>
  </si>
  <si>
    <t xml:space="preserve"> RMSE</t>
  </si>
  <si>
    <t>5일</t>
    <phoneticPr fontId="18" type="noConversion"/>
  </si>
  <si>
    <t>20일</t>
    <phoneticPr fontId="18" type="noConversion"/>
  </si>
  <si>
    <t>앙상블</t>
  </si>
  <si>
    <t>앙상블</t>
    <phoneticPr fontId="18" type="noConversion"/>
  </si>
  <si>
    <t>BT</t>
    <phoneticPr fontId="18" type="noConversion"/>
  </si>
  <si>
    <t>BB</t>
    <phoneticPr fontId="18" type="noConversion"/>
  </si>
  <si>
    <t xml:space="preserve">앙상블 </t>
    <phoneticPr fontId="18" type="noConversion"/>
  </si>
  <si>
    <t>original</t>
    <phoneticPr fontId="18" type="noConversion"/>
  </si>
  <si>
    <t>5일</t>
  </si>
  <si>
    <t>20일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</si>
</sst>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vdiff_ensemble_65_1_100_0.001_2!$W$1</c:f>
              <c:strCache>
                <c:ptCount val="1"/>
                <c:pt idx="0">
                  <c:v>앙상블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vdiff_ensemble_65_1_100_0.001_2!$T$2:$T$276</c:f>
              <c:numCache>
                <c:formatCode>m/d/yyyy</c:formatCode>
                <c:ptCount val="275"/>
                <c:pt idx="0">
                  <c:v>42916</c:v>
                </c:pt>
                <c:pt idx="1">
                  <c:v>42919</c:v>
                </c:pt>
                <c:pt idx="2">
                  <c:v>42920</c:v>
                </c:pt>
                <c:pt idx="3">
                  <c:v>42921</c:v>
                </c:pt>
                <c:pt idx="4">
                  <c:v>42922</c:v>
                </c:pt>
                <c:pt idx="5">
                  <c:v>42923</c:v>
                </c:pt>
                <c:pt idx="6">
                  <c:v>42926</c:v>
                </c:pt>
                <c:pt idx="7">
                  <c:v>42927</c:v>
                </c:pt>
                <c:pt idx="8">
                  <c:v>42928</c:v>
                </c:pt>
                <c:pt idx="9">
                  <c:v>42929</c:v>
                </c:pt>
                <c:pt idx="10">
                  <c:v>42930</c:v>
                </c:pt>
                <c:pt idx="11">
                  <c:v>42933</c:v>
                </c:pt>
                <c:pt idx="12">
                  <c:v>42934</c:v>
                </c:pt>
                <c:pt idx="13">
                  <c:v>42935</c:v>
                </c:pt>
                <c:pt idx="14">
                  <c:v>42936</c:v>
                </c:pt>
                <c:pt idx="15">
                  <c:v>42937</c:v>
                </c:pt>
                <c:pt idx="16">
                  <c:v>42940</c:v>
                </c:pt>
                <c:pt idx="17">
                  <c:v>42941</c:v>
                </c:pt>
                <c:pt idx="18">
                  <c:v>42942</c:v>
                </c:pt>
                <c:pt idx="19">
                  <c:v>42943</c:v>
                </c:pt>
                <c:pt idx="20">
                  <c:v>42944</c:v>
                </c:pt>
                <c:pt idx="21">
                  <c:v>42947</c:v>
                </c:pt>
                <c:pt idx="22">
                  <c:v>42948</c:v>
                </c:pt>
                <c:pt idx="23">
                  <c:v>42949</c:v>
                </c:pt>
                <c:pt idx="24">
                  <c:v>42950</c:v>
                </c:pt>
                <c:pt idx="25">
                  <c:v>42951</c:v>
                </c:pt>
                <c:pt idx="26">
                  <c:v>42954</c:v>
                </c:pt>
                <c:pt idx="27">
                  <c:v>42955</c:v>
                </c:pt>
                <c:pt idx="28">
                  <c:v>42956</c:v>
                </c:pt>
                <c:pt idx="29">
                  <c:v>42957</c:v>
                </c:pt>
                <c:pt idx="30">
                  <c:v>42958</c:v>
                </c:pt>
                <c:pt idx="31">
                  <c:v>42961</c:v>
                </c:pt>
                <c:pt idx="32">
                  <c:v>42962</c:v>
                </c:pt>
                <c:pt idx="33">
                  <c:v>42963</c:v>
                </c:pt>
                <c:pt idx="34">
                  <c:v>42964</c:v>
                </c:pt>
                <c:pt idx="35">
                  <c:v>42965</c:v>
                </c:pt>
                <c:pt idx="36">
                  <c:v>42968</c:v>
                </c:pt>
                <c:pt idx="37">
                  <c:v>42969</c:v>
                </c:pt>
                <c:pt idx="38">
                  <c:v>42970</c:v>
                </c:pt>
                <c:pt idx="39">
                  <c:v>42971</c:v>
                </c:pt>
                <c:pt idx="40">
                  <c:v>42972</c:v>
                </c:pt>
                <c:pt idx="41">
                  <c:v>42975</c:v>
                </c:pt>
                <c:pt idx="42">
                  <c:v>42976</c:v>
                </c:pt>
                <c:pt idx="43">
                  <c:v>42977</c:v>
                </c:pt>
                <c:pt idx="44">
                  <c:v>42978</c:v>
                </c:pt>
                <c:pt idx="45">
                  <c:v>42979</c:v>
                </c:pt>
                <c:pt idx="46">
                  <c:v>42982</c:v>
                </c:pt>
                <c:pt idx="47">
                  <c:v>42983</c:v>
                </c:pt>
                <c:pt idx="48">
                  <c:v>42984</c:v>
                </c:pt>
                <c:pt idx="49">
                  <c:v>42985</c:v>
                </c:pt>
                <c:pt idx="50">
                  <c:v>42986</c:v>
                </c:pt>
                <c:pt idx="51">
                  <c:v>42989</c:v>
                </c:pt>
                <c:pt idx="52">
                  <c:v>42990</c:v>
                </c:pt>
                <c:pt idx="53">
                  <c:v>42991</c:v>
                </c:pt>
                <c:pt idx="54">
                  <c:v>42992</c:v>
                </c:pt>
                <c:pt idx="55">
                  <c:v>42993</c:v>
                </c:pt>
                <c:pt idx="56">
                  <c:v>42996</c:v>
                </c:pt>
                <c:pt idx="57">
                  <c:v>42997</c:v>
                </c:pt>
                <c:pt idx="58">
                  <c:v>42998</c:v>
                </c:pt>
                <c:pt idx="59">
                  <c:v>42999</c:v>
                </c:pt>
                <c:pt idx="60">
                  <c:v>43000</c:v>
                </c:pt>
                <c:pt idx="61">
                  <c:v>43003</c:v>
                </c:pt>
                <c:pt idx="62">
                  <c:v>43004</c:v>
                </c:pt>
                <c:pt idx="63">
                  <c:v>43005</c:v>
                </c:pt>
                <c:pt idx="64">
                  <c:v>43006</c:v>
                </c:pt>
                <c:pt idx="65">
                  <c:v>43007</c:v>
                </c:pt>
                <c:pt idx="66">
                  <c:v>43010</c:v>
                </c:pt>
                <c:pt idx="67">
                  <c:v>43011</c:v>
                </c:pt>
                <c:pt idx="68">
                  <c:v>43012</c:v>
                </c:pt>
                <c:pt idx="69">
                  <c:v>43013</c:v>
                </c:pt>
                <c:pt idx="70">
                  <c:v>43014</c:v>
                </c:pt>
                <c:pt idx="71">
                  <c:v>43017</c:v>
                </c:pt>
                <c:pt idx="72">
                  <c:v>43018</c:v>
                </c:pt>
                <c:pt idx="73">
                  <c:v>43019</c:v>
                </c:pt>
                <c:pt idx="74">
                  <c:v>43020</c:v>
                </c:pt>
                <c:pt idx="75">
                  <c:v>43021</c:v>
                </c:pt>
                <c:pt idx="76">
                  <c:v>43024</c:v>
                </c:pt>
                <c:pt idx="77">
                  <c:v>43025</c:v>
                </c:pt>
                <c:pt idx="78">
                  <c:v>43026</c:v>
                </c:pt>
                <c:pt idx="79">
                  <c:v>43027</c:v>
                </c:pt>
                <c:pt idx="80">
                  <c:v>43028</c:v>
                </c:pt>
                <c:pt idx="81">
                  <c:v>43031</c:v>
                </c:pt>
                <c:pt idx="82">
                  <c:v>43032</c:v>
                </c:pt>
                <c:pt idx="83">
                  <c:v>43033</c:v>
                </c:pt>
                <c:pt idx="84">
                  <c:v>43034</c:v>
                </c:pt>
                <c:pt idx="85">
                  <c:v>43035</c:v>
                </c:pt>
                <c:pt idx="86">
                  <c:v>43038</c:v>
                </c:pt>
                <c:pt idx="87">
                  <c:v>43039</c:v>
                </c:pt>
                <c:pt idx="88">
                  <c:v>43040</c:v>
                </c:pt>
                <c:pt idx="89">
                  <c:v>43041</c:v>
                </c:pt>
                <c:pt idx="90">
                  <c:v>43042</c:v>
                </c:pt>
                <c:pt idx="91">
                  <c:v>43045</c:v>
                </c:pt>
                <c:pt idx="92">
                  <c:v>43046</c:v>
                </c:pt>
                <c:pt idx="93">
                  <c:v>43047</c:v>
                </c:pt>
                <c:pt idx="94">
                  <c:v>43048</c:v>
                </c:pt>
                <c:pt idx="95">
                  <c:v>43049</c:v>
                </c:pt>
                <c:pt idx="96">
                  <c:v>43052</c:v>
                </c:pt>
                <c:pt idx="97">
                  <c:v>43053</c:v>
                </c:pt>
                <c:pt idx="98">
                  <c:v>43054</c:v>
                </c:pt>
                <c:pt idx="99">
                  <c:v>43055</c:v>
                </c:pt>
                <c:pt idx="100">
                  <c:v>43056</c:v>
                </c:pt>
                <c:pt idx="101">
                  <c:v>43059</c:v>
                </c:pt>
                <c:pt idx="102">
                  <c:v>43060</c:v>
                </c:pt>
                <c:pt idx="103">
                  <c:v>43061</c:v>
                </c:pt>
                <c:pt idx="104">
                  <c:v>43062</c:v>
                </c:pt>
                <c:pt idx="105">
                  <c:v>43063</c:v>
                </c:pt>
                <c:pt idx="106">
                  <c:v>43066</c:v>
                </c:pt>
                <c:pt idx="107">
                  <c:v>43067</c:v>
                </c:pt>
                <c:pt idx="108">
                  <c:v>43068</c:v>
                </c:pt>
                <c:pt idx="109">
                  <c:v>43069</c:v>
                </c:pt>
                <c:pt idx="110">
                  <c:v>43070</c:v>
                </c:pt>
                <c:pt idx="111">
                  <c:v>43073</c:v>
                </c:pt>
                <c:pt idx="112">
                  <c:v>43074</c:v>
                </c:pt>
                <c:pt idx="113">
                  <c:v>43075</c:v>
                </c:pt>
                <c:pt idx="114">
                  <c:v>43076</c:v>
                </c:pt>
                <c:pt idx="115">
                  <c:v>43077</c:v>
                </c:pt>
                <c:pt idx="116">
                  <c:v>43080</c:v>
                </c:pt>
                <c:pt idx="117">
                  <c:v>43081</c:v>
                </c:pt>
                <c:pt idx="118">
                  <c:v>43082</c:v>
                </c:pt>
                <c:pt idx="119">
                  <c:v>43083</c:v>
                </c:pt>
                <c:pt idx="120">
                  <c:v>43084</c:v>
                </c:pt>
                <c:pt idx="121">
                  <c:v>43087</c:v>
                </c:pt>
                <c:pt idx="122">
                  <c:v>43088</c:v>
                </c:pt>
                <c:pt idx="123">
                  <c:v>43089</c:v>
                </c:pt>
                <c:pt idx="124">
                  <c:v>43090</c:v>
                </c:pt>
                <c:pt idx="125">
                  <c:v>43091</c:v>
                </c:pt>
                <c:pt idx="126">
                  <c:v>43094</c:v>
                </c:pt>
                <c:pt idx="127">
                  <c:v>43095</c:v>
                </c:pt>
                <c:pt idx="128">
                  <c:v>43096</c:v>
                </c:pt>
                <c:pt idx="129">
                  <c:v>43097</c:v>
                </c:pt>
                <c:pt idx="130">
                  <c:v>43098</c:v>
                </c:pt>
                <c:pt idx="131">
                  <c:v>43101</c:v>
                </c:pt>
                <c:pt idx="132">
                  <c:v>43102</c:v>
                </c:pt>
                <c:pt idx="133">
                  <c:v>43103</c:v>
                </c:pt>
                <c:pt idx="134">
                  <c:v>43104</c:v>
                </c:pt>
                <c:pt idx="135">
                  <c:v>43105</c:v>
                </c:pt>
                <c:pt idx="136">
                  <c:v>43108</c:v>
                </c:pt>
                <c:pt idx="137">
                  <c:v>43109</c:v>
                </c:pt>
                <c:pt idx="138">
                  <c:v>43110</c:v>
                </c:pt>
                <c:pt idx="139">
                  <c:v>43111</c:v>
                </c:pt>
                <c:pt idx="140">
                  <c:v>43112</c:v>
                </c:pt>
                <c:pt idx="141">
                  <c:v>43115</c:v>
                </c:pt>
                <c:pt idx="142">
                  <c:v>43116</c:v>
                </c:pt>
                <c:pt idx="143">
                  <c:v>43117</c:v>
                </c:pt>
                <c:pt idx="144">
                  <c:v>43118</c:v>
                </c:pt>
                <c:pt idx="145">
                  <c:v>43119</c:v>
                </c:pt>
                <c:pt idx="146">
                  <c:v>43122</c:v>
                </c:pt>
                <c:pt idx="147">
                  <c:v>43123</c:v>
                </c:pt>
                <c:pt idx="148">
                  <c:v>43124</c:v>
                </c:pt>
                <c:pt idx="149">
                  <c:v>43125</c:v>
                </c:pt>
                <c:pt idx="150">
                  <c:v>43126</c:v>
                </c:pt>
                <c:pt idx="151">
                  <c:v>43129</c:v>
                </c:pt>
                <c:pt idx="152">
                  <c:v>43130</c:v>
                </c:pt>
                <c:pt idx="153">
                  <c:v>43131</c:v>
                </c:pt>
                <c:pt idx="154">
                  <c:v>43132</c:v>
                </c:pt>
                <c:pt idx="155">
                  <c:v>43133</c:v>
                </c:pt>
                <c:pt idx="156">
                  <c:v>43136</c:v>
                </c:pt>
                <c:pt idx="157">
                  <c:v>43137</c:v>
                </c:pt>
                <c:pt idx="158">
                  <c:v>43138</c:v>
                </c:pt>
                <c:pt idx="159">
                  <c:v>43139</c:v>
                </c:pt>
                <c:pt idx="160">
                  <c:v>43140</c:v>
                </c:pt>
                <c:pt idx="161">
                  <c:v>43143</c:v>
                </c:pt>
                <c:pt idx="162">
                  <c:v>43144</c:v>
                </c:pt>
                <c:pt idx="163">
                  <c:v>43145</c:v>
                </c:pt>
                <c:pt idx="164">
                  <c:v>43146</c:v>
                </c:pt>
                <c:pt idx="165">
                  <c:v>43147</c:v>
                </c:pt>
                <c:pt idx="166">
                  <c:v>43150</c:v>
                </c:pt>
                <c:pt idx="167">
                  <c:v>43151</c:v>
                </c:pt>
                <c:pt idx="168">
                  <c:v>43152</c:v>
                </c:pt>
                <c:pt idx="169">
                  <c:v>43153</c:v>
                </c:pt>
                <c:pt idx="170">
                  <c:v>43154</c:v>
                </c:pt>
                <c:pt idx="171">
                  <c:v>43157</c:v>
                </c:pt>
                <c:pt idx="172">
                  <c:v>43158</c:v>
                </c:pt>
                <c:pt idx="173">
                  <c:v>43159</c:v>
                </c:pt>
                <c:pt idx="174">
                  <c:v>43160</c:v>
                </c:pt>
                <c:pt idx="175">
                  <c:v>43161</c:v>
                </c:pt>
                <c:pt idx="176">
                  <c:v>43164</c:v>
                </c:pt>
                <c:pt idx="177">
                  <c:v>43165</c:v>
                </c:pt>
                <c:pt idx="178">
                  <c:v>43166</c:v>
                </c:pt>
                <c:pt idx="179">
                  <c:v>43167</c:v>
                </c:pt>
                <c:pt idx="180">
                  <c:v>43168</c:v>
                </c:pt>
                <c:pt idx="181">
                  <c:v>43171</c:v>
                </c:pt>
                <c:pt idx="182">
                  <c:v>43172</c:v>
                </c:pt>
                <c:pt idx="183">
                  <c:v>43173</c:v>
                </c:pt>
                <c:pt idx="184">
                  <c:v>43174</c:v>
                </c:pt>
                <c:pt idx="185">
                  <c:v>43175</c:v>
                </c:pt>
                <c:pt idx="186">
                  <c:v>43178</c:v>
                </c:pt>
                <c:pt idx="187">
                  <c:v>43179</c:v>
                </c:pt>
                <c:pt idx="188">
                  <c:v>43180</c:v>
                </c:pt>
                <c:pt idx="189">
                  <c:v>43181</c:v>
                </c:pt>
                <c:pt idx="190">
                  <c:v>43182</c:v>
                </c:pt>
                <c:pt idx="191">
                  <c:v>43185</c:v>
                </c:pt>
                <c:pt idx="192">
                  <c:v>43186</c:v>
                </c:pt>
                <c:pt idx="193">
                  <c:v>43187</c:v>
                </c:pt>
                <c:pt idx="194">
                  <c:v>43188</c:v>
                </c:pt>
                <c:pt idx="195">
                  <c:v>43189</c:v>
                </c:pt>
                <c:pt idx="196">
                  <c:v>43192</c:v>
                </c:pt>
                <c:pt idx="197">
                  <c:v>43193</c:v>
                </c:pt>
                <c:pt idx="198">
                  <c:v>43194</c:v>
                </c:pt>
                <c:pt idx="199">
                  <c:v>43195</c:v>
                </c:pt>
                <c:pt idx="200">
                  <c:v>43196</c:v>
                </c:pt>
                <c:pt idx="201">
                  <c:v>43199</c:v>
                </c:pt>
                <c:pt idx="202">
                  <c:v>43200</c:v>
                </c:pt>
                <c:pt idx="203">
                  <c:v>43201</c:v>
                </c:pt>
                <c:pt idx="204">
                  <c:v>43202</c:v>
                </c:pt>
                <c:pt idx="205">
                  <c:v>43203</c:v>
                </c:pt>
                <c:pt idx="206">
                  <c:v>43206</c:v>
                </c:pt>
                <c:pt idx="207">
                  <c:v>43207</c:v>
                </c:pt>
                <c:pt idx="208">
                  <c:v>43208</c:v>
                </c:pt>
                <c:pt idx="209">
                  <c:v>43209</c:v>
                </c:pt>
                <c:pt idx="210">
                  <c:v>43210</c:v>
                </c:pt>
                <c:pt idx="211">
                  <c:v>43213</c:v>
                </c:pt>
                <c:pt idx="212">
                  <c:v>43214</c:v>
                </c:pt>
                <c:pt idx="213">
                  <c:v>43215</c:v>
                </c:pt>
                <c:pt idx="214">
                  <c:v>43216</c:v>
                </c:pt>
                <c:pt idx="215">
                  <c:v>43217</c:v>
                </c:pt>
                <c:pt idx="216">
                  <c:v>43220</c:v>
                </c:pt>
                <c:pt idx="217">
                  <c:v>43221</c:v>
                </c:pt>
                <c:pt idx="218">
                  <c:v>43222</c:v>
                </c:pt>
                <c:pt idx="219">
                  <c:v>43223</c:v>
                </c:pt>
                <c:pt idx="220">
                  <c:v>43224</c:v>
                </c:pt>
                <c:pt idx="221">
                  <c:v>43227</c:v>
                </c:pt>
                <c:pt idx="222">
                  <c:v>43228</c:v>
                </c:pt>
                <c:pt idx="223">
                  <c:v>43229</c:v>
                </c:pt>
                <c:pt idx="224">
                  <c:v>43230</c:v>
                </c:pt>
                <c:pt idx="225">
                  <c:v>43231</c:v>
                </c:pt>
                <c:pt idx="226">
                  <c:v>43234</c:v>
                </c:pt>
                <c:pt idx="227">
                  <c:v>43235</c:v>
                </c:pt>
                <c:pt idx="228">
                  <c:v>43236</c:v>
                </c:pt>
                <c:pt idx="229">
                  <c:v>43237</c:v>
                </c:pt>
                <c:pt idx="230">
                  <c:v>43238</c:v>
                </c:pt>
                <c:pt idx="231">
                  <c:v>43241</c:v>
                </c:pt>
                <c:pt idx="232">
                  <c:v>43242</c:v>
                </c:pt>
                <c:pt idx="233">
                  <c:v>43243</c:v>
                </c:pt>
                <c:pt idx="234">
                  <c:v>43244</c:v>
                </c:pt>
                <c:pt idx="235">
                  <c:v>43245</c:v>
                </c:pt>
                <c:pt idx="236">
                  <c:v>43248</c:v>
                </c:pt>
                <c:pt idx="237">
                  <c:v>43249</c:v>
                </c:pt>
                <c:pt idx="238">
                  <c:v>43250</c:v>
                </c:pt>
                <c:pt idx="239">
                  <c:v>43251</c:v>
                </c:pt>
                <c:pt idx="240">
                  <c:v>43252</c:v>
                </c:pt>
                <c:pt idx="241">
                  <c:v>43255</c:v>
                </c:pt>
                <c:pt idx="242">
                  <c:v>43256</c:v>
                </c:pt>
                <c:pt idx="243">
                  <c:v>43257</c:v>
                </c:pt>
                <c:pt idx="244">
                  <c:v>43258</c:v>
                </c:pt>
                <c:pt idx="245">
                  <c:v>43259</c:v>
                </c:pt>
                <c:pt idx="246">
                  <c:v>43262</c:v>
                </c:pt>
                <c:pt idx="247">
                  <c:v>43263</c:v>
                </c:pt>
                <c:pt idx="248">
                  <c:v>43264</c:v>
                </c:pt>
                <c:pt idx="249">
                  <c:v>43265</c:v>
                </c:pt>
                <c:pt idx="250">
                  <c:v>43266</c:v>
                </c:pt>
                <c:pt idx="251">
                  <c:v>43269</c:v>
                </c:pt>
                <c:pt idx="252">
                  <c:v>43270</c:v>
                </c:pt>
                <c:pt idx="253">
                  <c:v>43271</c:v>
                </c:pt>
                <c:pt idx="254">
                  <c:v>43272</c:v>
                </c:pt>
                <c:pt idx="255">
                  <c:v>43273</c:v>
                </c:pt>
                <c:pt idx="256">
                  <c:v>43276</c:v>
                </c:pt>
                <c:pt idx="257">
                  <c:v>43277</c:v>
                </c:pt>
                <c:pt idx="258">
                  <c:v>43278</c:v>
                </c:pt>
                <c:pt idx="259">
                  <c:v>43279</c:v>
                </c:pt>
                <c:pt idx="260">
                  <c:v>43280</c:v>
                </c:pt>
                <c:pt idx="261">
                  <c:v>43283</c:v>
                </c:pt>
                <c:pt idx="262">
                  <c:v>43284</c:v>
                </c:pt>
                <c:pt idx="263">
                  <c:v>43285</c:v>
                </c:pt>
                <c:pt idx="264">
                  <c:v>43286</c:v>
                </c:pt>
                <c:pt idx="265">
                  <c:v>43287</c:v>
                </c:pt>
                <c:pt idx="266">
                  <c:v>43290</c:v>
                </c:pt>
                <c:pt idx="267">
                  <c:v>43291</c:v>
                </c:pt>
                <c:pt idx="268">
                  <c:v>43292</c:v>
                </c:pt>
                <c:pt idx="269">
                  <c:v>43293</c:v>
                </c:pt>
                <c:pt idx="270">
                  <c:v>43294</c:v>
                </c:pt>
                <c:pt idx="271">
                  <c:v>43297</c:v>
                </c:pt>
                <c:pt idx="272">
                  <c:v>43298</c:v>
                </c:pt>
                <c:pt idx="273">
                  <c:v>43299</c:v>
                </c:pt>
                <c:pt idx="274">
                  <c:v>43300</c:v>
                </c:pt>
              </c:numCache>
            </c:numRef>
          </c:cat>
          <c:val>
            <c:numRef>
              <c:f>vdiff_ensemble_65_1_100_0.001_2!$W$2:$W$276</c:f>
              <c:numCache>
                <c:formatCode>General</c:formatCode>
                <c:ptCount val="275"/>
                <c:pt idx="0">
                  <c:v>284.84835051809011</c:v>
                </c:pt>
                <c:pt idx="1">
                  <c:v>285.64229107584231</c:v>
                </c:pt>
                <c:pt idx="2">
                  <c:v>285.02911846084214</c:v>
                </c:pt>
                <c:pt idx="3">
                  <c:v>286.00157855408474</c:v>
                </c:pt>
                <c:pt idx="4">
                  <c:v>285.63569469792441</c:v>
                </c:pt>
                <c:pt idx="5">
                  <c:v>284.71722422327258</c:v>
                </c:pt>
                <c:pt idx="6">
                  <c:v>284.45325695446519</c:v>
                </c:pt>
                <c:pt idx="7">
                  <c:v>282.81604525702284</c:v>
                </c:pt>
                <c:pt idx="8">
                  <c:v>283.14823132242412</c:v>
                </c:pt>
                <c:pt idx="9">
                  <c:v>280.36663055249574</c:v>
                </c:pt>
                <c:pt idx="10">
                  <c:v>280.60894428321262</c:v>
                </c:pt>
                <c:pt idx="11">
                  <c:v>279.29065463202301</c:v>
                </c:pt>
                <c:pt idx="12">
                  <c:v>280.13245485680403</c:v>
                </c:pt>
                <c:pt idx="13">
                  <c:v>279.37912951367196</c:v>
                </c:pt>
                <c:pt idx="14">
                  <c:v>281.23739290130942</c:v>
                </c:pt>
                <c:pt idx="15">
                  <c:v>280.01005399567697</c:v>
                </c:pt>
                <c:pt idx="16">
                  <c:v>283.36053507200273</c:v>
                </c:pt>
                <c:pt idx="17">
                  <c:v>285.22637359074128</c:v>
                </c:pt>
                <c:pt idx="18">
                  <c:v>286.46701319217647</c:v>
                </c:pt>
                <c:pt idx="19">
                  <c:v>289.8073550011427</c:v>
                </c:pt>
                <c:pt idx="20">
                  <c:v>289.39215465853215</c:v>
                </c:pt>
                <c:pt idx="21">
                  <c:v>288.5568598474768</c:v>
                </c:pt>
                <c:pt idx="22">
                  <c:v>289.04002641226515</c:v>
                </c:pt>
                <c:pt idx="23">
                  <c:v>288.47695207893804</c:v>
                </c:pt>
                <c:pt idx="24">
                  <c:v>290.29506203957914</c:v>
                </c:pt>
                <c:pt idx="25">
                  <c:v>289.7588734626766</c:v>
                </c:pt>
                <c:pt idx="26">
                  <c:v>297.62295135876906</c:v>
                </c:pt>
                <c:pt idx="27">
                  <c:v>296.78403577123333</c:v>
                </c:pt>
                <c:pt idx="28">
                  <c:v>295.28059323685471</c:v>
                </c:pt>
                <c:pt idx="29">
                  <c:v>297.90495975698713</c:v>
                </c:pt>
                <c:pt idx="30">
                  <c:v>298.82311965567681</c:v>
                </c:pt>
                <c:pt idx="31">
                  <c:v>298.695427324516</c:v>
                </c:pt>
                <c:pt idx="32">
                  <c:v>297.21859230313942</c:v>
                </c:pt>
                <c:pt idx="33">
                  <c:v>296.19215526112441</c:v>
                </c:pt>
                <c:pt idx="34">
                  <c:v>296.04646046927945</c:v>
                </c:pt>
                <c:pt idx="35">
                  <c:v>295.28065942014916</c:v>
                </c:pt>
                <c:pt idx="36">
                  <c:v>293.85346057755561</c:v>
                </c:pt>
                <c:pt idx="37">
                  <c:v>296.96143026522168</c:v>
                </c:pt>
                <c:pt idx="38">
                  <c:v>301.32966265337774</c:v>
                </c:pt>
                <c:pt idx="39">
                  <c:v>304.81209814335585</c:v>
                </c:pt>
                <c:pt idx="40">
                  <c:v>308.47278145125875</c:v>
                </c:pt>
                <c:pt idx="41">
                  <c:v>306.96386936924227</c:v>
                </c:pt>
                <c:pt idx="42">
                  <c:v>306.53217917212368</c:v>
                </c:pt>
                <c:pt idx="43">
                  <c:v>306.97961412242438</c:v>
                </c:pt>
                <c:pt idx="44">
                  <c:v>305.9584786342719</c:v>
                </c:pt>
                <c:pt idx="45">
                  <c:v>309.1235666839134</c:v>
                </c:pt>
                <c:pt idx="46">
                  <c:v>308.24807449600502</c:v>
                </c:pt>
                <c:pt idx="47">
                  <c:v>308.39381250483603</c:v>
                </c:pt>
                <c:pt idx="48">
                  <c:v>308.02382732118843</c:v>
                </c:pt>
                <c:pt idx="49">
                  <c:v>310.11368067605099</c:v>
                </c:pt>
                <c:pt idx="50">
                  <c:v>312.0098283267443</c:v>
                </c:pt>
                <c:pt idx="51">
                  <c:v>311.32369794675253</c:v>
                </c:pt>
                <c:pt idx="52">
                  <c:v>310.88470027893726</c:v>
                </c:pt>
                <c:pt idx="53">
                  <c:v>311.02169742584186</c:v>
                </c:pt>
                <c:pt idx="54">
                  <c:v>310.27301255975402</c:v>
                </c:pt>
                <c:pt idx="55">
                  <c:v>310.86625519820581</c:v>
                </c:pt>
                <c:pt idx="56">
                  <c:v>311.78473041398144</c:v>
                </c:pt>
                <c:pt idx="57">
                  <c:v>310.71300580842131</c:v>
                </c:pt>
                <c:pt idx="58">
                  <c:v>312.06330092975031</c:v>
                </c:pt>
                <c:pt idx="59">
                  <c:v>314.01507948636942</c:v>
                </c:pt>
                <c:pt idx="60">
                  <c:v>312.33676228672238</c:v>
                </c:pt>
                <c:pt idx="61">
                  <c:v>312.62147843417262</c:v>
                </c:pt>
                <c:pt idx="62">
                  <c:v>311.69793152127897</c:v>
                </c:pt>
                <c:pt idx="63">
                  <c:v>313.50101157597089</c:v>
                </c:pt>
                <c:pt idx="64">
                  <c:v>313.72288971564558</c:v>
                </c:pt>
                <c:pt idx="65">
                  <c:v>316.07634099125818</c:v>
                </c:pt>
                <c:pt idx="66">
                  <c:v>315.72061283801247</c:v>
                </c:pt>
                <c:pt idx="67">
                  <c:v>313.54203003474589</c:v>
                </c:pt>
                <c:pt idx="68">
                  <c:v>314.51591911656487</c:v>
                </c:pt>
                <c:pt idx="69">
                  <c:v>313.62606562844309</c:v>
                </c:pt>
                <c:pt idx="70">
                  <c:v>313.82210294689401</c:v>
                </c:pt>
                <c:pt idx="71">
                  <c:v>313.88693208944534</c:v>
                </c:pt>
                <c:pt idx="72">
                  <c:v>313.68257476091333</c:v>
                </c:pt>
                <c:pt idx="73">
                  <c:v>314.29527035100062</c:v>
                </c:pt>
                <c:pt idx="74">
                  <c:v>316.03752459457888</c:v>
                </c:pt>
                <c:pt idx="75">
                  <c:v>317.90633964879129</c:v>
                </c:pt>
                <c:pt idx="76">
                  <c:v>317.62677257401555</c:v>
                </c:pt>
                <c:pt idx="77">
                  <c:v>317.23034461566345</c:v>
                </c:pt>
                <c:pt idx="78">
                  <c:v>319.13298669372227</c:v>
                </c:pt>
                <c:pt idx="79">
                  <c:v>320.25159728058713</c:v>
                </c:pt>
                <c:pt idx="80">
                  <c:v>319.42790979317215</c:v>
                </c:pt>
                <c:pt idx="81">
                  <c:v>320.27911277328161</c:v>
                </c:pt>
                <c:pt idx="82">
                  <c:v>322.16420248406229</c:v>
                </c:pt>
                <c:pt idx="83">
                  <c:v>320.62514439991475</c:v>
                </c:pt>
                <c:pt idx="84">
                  <c:v>323.20575693207076</c:v>
                </c:pt>
                <c:pt idx="85">
                  <c:v>317.10967364992359</c:v>
                </c:pt>
                <c:pt idx="86">
                  <c:v>314.35232019935302</c:v>
                </c:pt>
                <c:pt idx="87">
                  <c:v>316.78817820208349</c:v>
                </c:pt>
                <c:pt idx="88">
                  <c:v>316.62425838027644</c:v>
                </c:pt>
                <c:pt idx="89">
                  <c:v>315.11802854537916</c:v>
                </c:pt>
                <c:pt idx="90">
                  <c:v>313.67121351361226</c:v>
                </c:pt>
                <c:pt idx="91">
                  <c:v>313.55482068088401</c:v>
                </c:pt>
                <c:pt idx="92">
                  <c:v>315.35729189600227</c:v>
                </c:pt>
                <c:pt idx="93">
                  <c:v>314.0609455517357</c:v>
                </c:pt>
                <c:pt idx="94">
                  <c:v>313.89212204728756</c:v>
                </c:pt>
                <c:pt idx="95">
                  <c:v>311.12561426843888</c:v>
                </c:pt>
                <c:pt idx="96">
                  <c:v>313.11437868390732</c:v>
                </c:pt>
                <c:pt idx="97">
                  <c:v>312.93223867416327</c:v>
                </c:pt>
                <c:pt idx="98">
                  <c:v>315.50023964473127</c:v>
                </c:pt>
                <c:pt idx="99">
                  <c:v>316.37794958523301</c:v>
                </c:pt>
                <c:pt idx="100">
                  <c:v>314.70521787234668</c:v>
                </c:pt>
                <c:pt idx="101">
                  <c:v>314.98652537890803</c:v>
                </c:pt>
                <c:pt idx="102">
                  <c:v>316.78547987256673</c:v>
                </c:pt>
                <c:pt idx="103">
                  <c:v>317.17540171486945</c:v>
                </c:pt>
                <c:pt idx="104">
                  <c:v>317.44342198712445</c:v>
                </c:pt>
                <c:pt idx="105">
                  <c:v>315.84640981469784</c:v>
                </c:pt>
                <c:pt idx="106">
                  <c:v>312.9410277298515</c:v>
                </c:pt>
                <c:pt idx="107">
                  <c:v>310.75767010280003</c:v>
                </c:pt>
                <c:pt idx="108">
                  <c:v>312.52849977356988</c:v>
                </c:pt>
                <c:pt idx="109">
                  <c:v>310.77735207165949</c:v>
                </c:pt>
                <c:pt idx="110">
                  <c:v>310.13693046229162</c:v>
                </c:pt>
                <c:pt idx="111">
                  <c:v>308.55107574803458</c:v>
                </c:pt>
                <c:pt idx="112">
                  <c:v>307.31712769126204</c:v>
                </c:pt>
                <c:pt idx="113">
                  <c:v>307.24879095894903</c:v>
                </c:pt>
                <c:pt idx="114">
                  <c:v>307.09621274811843</c:v>
                </c:pt>
                <c:pt idx="115">
                  <c:v>311.02087808293919</c:v>
                </c:pt>
                <c:pt idx="116">
                  <c:v>309.00466932569185</c:v>
                </c:pt>
                <c:pt idx="117">
                  <c:v>309.1571386831144</c:v>
                </c:pt>
                <c:pt idx="118">
                  <c:v>306.35266371795075</c:v>
                </c:pt>
                <c:pt idx="119">
                  <c:v>309.2938683671606</c:v>
                </c:pt>
                <c:pt idx="120">
                  <c:v>310.07033187491515</c:v>
                </c:pt>
                <c:pt idx="121">
                  <c:v>312.47044412067913</c:v>
                </c:pt>
                <c:pt idx="122">
                  <c:v>314.10651307105985</c:v>
                </c:pt>
                <c:pt idx="123">
                  <c:v>312.46846457549458</c:v>
                </c:pt>
                <c:pt idx="124">
                  <c:v>315.55982694540637</c:v>
                </c:pt>
                <c:pt idx="125">
                  <c:v>315.16028154747789</c:v>
                </c:pt>
                <c:pt idx="126">
                  <c:v>314.34947844999124</c:v>
                </c:pt>
                <c:pt idx="127">
                  <c:v>313.03021551753761</c:v>
                </c:pt>
                <c:pt idx="128">
                  <c:v>313.8511685818429</c:v>
                </c:pt>
                <c:pt idx="129">
                  <c:v>314.56605081217589</c:v>
                </c:pt>
                <c:pt idx="130">
                  <c:v>314.28730974537945</c:v>
                </c:pt>
                <c:pt idx="131">
                  <c:v>313.92819520064705</c:v>
                </c:pt>
                <c:pt idx="132">
                  <c:v>313.80530537324239</c:v>
                </c:pt>
                <c:pt idx="133">
                  <c:v>313.32321910858099</c:v>
                </c:pt>
                <c:pt idx="134">
                  <c:v>313.94854033929931</c:v>
                </c:pt>
                <c:pt idx="135">
                  <c:v>314.68800879035609</c:v>
                </c:pt>
                <c:pt idx="136">
                  <c:v>314.04680709838834</c:v>
                </c:pt>
                <c:pt idx="137">
                  <c:v>318.90173957858718</c:v>
                </c:pt>
                <c:pt idx="138">
                  <c:v>321.54781230006841</c:v>
                </c:pt>
                <c:pt idx="139">
                  <c:v>321.890190531526</c:v>
                </c:pt>
                <c:pt idx="140">
                  <c:v>322.36006489055472</c:v>
                </c:pt>
                <c:pt idx="141">
                  <c:v>322.91486968312887</c:v>
                </c:pt>
                <c:pt idx="142">
                  <c:v>324.73050350035902</c:v>
                </c:pt>
                <c:pt idx="143">
                  <c:v>324.72753930262115</c:v>
                </c:pt>
                <c:pt idx="144">
                  <c:v>324.37685662678268</c:v>
                </c:pt>
                <c:pt idx="145">
                  <c:v>325.86120074135863</c:v>
                </c:pt>
                <c:pt idx="146">
                  <c:v>325.95840086340871</c:v>
                </c:pt>
                <c:pt idx="147">
                  <c:v>326.85459217514273</c:v>
                </c:pt>
                <c:pt idx="148">
                  <c:v>326.50341527802573</c:v>
                </c:pt>
                <c:pt idx="149">
                  <c:v>324.4759981121332</c:v>
                </c:pt>
                <c:pt idx="150">
                  <c:v>325.00880044017458</c:v>
                </c:pt>
                <c:pt idx="151">
                  <c:v>325.7886018403932</c:v>
                </c:pt>
                <c:pt idx="152">
                  <c:v>329.95210669806971</c:v>
                </c:pt>
                <c:pt idx="153">
                  <c:v>333.62962478058643</c:v>
                </c:pt>
                <c:pt idx="154">
                  <c:v>331.90978508847058</c:v>
                </c:pt>
                <c:pt idx="155">
                  <c:v>333.57500474112322</c:v>
                </c:pt>
                <c:pt idx="156">
                  <c:v>332.40881932782213</c:v>
                </c:pt>
                <c:pt idx="157">
                  <c:v>328.81528261729596</c:v>
                </c:pt>
                <c:pt idx="158">
                  <c:v>331.43143348395773</c:v>
                </c:pt>
                <c:pt idx="159">
                  <c:v>328.51910978385331</c:v>
                </c:pt>
                <c:pt idx="160">
                  <c:v>326.82206948144045</c:v>
                </c:pt>
                <c:pt idx="161">
                  <c:v>326.18274343737488</c:v>
                </c:pt>
                <c:pt idx="162">
                  <c:v>324.71103175708186</c:v>
                </c:pt>
                <c:pt idx="163">
                  <c:v>323.03479694298284</c:v>
                </c:pt>
                <c:pt idx="164">
                  <c:v>323.35464233670871</c:v>
                </c:pt>
                <c:pt idx="165">
                  <c:v>320.93990133830431</c:v>
                </c:pt>
                <c:pt idx="166">
                  <c:v>324.31583724724345</c:v>
                </c:pt>
                <c:pt idx="167">
                  <c:v>326.95471505778124</c:v>
                </c:pt>
                <c:pt idx="168">
                  <c:v>326.07241842235806</c:v>
                </c:pt>
                <c:pt idx="169">
                  <c:v>326.81546078750017</c:v>
                </c:pt>
                <c:pt idx="170">
                  <c:v>326.9805440828199</c:v>
                </c:pt>
                <c:pt idx="171">
                  <c:v>326.22296685661547</c:v>
                </c:pt>
                <c:pt idx="172">
                  <c:v>324.72027223791332</c:v>
                </c:pt>
                <c:pt idx="173">
                  <c:v>325.05359772614014</c:v>
                </c:pt>
                <c:pt idx="174">
                  <c:v>324.13829328332588</c:v>
                </c:pt>
                <c:pt idx="175">
                  <c:v>322.48962342909357</c:v>
                </c:pt>
                <c:pt idx="176">
                  <c:v>324.9250723719594</c:v>
                </c:pt>
                <c:pt idx="177">
                  <c:v>324.59900072067921</c:v>
                </c:pt>
                <c:pt idx="178">
                  <c:v>321.60966086217286</c:v>
                </c:pt>
                <c:pt idx="179">
                  <c:v>320.8997130981507</c:v>
                </c:pt>
                <c:pt idx="180">
                  <c:v>321.14720152680326</c:v>
                </c:pt>
                <c:pt idx="181">
                  <c:v>321.71430830444569</c:v>
                </c:pt>
                <c:pt idx="182">
                  <c:v>322.89049410309059</c:v>
                </c:pt>
                <c:pt idx="183">
                  <c:v>323.53534334216755</c:v>
                </c:pt>
                <c:pt idx="184">
                  <c:v>326.52898368324514</c:v>
                </c:pt>
                <c:pt idx="185">
                  <c:v>323.63133475397257</c:v>
                </c:pt>
                <c:pt idx="186">
                  <c:v>326.74208253558146</c:v>
                </c:pt>
                <c:pt idx="187">
                  <c:v>326.96917762245397</c:v>
                </c:pt>
                <c:pt idx="188">
                  <c:v>326.69267438650087</c:v>
                </c:pt>
                <c:pt idx="189">
                  <c:v>323.9938376052034</c:v>
                </c:pt>
                <c:pt idx="190">
                  <c:v>322.47052136063542</c:v>
                </c:pt>
                <c:pt idx="191">
                  <c:v>322.25491026363142</c:v>
                </c:pt>
                <c:pt idx="192">
                  <c:v>321.53773940801568</c:v>
                </c:pt>
                <c:pt idx="193">
                  <c:v>325.33548968519432</c:v>
                </c:pt>
                <c:pt idx="194">
                  <c:v>326.13421514034235</c:v>
                </c:pt>
                <c:pt idx="195">
                  <c:v>324.61476663649034</c:v>
                </c:pt>
                <c:pt idx="196">
                  <c:v>319.58986005442472</c:v>
                </c:pt>
                <c:pt idx="197">
                  <c:v>319.653112854276</c:v>
                </c:pt>
                <c:pt idx="198">
                  <c:v>321.64915354251832</c:v>
                </c:pt>
                <c:pt idx="199">
                  <c:v>321.72207663314623</c:v>
                </c:pt>
                <c:pt idx="200">
                  <c:v>323.64075081178089</c:v>
                </c:pt>
                <c:pt idx="201">
                  <c:v>325.345817264701</c:v>
                </c:pt>
                <c:pt idx="202">
                  <c:v>325.50618596928416</c:v>
                </c:pt>
                <c:pt idx="203">
                  <c:v>324.69748679612314</c:v>
                </c:pt>
                <c:pt idx="204">
                  <c:v>326.72547129648029</c:v>
                </c:pt>
                <c:pt idx="205">
                  <c:v>323.8099681922364</c:v>
                </c:pt>
                <c:pt idx="206">
                  <c:v>323.20083639110788</c:v>
                </c:pt>
                <c:pt idx="207">
                  <c:v>325.87442831482173</c:v>
                </c:pt>
                <c:pt idx="208">
                  <c:v>324.42951266595259</c:v>
                </c:pt>
                <c:pt idx="209">
                  <c:v>325.46017187663426</c:v>
                </c:pt>
                <c:pt idx="210">
                  <c:v>326.27490392923335</c:v>
                </c:pt>
                <c:pt idx="211">
                  <c:v>324.00847338352833</c:v>
                </c:pt>
                <c:pt idx="212">
                  <c:v>325.46818796225909</c:v>
                </c:pt>
                <c:pt idx="213">
                  <c:v>327.10917252472416</c:v>
                </c:pt>
                <c:pt idx="214">
                  <c:v>328.74191534178544</c:v>
                </c:pt>
                <c:pt idx="215">
                  <c:v>330.36762879916557</c:v>
                </c:pt>
                <c:pt idx="216">
                  <c:v>333.5743796484806</c:v>
                </c:pt>
                <c:pt idx="217">
                  <c:v>332.33870955918485</c:v>
                </c:pt>
                <c:pt idx="218">
                  <c:v>332.52033338717013</c:v>
                </c:pt>
                <c:pt idx="219">
                  <c:v>330.98812176329687</c:v>
                </c:pt>
                <c:pt idx="220">
                  <c:v>329.9895407976843</c:v>
                </c:pt>
                <c:pt idx="221">
                  <c:v>326.53912213018896</c:v>
                </c:pt>
                <c:pt idx="222">
                  <c:v>322.05314655644497</c:v>
                </c:pt>
                <c:pt idx="223">
                  <c:v>313.22956976294478</c:v>
                </c:pt>
                <c:pt idx="224">
                  <c:v>310.09229910373659</c:v>
                </c:pt>
                <c:pt idx="225">
                  <c:v>304.0694773512223</c:v>
                </c:pt>
                <c:pt idx="226">
                  <c:v>307.24131178174656</c:v>
                </c:pt>
                <c:pt idx="227">
                  <c:v>308.65704026222153</c:v>
                </c:pt>
                <c:pt idx="228">
                  <c:v>310.35931007862047</c:v>
                </c:pt>
                <c:pt idx="229">
                  <c:v>310.77448469911241</c:v>
                </c:pt>
                <c:pt idx="230">
                  <c:v>312.67742303950399</c:v>
                </c:pt>
                <c:pt idx="231">
                  <c:v>311.88694858550974</c:v>
                </c:pt>
                <c:pt idx="232">
                  <c:v>308.29876181057472</c:v>
                </c:pt>
                <c:pt idx="233">
                  <c:v>309.46627193348701</c:v>
                </c:pt>
                <c:pt idx="234">
                  <c:v>310.2979091337744</c:v>
                </c:pt>
                <c:pt idx="235">
                  <c:v>312.9246816669185</c:v>
                </c:pt>
                <c:pt idx="236">
                  <c:v>313.74061377729629</c:v>
                </c:pt>
                <c:pt idx="237">
                  <c:v>311.24928353513923</c:v>
                </c:pt>
                <c:pt idx="238">
                  <c:v>310.99271175180132</c:v>
                </c:pt>
                <c:pt idx="239">
                  <c:v>310.18664937700498</c:v>
                </c:pt>
                <c:pt idx="240">
                  <c:v>306.6907375608169</c:v>
                </c:pt>
                <c:pt idx="241">
                  <c:v>302.7433734638347</c:v>
                </c:pt>
                <c:pt idx="242">
                  <c:v>306.27927859851235</c:v>
                </c:pt>
                <c:pt idx="243">
                  <c:v>308.12891059602953</c:v>
                </c:pt>
                <c:pt idx="244">
                  <c:v>311.25696629456058</c:v>
                </c:pt>
                <c:pt idx="245">
                  <c:v>313.03026813438885</c:v>
                </c:pt>
                <c:pt idx="246">
                  <c:v>314.12037195648412</c:v>
                </c:pt>
                <c:pt idx="247">
                  <c:v>316.42330162865716</c:v>
                </c:pt>
                <c:pt idx="248">
                  <c:v>316.33337691085626</c:v>
                </c:pt>
                <c:pt idx="249">
                  <c:v>317.80038587706389</c:v>
                </c:pt>
                <c:pt idx="250">
                  <c:v>315.28817947740998</c:v>
                </c:pt>
                <c:pt idx="251">
                  <c:v>313.9182419879092</c:v>
                </c:pt>
                <c:pt idx="252">
                  <c:v>315.25170457022494</c:v>
                </c:pt>
                <c:pt idx="253">
                  <c:v>315.29601043633011</c:v>
                </c:pt>
                <c:pt idx="254">
                  <c:v>317.72628568921726</c:v>
                </c:pt>
                <c:pt idx="255">
                  <c:v>317.14158360872898</c:v>
                </c:pt>
                <c:pt idx="256">
                  <c:v>319.71871473107973</c:v>
                </c:pt>
                <c:pt idx="257">
                  <c:v>313.943786474636</c:v>
                </c:pt>
                <c:pt idx="258">
                  <c:v>311.87049296327956</c:v>
                </c:pt>
                <c:pt idx="259">
                  <c:v>312.67681132384661</c:v>
                </c:pt>
                <c:pt idx="260">
                  <c:v>310.21246059962613</c:v>
                </c:pt>
                <c:pt idx="261">
                  <c:v>312.36147809369186</c:v>
                </c:pt>
                <c:pt idx="262">
                  <c:v>311.70827050379302</c:v>
                </c:pt>
                <c:pt idx="263">
                  <c:v>309.59363601548273</c:v>
                </c:pt>
                <c:pt idx="264">
                  <c:v>313.96973897218641</c:v>
                </c:pt>
                <c:pt idx="265">
                  <c:v>312.35897692952807</c:v>
                </c:pt>
                <c:pt idx="266">
                  <c:v>314.03818146160626</c:v>
                </c:pt>
                <c:pt idx="267">
                  <c:v>315.48893746648486</c:v>
                </c:pt>
                <c:pt idx="268">
                  <c:v>316.03903561319572</c:v>
                </c:pt>
                <c:pt idx="269">
                  <c:v>314.66009211114431</c:v>
                </c:pt>
                <c:pt idx="270">
                  <c:v>315.38681975666913</c:v>
                </c:pt>
                <c:pt idx="271">
                  <c:v>316.29578482231881</c:v>
                </c:pt>
                <c:pt idx="272">
                  <c:v>317.95955953576703</c:v>
                </c:pt>
                <c:pt idx="273">
                  <c:v>315.58645664964354</c:v>
                </c:pt>
                <c:pt idx="274">
                  <c:v>317.06825130326354</c:v>
                </c:pt>
              </c:numCache>
            </c:numRef>
          </c:val>
          <c:smooth val="0"/>
        </c:ser>
        <c:ser>
          <c:idx val="3"/>
          <c:order val="1"/>
          <c:tx>
            <c:v>real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vdiff_ensemble_65_1_100_0.001_2!$D$2:$D$276</c:f>
              <c:numCache>
                <c:formatCode>General</c:formatCode>
                <c:ptCount val="275"/>
                <c:pt idx="0">
                  <c:v>311.55000076293902</c:v>
                </c:pt>
                <c:pt idx="1">
                  <c:v>311.94999923706001</c:v>
                </c:pt>
                <c:pt idx="2">
                  <c:v>309.64999923706</c:v>
                </c:pt>
                <c:pt idx="3">
                  <c:v>311.10000000000002</c:v>
                </c:pt>
                <c:pt idx="4">
                  <c:v>311.10000076293898</c:v>
                </c:pt>
                <c:pt idx="5">
                  <c:v>310.25</c:v>
                </c:pt>
                <c:pt idx="6">
                  <c:v>310.80000152587797</c:v>
                </c:pt>
                <c:pt idx="7">
                  <c:v>312.69999923706001</c:v>
                </c:pt>
                <c:pt idx="8">
                  <c:v>312.60000152587799</c:v>
                </c:pt>
                <c:pt idx="9">
                  <c:v>316.55000152587797</c:v>
                </c:pt>
                <c:pt idx="10">
                  <c:v>316.7</c:v>
                </c:pt>
                <c:pt idx="11">
                  <c:v>317.49999847412101</c:v>
                </c:pt>
                <c:pt idx="12">
                  <c:v>318.05000076293902</c:v>
                </c:pt>
                <c:pt idx="13">
                  <c:v>318.699998474121</c:v>
                </c:pt>
                <c:pt idx="14">
                  <c:v>319.59999847412098</c:v>
                </c:pt>
                <c:pt idx="15">
                  <c:v>321.10000152587799</c:v>
                </c:pt>
                <c:pt idx="16">
                  <c:v>321.25000152587802</c:v>
                </c:pt>
                <c:pt idx="17">
                  <c:v>319.65000076293899</c:v>
                </c:pt>
                <c:pt idx="18">
                  <c:v>318.95</c:v>
                </c:pt>
                <c:pt idx="19">
                  <c:v>319.85000000000002</c:v>
                </c:pt>
                <c:pt idx="20">
                  <c:v>312.55</c:v>
                </c:pt>
                <c:pt idx="21">
                  <c:v>313.55</c:v>
                </c:pt>
                <c:pt idx="22">
                  <c:v>316.55</c:v>
                </c:pt>
                <c:pt idx="23">
                  <c:v>317.150000381469</c:v>
                </c:pt>
                <c:pt idx="24">
                  <c:v>311.64999961852999</c:v>
                </c:pt>
                <c:pt idx="25">
                  <c:v>312.85000038146899</c:v>
                </c:pt>
                <c:pt idx="26">
                  <c:v>312.89999980926501</c:v>
                </c:pt>
                <c:pt idx="27">
                  <c:v>312.84999961852998</c:v>
                </c:pt>
                <c:pt idx="28">
                  <c:v>308.64999980926501</c:v>
                </c:pt>
                <c:pt idx="29">
                  <c:v>307.250000095367</c:v>
                </c:pt>
                <c:pt idx="30">
                  <c:v>301.49999990463198</c:v>
                </c:pt>
                <c:pt idx="31">
                  <c:v>304.599999809265</c:v>
                </c:pt>
                <c:pt idx="32">
                  <c:v>304.599999904632</c:v>
                </c:pt>
                <c:pt idx="33">
                  <c:v>306.25</c:v>
                </c:pt>
                <c:pt idx="34">
                  <c:v>307.89999999999998</c:v>
                </c:pt>
                <c:pt idx="35">
                  <c:v>307.75</c:v>
                </c:pt>
                <c:pt idx="36">
                  <c:v>307.04999980926499</c:v>
                </c:pt>
                <c:pt idx="37">
                  <c:v>308.70000009536699</c:v>
                </c:pt>
                <c:pt idx="38">
                  <c:v>308.599999809265</c:v>
                </c:pt>
                <c:pt idx="39">
                  <c:v>310.099999904632</c:v>
                </c:pt>
                <c:pt idx="40">
                  <c:v>310.250000095367</c:v>
                </c:pt>
                <c:pt idx="41">
                  <c:v>308.19999997615798</c:v>
                </c:pt>
                <c:pt idx="42">
                  <c:v>307.14999995231602</c:v>
                </c:pt>
                <c:pt idx="43">
                  <c:v>309.00000004768299</c:v>
                </c:pt>
                <c:pt idx="44">
                  <c:v>306.64999999999998</c:v>
                </c:pt>
                <c:pt idx="45">
                  <c:v>306.299999952316</c:v>
                </c:pt>
                <c:pt idx="46">
                  <c:v>303.500000095367</c:v>
                </c:pt>
                <c:pt idx="47">
                  <c:v>302.69999990463202</c:v>
                </c:pt>
                <c:pt idx="48">
                  <c:v>302.30000009536701</c:v>
                </c:pt>
                <c:pt idx="49">
                  <c:v>306.20000001192</c:v>
                </c:pt>
                <c:pt idx="50">
                  <c:v>306.25000004768299</c:v>
                </c:pt>
                <c:pt idx="51">
                  <c:v>309.25000004768299</c:v>
                </c:pt>
                <c:pt idx="52">
                  <c:v>309.20000009536699</c:v>
                </c:pt>
                <c:pt idx="53">
                  <c:v>308.54999997615801</c:v>
                </c:pt>
                <c:pt idx="54">
                  <c:v>310.24999990463198</c:v>
                </c:pt>
                <c:pt idx="55">
                  <c:v>311.19999980926502</c:v>
                </c:pt>
                <c:pt idx="56">
                  <c:v>316.69999961853</c:v>
                </c:pt>
                <c:pt idx="57">
                  <c:v>316.04999980926499</c:v>
                </c:pt>
                <c:pt idx="58">
                  <c:v>315.8</c:v>
                </c:pt>
                <c:pt idx="59">
                  <c:v>316.05</c:v>
                </c:pt>
                <c:pt idx="60">
                  <c:v>313.75</c:v>
                </c:pt>
                <c:pt idx="61">
                  <c:v>313.8</c:v>
                </c:pt>
                <c:pt idx="62">
                  <c:v>311.79999998807898</c:v>
                </c:pt>
                <c:pt idx="63">
                  <c:v>311.39999997615803</c:v>
                </c:pt>
                <c:pt idx="64">
                  <c:v>311.60000000000002</c:v>
                </c:pt>
                <c:pt idx="65">
                  <c:v>314.3</c:v>
                </c:pt>
                <c:pt idx="66">
                  <c:v>314.29999990463199</c:v>
                </c:pt>
                <c:pt idx="67">
                  <c:v>314.30000009536701</c:v>
                </c:pt>
                <c:pt idx="68">
                  <c:v>314.300000047683</c:v>
                </c:pt>
                <c:pt idx="69">
                  <c:v>314.300000047683</c:v>
                </c:pt>
                <c:pt idx="70">
                  <c:v>314.30000019073401</c:v>
                </c:pt>
                <c:pt idx="71">
                  <c:v>314.3</c:v>
                </c:pt>
                <c:pt idx="72">
                  <c:v>320.14999980926501</c:v>
                </c:pt>
                <c:pt idx="73">
                  <c:v>323.24999961853001</c:v>
                </c:pt>
                <c:pt idx="74">
                  <c:v>325.650000381469</c:v>
                </c:pt>
                <c:pt idx="75">
                  <c:v>325.30000038146898</c:v>
                </c:pt>
                <c:pt idx="76">
                  <c:v>325.5</c:v>
                </c:pt>
                <c:pt idx="77">
                  <c:v>325.8</c:v>
                </c:pt>
                <c:pt idx="78">
                  <c:v>325.85000009536702</c:v>
                </c:pt>
                <c:pt idx="79">
                  <c:v>324.10000000000002</c:v>
                </c:pt>
                <c:pt idx="80">
                  <c:v>326.250000095367</c:v>
                </c:pt>
                <c:pt idx="81">
                  <c:v>327.05000019073401</c:v>
                </c:pt>
                <c:pt idx="82">
                  <c:v>326.55000009536701</c:v>
                </c:pt>
                <c:pt idx="83">
                  <c:v>326.750000190734</c:v>
                </c:pt>
                <c:pt idx="84">
                  <c:v>323.750000095367</c:v>
                </c:pt>
                <c:pt idx="85">
                  <c:v>326.85000019073402</c:v>
                </c:pt>
                <c:pt idx="86">
                  <c:v>327.44999961853</c:v>
                </c:pt>
                <c:pt idx="87">
                  <c:v>331.05</c:v>
                </c:pt>
                <c:pt idx="88">
                  <c:v>336.54999961853002</c:v>
                </c:pt>
                <c:pt idx="89">
                  <c:v>335.04999961853002</c:v>
                </c:pt>
                <c:pt idx="90">
                  <c:v>336.35</c:v>
                </c:pt>
                <c:pt idx="91">
                  <c:v>334.15</c:v>
                </c:pt>
                <c:pt idx="92">
                  <c:v>333.74999961853001</c:v>
                </c:pt>
                <c:pt idx="93">
                  <c:v>335.25000038146902</c:v>
                </c:pt>
                <c:pt idx="94">
                  <c:v>333.64999961852999</c:v>
                </c:pt>
                <c:pt idx="95">
                  <c:v>332.89999961852999</c:v>
                </c:pt>
                <c:pt idx="96">
                  <c:v>331.55000076293902</c:v>
                </c:pt>
                <c:pt idx="97">
                  <c:v>331.30000076293902</c:v>
                </c:pt>
                <c:pt idx="98">
                  <c:v>329.14999961852999</c:v>
                </c:pt>
                <c:pt idx="99">
                  <c:v>331.29999961853002</c:v>
                </c:pt>
                <c:pt idx="100">
                  <c:v>330.950000762939</c:v>
                </c:pt>
                <c:pt idx="101">
                  <c:v>329.44999961853</c:v>
                </c:pt>
                <c:pt idx="102">
                  <c:v>330.84999961852998</c:v>
                </c:pt>
                <c:pt idx="103">
                  <c:v>332.55000076293902</c:v>
                </c:pt>
                <c:pt idx="104">
                  <c:v>331.45000038146901</c:v>
                </c:pt>
                <c:pt idx="105">
                  <c:v>332.25</c:v>
                </c:pt>
                <c:pt idx="106">
                  <c:v>325.90000076293899</c:v>
                </c:pt>
                <c:pt idx="107">
                  <c:v>327.69999923706001</c:v>
                </c:pt>
                <c:pt idx="108">
                  <c:v>327.700000762939</c:v>
                </c:pt>
                <c:pt idx="109">
                  <c:v>322.25000038146902</c:v>
                </c:pt>
                <c:pt idx="110">
                  <c:v>321.85000019073402</c:v>
                </c:pt>
                <c:pt idx="111">
                  <c:v>325</c:v>
                </c:pt>
                <c:pt idx="112">
                  <c:v>326.59999961852998</c:v>
                </c:pt>
                <c:pt idx="113">
                  <c:v>321.650000381469</c:v>
                </c:pt>
                <c:pt idx="114">
                  <c:v>320.7</c:v>
                </c:pt>
                <c:pt idx="115">
                  <c:v>321.39999961852999</c:v>
                </c:pt>
                <c:pt idx="116">
                  <c:v>321.5</c:v>
                </c:pt>
                <c:pt idx="117">
                  <c:v>320.45</c:v>
                </c:pt>
                <c:pt idx="118">
                  <c:v>322.85000019073402</c:v>
                </c:pt>
                <c:pt idx="119">
                  <c:v>324.30000019073401</c:v>
                </c:pt>
                <c:pt idx="120">
                  <c:v>322.750000190734</c:v>
                </c:pt>
                <c:pt idx="121">
                  <c:v>324.14999980926501</c:v>
                </c:pt>
                <c:pt idx="122">
                  <c:v>323.85000019073402</c:v>
                </c:pt>
                <c:pt idx="123">
                  <c:v>323.55</c:v>
                </c:pt>
                <c:pt idx="124">
                  <c:v>316.85000001191997</c:v>
                </c:pt>
                <c:pt idx="125">
                  <c:v>318.5</c:v>
                </c:pt>
                <c:pt idx="126">
                  <c:v>318.49999980926498</c:v>
                </c:pt>
                <c:pt idx="127">
                  <c:v>317.45000009536699</c:v>
                </c:pt>
                <c:pt idx="128">
                  <c:v>321.20000019073399</c:v>
                </c:pt>
                <c:pt idx="129">
                  <c:v>325.65000019073398</c:v>
                </c:pt>
                <c:pt idx="130">
                  <c:v>325.650000381469</c:v>
                </c:pt>
                <c:pt idx="131">
                  <c:v>325.650000381469</c:v>
                </c:pt>
                <c:pt idx="132">
                  <c:v>326.49999980926498</c:v>
                </c:pt>
                <c:pt idx="133">
                  <c:v>327.69999961853</c:v>
                </c:pt>
                <c:pt idx="134">
                  <c:v>324.99999980926498</c:v>
                </c:pt>
                <c:pt idx="135">
                  <c:v>328.94999961853</c:v>
                </c:pt>
                <c:pt idx="136">
                  <c:v>331.25000076293901</c:v>
                </c:pt>
                <c:pt idx="137">
                  <c:v>330.45000019073399</c:v>
                </c:pt>
                <c:pt idx="138">
                  <c:v>327.849999904632</c:v>
                </c:pt>
                <c:pt idx="139">
                  <c:v>326.50000002384098</c:v>
                </c:pt>
                <c:pt idx="140">
                  <c:v>326.84999995231601</c:v>
                </c:pt>
                <c:pt idx="141">
                  <c:v>327.299999952316</c:v>
                </c:pt>
                <c:pt idx="142">
                  <c:v>330.49999980926498</c:v>
                </c:pt>
                <c:pt idx="143">
                  <c:v>329.19999990463202</c:v>
                </c:pt>
                <c:pt idx="144">
                  <c:v>329.40000019073398</c:v>
                </c:pt>
                <c:pt idx="145">
                  <c:v>329.599999904632</c:v>
                </c:pt>
                <c:pt idx="146">
                  <c:v>326.24999998807903</c:v>
                </c:pt>
                <c:pt idx="147">
                  <c:v>331.24999980926498</c:v>
                </c:pt>
                <c:pt idx="148">
                  <c:v>331.599999904632</c:v>
                </c:pt>
                <c:pt idx="149">
                  <c:v>334.30000019073401</c:v>
                </c:pt>
                <c:pt idx="150">
                  <c:v>335.95000038146901</c:v>
                </c:pt>
                <c:pt idx="151">
                  <c:v>338.500000190734</c:v>
                </c:pt>
                <c:pt idx="152">
                  <c:v>333.89999990463201</c:v>
                </c:pt>
                <c:pt idx="153">
                  <c:v>334.45000009536699</c:v>
                </c:pt>
                <c:pt idx="154">
                  <c:v>333.65000002384102</c:v>
                </c:pt>
                <c:pt idx="155">
                  <c:v>327.40000019073398</c:v>
                </c:pt>
                <c:pt idx="156">
                  <c:v>323.00000038146902</c:v>
                </c:pt>
                <c:pt idx="157">
                  <c:v>317.64999961852999</c:v>
                </c:pt>
                <c:pt idx="158">
                  <c:v>309.5</c:v>
                </c:pt>
                <c:pt idx="159">
                  <c:v>312.50000038146902</c:v>
                </c:pt>
                <c:pt idx="160">
                  <c:v>303.85000076293898</c:v>
                </c:pt>
                <c:pt idx="161">
                  <c:v>308.09999923705999</c:v>
                </c:pt>
                <c:pt idx="162">
                  <c:v>311.400000381469</c:v>
                </c:pt>
                <c:pt idx="163">
                  <c:v>314.29999961853002</c:v>
                </c:pt>
                <c:pt idx="164">
                  <c:v>314.3</c:v>
                </c:pt>
                <c:pt idx="165">
                  <c:v>314.30000038146898</c:v>
                </c:pt>
                <c:pt idx="166">
                  <c:v>316.250000190734</c:v>
                </c:pt>
                <c:pt idx="167">
                  <c:v>311.99999961853001</c:v>
                </c:pt>
                <c:pt idx="168">
                  <c:v>314.05</c:v>
                </c:pt>
                <c:pt idx="169">
                  <c:v>311.84999961852998</c:v>
                </c:pt>
                <c:pt idx="170">
                  <c:v>316.94999980926502</c:v>
                </c:pt>
                <c:pt idx="171">
                  <c:v>317.099999809265</c:v>
                </c:pt>
                <c:pt idx="172">
                  <c:v>315.750000190734</c:v>
                </c:pt>
                <c:pt idx="173">
                  <c:v>312.45</c:v>
                </c:pt>
                <c:pt idx="174">
                  <c:v>312.44999980926502</c:v>
                </c:pt>
                <c:pt idx="175">
                  <c:v>308.15000019073398</c:v>
                </c:pt>
                <c:pt idx="176">
                  <c:v>303.85000038146899</c:v>
                </c:pt>
                <c:pt idx="177">
                  <c:v>310.30000076293902</c:v>
                </c:pt>
                <c:pt idx="178">
                  <c:v>310.45000019073399</c:v>
                </c:pt>
                <c:pt idx="179">
                  <c:v>313.60000009536702</c:v>
                </c:pt>
                <c:pt idx="180">
                  <c:v>317.099999809265</c:v>
                </c:pt>
                <c:pt idx="181">
                  <c:v>320.10000002384101</c:v>
                </c:pt>
                <c:pt idx="182">
                  <c:v>321.49999995231599</c:v>
                </c:pt>
                <c:pt idx="183">
                  <c:v>321.550000047683</c:v>
                </c:pt>
                <c:pt idx="184">
                  <c:v>322.84999995231601</c:v>
                </c:pt>
                <c:pt idx="185">
                  <c:v>322</c:v>
                </c:pt>
                <c:pt idx="186">
                  <c:v>319.849999809265</c:v>
                </c:pt>
                <c:pt idx="187">
                  <c:v>321.300000047683</c:v>
                </c:pt>
                <c:pt idx="188">
                  <c:v>321.59999995231601</c:v>
                </c:pt>
                <c:pt idx="189">
                  <c:v>322.10000000000002</c:v>
                </c:pt>
                <c:pt idx="190">
                  <c:v>311.5</c:v>
                </c:pt>
                <c:pt idx="191">
                  <c:v>314.5</c:v>
                </c:pt>
                <c:pt idx="192">
                  <c:v>315.15000004768302</c:v>
                </c:pt>
                <c:pt idx="193">
                  <c:v>310.64999980926501</c:v>
                </c:pt>
                <c:pt idx="194">
                  <c:v>314.45000019073399</c:v>
                </c:pt>
                <c:pt idx="195">
                  <c:v>314.54999961853002</c:v>
                </c:pt>
                <c:pt idx="196">
                  <c:v>313.45000019073399</c:v>
                </c:pt>
                <c:pt idx="197">
                  <c:v>312.80000019073401</c:v>
                </c:pt>
                <c:pt idx="198">
                  <c:v>307.55000038146898</c:v>
                </c:pt>
                <c:pt idx="199">
                  <c:v>312.94999980926502</c:v>
                </c:pt>
                <c:pt idx="200">
                  <c:v>311.2</c:v>
                </c:pt>
                <c:pt idx="201">
                  <c:v>312.950000762939</c:v>
                </c:pt>
                <c:pt idx="202">
                  <c:v>313.45</c:v>
                </c:pt>
                <c:pt idx="203">
                  <c:v>312.45000038146901</c:v>
                </c:pt>
                <c:pt idx="204">
                  <c:v>311.75</c:v>
                </c:pt>
                <c:pt idx="205">
                  <c:v>314.45000038146901</c:v>
                </c:pt>
                <c:pt idx="206">
                  <c:v>314.3</c:v>
                </c:pt>
                <c:pt idx="207">
                  <c:v>314.39999961852999</c:v>
                </c:pt>
                <c:pt idx="208">
                  <c:v>317.59999961852998</c:v>
                </c:pt>
                <c:pt idx="209">
                  <c:v>319.00000038146902</c:v>
                </c:pt>
                <c:pt idx="210">
                  <c:v>316.90000019073398</c:v>
                </c:pt>
                <c:pt idx="211">
                  <c:v>317.10000038146899</c:v>
                </c:pt>
                <c:pt idx="212">
                  <c:v>315.35000038146899</c:v>
                </c:pt>
                <c:pt idx="213">
                  <c:v>312.95000038146901</c:v>
                </c:pt>
                <c:pt idx="214">
                  <c:v>317.44999961853</c:v>
                </c:pt>
                <c:pt idx="215">
                  <c:v>320.14999980926501</c:v>
                </c:pt>
                <c:pt idx="216">
                  <c:v>321.64999961852999</c:v>
                </c:pt>
                <c:pt idx="217">
                  <c:v>321.64999999999998</c:v>
                </c:pt>
                <c:pt idx="218">
                  <c:v>319.750000190734</c:v>
                </c:pt>
                <c:pt idx="219">
                  <c:v>318.00000038146902</c:v>
                </c:pt>
                <c:pt idx="220">
                  <c:v>316.45000019073399</c:v>
                </c:pt>
                <c:pt idx="221">
                  <c:v>316.44999980926502</c:v>
                </c:pt>
                <c:pt idx="222">
                  <c:v>314.05000009536701</c:v>
                </c:pt>
                <c:pt idx="223">
                  <c:v>314.05000019073401</c:v>
                </c:pt>
                <c:pt idx="224">
                  <c:v>315.849999904632</c:v>
                </c:pt>
                <c:pt idx="225">
                  <c:v>317.65000019073398</c:v>
                </c:pt>
                <c:pt idx="226">
                  <c:v>316.85000000000002</c:v>
                </c:pt>
                <c:pt idx="227">
                  <c:v>313.74999990463198</c:v>
                </c:pt>
                <c:pt idx="228">
                  <c:v>314.90000002384102</c:v>
                </c:pt>
                <c:pt idx="229">
                  <c:v>313.40000002384102</c:v>
                </c:pt>
                <c:pt idx="230">
                  <c:v>314.74999998807903</c:v>
                </c:pt>
                <c:pt idx="231">
                  <c:v>315.10000002384101</c:v>
                </c:pt>
                <c:pt idx="232">
                  <c:v>315.099999904632</c:v>
                </c:pt>
                <c:pt idx="233">
                  <c:v>317.14999990463201</c:v>
                </c:pt>
                <c:pt idx="234">
                  <c:v>316.54999980926499</c:v>
                </c:pt>
                <c:pt idx="235">
                  <c:v>317.29999999403901</c:v>
                </c:pt>
                <c:pt idx="236">
                  <c:v>318.10000000000002</c:v>
                </c:pt>
                <c:pt idx="237">
                  <c:v>314.89999997615803</c:v>
                </c:pt>
                <c:pt idx="238">
                  <c:v>307.54999990463199</c:v>
                </c:pt>
                <c:pt idx="239">
                  <c:v>309.15000004768302</c:v>
                </c:pt>
                <c:pt idx="240">
                  <c:v>311.39999999999998</c:v>
                </c:pt>
                <c:pt idx="241">
                  <c:v>313.15000019073398</c:v>
                </c:pt>
                <c:pt idx="242">
                  <c:v>313.75000004768299</c:v>
                </c:pt>
                <c:pt idx="243">
                  <c:v>313.74999995231599</c:v>
                </c:pt>
                <c:pt idx="244">
                  <c:v>316.85000000000002</c:v>
                </c:pt>
                <c:pt idx="245">
                  <c:v>313.300000047683</c:v>
                </c:pt>
                <c:pt idx="246">
                  <c:v>316.14999995231602</c:v>
                </c:pt>
                <c:pt idx="247">
                  <c:v>315.65000009536698</c:v>
                </c:pt>
                <c:pt idx="248">
                  <c:v>315.64999990463201</c:v>
                </c:pt>
                <c:pt idx="249">
                  <c:v>310.40000019073398</c:v>
                </c:pt>
                <c:pt idx="250">
                  <c:v>309.19999980926502</c:v>
                </c:pt>
                <c:pt idx="251">
                  <c:v>305.85000000000002</c:v>
                </c:pt>
                <c:pt idx="252">
                  <c:v>301.34999923705999</c:v>
                </c:pt>
                <c:pt idx="253">
                  <c:v>304.20000038146901</c:v>
                </c:pt>
                <c:pt idx="254">
                  <c:v>300.74999961853001</c:v>
                </c:pt>
                <c:pt idx="255">
                  <c:v>303.65000009536698</c:v>
                </c:pt>
                <c:pt idx="256">
                  <c:v>303.25</c:v>
                </c:pt>
                <c:pt idx="257">
                  <c:v>302.39999999999998</c:v>
                </c:pt>
                <c:pt idx="258">
                  <c:v>301.54999961853002</c:v>
                </c:pt>
                <c:pt idx="259">
                  <c:v>299.09999961852998</c:v>
                </c:pt>
                <c:pt idx="260">
                  <c:v>299.99999980926498</c:v>
                </c:pt>
                <c:pt idx="261">
                  <c:v>292.90000076293899</c:v>
                </c:pt>
                <c:pt idx="262">
                  <c:v>293.75000076293901</c:v>
                </c:pt>
                <c:pt idx="263">
                  <c:v>292.55</c:v>
                </c:pt>
                <c:pt idx="264">
                  <c:v>291.99999923706002</c:v>
                </c:pt>
                <c:pt idx="265">
                  <c:v>293.59999961852998</c:v>
                </c:pt>
                <c:pt idx="266">
                  <c:v>296.24999923706002</c:v>
                </c:pt>
                <c:pt idx="267">
                  <c:v>296.95</c:v>
                </c:pt>
                <c:pt idx="268">
                  <c:v>295.30000038146898</c:v>
                </c:pt>
                <c:pt idx="269">
                  <c:v>296</c:v>
                </c:pt>
                <c:pt idx="270">
                  <c:v>299.09999961852998</c:v>
                </c:pt>
                <c:pt idx="271">
                  <c:v>298.19999961853</c:v>
                </c:pt>
                <c:pt idx="272">
                  <c:v>297.35000076293898</c:v>
                </c:pt>
                <c:pt idx="273">
                  <c:v>297.05000076293902</c:v>
                </c:pt>
                <c:pt idx="274">
                  <c:v>296.04999923705998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169929184"/>
        <c:axId val="-1169936800"/>
      </c:lineChart>
      <c:dateAx>
        <c:axId val="-116992918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169936800"/>
        <c:crosses val="autoZero"/>
        <c:auto val="1"/>
        <c:lblOffset val="100"/>
        <c:baseTimeUnit val="days"/>
      </c:dateAx>
      <c:valAx>
        <c:axId val="-1169936800"/>
        <c:scaling>
          <c:orientation val="minMax"/>
          <c:min val="2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169929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66675</xdr:colOff>
      <xdr:row>5</xdr:row>
      <xdr:rowOff>180976</xdr:rowOff>
    </xdr:from>
    <xdr:to>
      <xdr:col>13</xdr:col>
      <xdr:colOff>295275</xdr:colOff>
      <xdr:row>21</xdr:row>
      <xdr:rowOff>28576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78"/>
  <sheetViews>
    <sheetView tabSelected="1" topLeftCell="A261" workbookViewId="0">
      <selection activeCell="P277" sqref="P277"/>
    </sheetView>
  </sheetViews>
  <sheetFormatPr defaultRowHeight="16.5" x14ac:dyDescent="0.3"/>
  <cols>
    <col min="1" max="1" width="10.5" customWidth="1"/>
    <col min="2" max="2" width="11" customWidth="1"/>
    <col min="3" max="3" width="9.625" customWidth="1"/>
    <col min="20" max="20" width="1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10</v>
      </c>
      <c r="K1" t="s">
        <v>11</v>
      </c>
      <c r="O1">
        <v>65</v>
      </c>
      <c r="P1">
        <v>25</v>
      </c>
      <c r="Q1" t="s">
        <v>13</v>
      </c>
      <c r="T1" t="s">
        <v>1</v>
      </c>
      <c r="U1" t="s">
        <v>14</v>
      </c>
      <c r="V1" t="s">
        <v>15</v>
      </c>
      <c r="W1" t="s">
        <v>12</v>
      </c>
      <c r="X1" t="s">
        <v>16</v>
      </c>
      <c r="Y1" t="s">
        <v>17</v>
      </c>
      <c r="Z1" t="s">
        <v>16</v>
      </c>
      <c r="AA1" t="s">
        <v>17</v>
      </c>
    </row>
    <row r="2" spans="1:27" x14ac:dyDescent="0.3">
      <c r="A2" s="1">
        <v>42825</v>
      </c>
      <c r="B2" s="1">
        <v>42916</v>
      </c>
      <c r="C2">
        <v>304.634631729126</v>
      </c>
      <c r="D2">
        <v>311.55000076293902</v>
      </c>
      <c r="E2">
        <v>281.60000000000002</v>
      </c>
      <c r="F2">
        <v>29.9500007629394</v>
      </c>
      <c r="G2">
        <v>23.034631729125898</v>
      </c>
      <c r="H2">
        <v>29.9500007629394</v>
      </c>
      <c r="I2">
        <v>283.39794394969903</v>
      </c>
      <c r="J2">
        <v>279.364858007431</v>
      </c>
      <c r="K2">
        <v>280.97082290649399</v>
      </c>
      <c r="L2">
        <v>283.26007435321799</v>
      </c>
      <c r="M2">
        <v>287.79033336639401</v>
      </c>
      <c r="N2">
        <v>307.24863755702899</v>
      </c>
      <c r="O2">
        <v>301.47783241271901</v>
      </c>
      <c r="P2">
        <v>277.67658863067601</v>
      </c>
      <c r="Q2">
        <f>AVERAGE(I2:M2, O2:P2)</f>
        <v>284.84835051809011</v>
      </c>
      <c r="R2">
        <f>IF((Q2-E2)*(D2-E2)&gt;0, 1,0)</f>
        <v>1</v>
      </c>
      <c r="S2">
        <v>11.90461505</v>
      </c>
      <c r="T2" s="1">
        <v>42916</v>
      </c>
      <c r="U2">
        <f>D2+1.65*S2</f>
        <v>331.19261559543901</v>
      </c>
      <c r="V2">
        <f>D2-1.65*S2</f>
        <v>291.90738593043903</v>
      </c>
      <c r="W2">
        <f>Q2</f>
        <v>284.84835051809011</v>
      </c>
      <c r="X2">
        <f>IF(AND(W2&lt;U2, W2&gt;V2),1,0)</f>
        <v>0</v>
      </c>
      <c r="Y2">
        <f>IF(AND(C2&lt;U2, C2&gt;V2),1,0)</f>
        <v>1</v>
      </c>
      <c r="Z2">
        <f>IF(AND(X2=1,R2=1), 1, 0)</f>
        <v>0</v>
      </c>
      <c r="AA2">
        <f>IF(AND(Y2=1,F2&gt;0), 1, 0)</f>
        <v>1</v>
      </c>
    </row>
    <row r="3" spans="1:27" x14ac:dyDescent="0.3">
      <c r="A3" s="1">
        <v>42828</v>
      </c>
      <c r="B3" s="1">
        <v>42919</v>
      </c>
      <c r="C3">
        <v>294.38044109344401</v>
      </c>
      <c r="D3">
        <v>311.94999923706001</v>
      </c>
      <c r="E3">
        <v>281.89999999999998</v>
      </c>
      <c r="F3">
        <v>30.049999237060501</v>
      </c>
      <c r="G3">
        <v>12.480441093444799</v>
      </c>
      <c r="H3">
        <v>30.049999237060501</v>
      </c>
      <c r="I3">
        <v>283.69989087581598</v>
      </c>
      <c r="J3">
        <v>279.82145776748598</v>
      </c>
      <c r="K3">
        <v>280.56709363460499</v>
      </c>
      <c r="L3">
        <v>285.21988191604601</v>
      </c>
      <c r="M3">
        <v>288.69913520812901</v>
      </c>
      <c r="N3">
        <v>306.09153530597598</v>
      </c>
      <c r="O3">
        <v>304.97232475280703</v>
      </c>
      <c r="P3">
        <v>276.516253376007</v>
      </c>
      <c r="Q3">
        <f t="shared" ref="Q3:Q66" si="0">AVERAGE(I3:M3, O3:P3)</f>
        <v>285.64229107584231</v>
      </c>
      <c r="R3">
        <f>IF((Q3-E3)*(D3-E3)&gt;0, 1,0)</f>
        <v>1</v>
      </c>
      <c r="S3">
        <v>11.916593049999999</v>
      </c>
      <c r="T3" s="1">
        <v>42919</v>
      </c>
      <c r="U3">
        <f>D3+1.65*S3</f>
        <v>331.61237776956</v>
      </c>
      <c r="V3">
        <f>D3-1.65*S3</f>
        <v>292.28762070456003</v>
      </c>
      <c r="W3">
        <f t="shared" ref="W3:W66" si="1">Q3</f>
        <v>285.64229107584231</v>
      </c>
      <c r="X3">
        <f t="shared" ref="X3:X66" si="2">IF(AND(W3&lt;U3, W3&gt;V3),1,0)</f>
        <v>0</v>
      </c>
      <c r="Y3">
        <f>IF(AND(C3&lt;U3, C3&gt;V3),1,0)</f>
        <v>1</v>
      </c>
      <c r="Z3">
        <f t="shared" ref="Z3:Z66" si="3">IF(AND(X3=1,R3=1), 1, 0)</f>
        <v>0</v>
      </c>
      <c r="AA3">
        <f>IF(AND(Y3=1,F3&gt;0), 1, 0)</f>
        <v>1</v>
      </c>
    </row>
    <row r="4" spans="1:27" x14ac:dyDescent="0.3">
      <c r="A4" s="1">
        <v>42829</v>
      </c>
      <c r="B4" s="1">
        <v>42920</v>
      </c>
      <c r="C4">
        <v>292.106592750549</v>
      </c>
      <c r="D4">
        <v>309.64999923706</v>
      </c>
      <c r="E4">
        <v>281.35000000000002</v>
      </c>
      <c r="F4">
        <v>28.299999237060501</v>
      </c>
      <c r="G4">
        <v>10.7565927505493</v>
      </c>
      <c r="H4">
        <v>28.299999237060501</v>
      </c>
      <c r="I4">
        <v>284.047163581848</v>
      </c>
      <c r="J4">
        <v>281.47983046472001</v>
      </c>
      <c r="K4">
        <v>280.00827858448002</v>
      </c>
      <c r="L4">
        <v>283.92300567626899</v>
      </c>
      <c r="M4">
        <v>286.67491302490203</v>
      </c>
      <c r="N4">
        <v>305.79554150104502</v>
      </c>
      <c r="O4">
        <v>302.514100646972</v>
      </c>
      <c r="P4">
        <v>276.55653724670401</v>
      </c>
      <c r="Q4">
        <f t="shared" si="0"/>
        <v>285.02911846084214</v>
      </c>
      <c r="R4">
        <f>IF((Q4-E4)*(D4-E4)&gt;0, 1,0)</f>
        <v>1</v>
      </c>
      <c r="S4">
        <v>11.858192150000001</v>
      </c>
      <c r="T4" s="1">
        <v>42920</v>
      </c>
      <c r="U4">
        <f>D4+1.65*S4</f>
        <v>329.21601628456</v>
      </c>
      <c r="V4">
        <f>D4-1.65*S4</f>
        <v>290.08398218956</v>
      </c>
      <c r="W4">
        <f t="shared" si="1"/>
        <v>285.02911846084214</v>
      </c>
      <c r="X4">
        <f t="shared" si="2"/>
        <v>0</v>
      </c>
      <c r="Y4">
        <f>IF(AND(C4&lt;U4, C4&gt;V4),1,0)</f>
        <v>1</v>
      </c>
      <c r="Z4">
        <f t="shared" si="3"/>
        <v>0</v>
      </c>
      <c r="AA4">
        <f>IF(AND(Y4=1,F4&gt;0), 1, 0)</f>
        <v>1</v>
      </c>
    </row>
    <row r="5" spans="1:27" x14ac:dyDescent="0.3">
      <c r="A5" s="1">
        <v>42830</v>
      </c>
      <c r="B5" s="1">
        <v>42921</v>
      </c>
      <c r="C5">
        <v>291.04851875305098</v>
      </c>
      <c r="D5">
        <v>311.10000000000002</v>
      </c>
      <c r="E5">
        <v>280.85000000000002</v>
      </c>
      <c r="F5">
        <v>30.25</v>
      </c>
      <c r="G5">
        <v>10.198518753051699</v>
      </c>
      <c r="H5">
        <v>30.25</v>
      </c>
      <c r="I5">
        <v>284.95868310928302</v>
      </c>
      <c r="J5">
        <v>284.46777281761098</v>
      </c>
      <c r="K5">
        <v>281.96646521091401</v>
      </c>
      <c r="L5">
        <v>283.29603157043402</v>
      </c>
      <c r="M5">
        <v>288.89216289520198</v>
      </c>
      <c r="N5">
        <v>304.16791381835901</v>
      </c>
      <c r="O5">
        <v>297.31640968322699</v>
      </c>
      <c r="P5">
        <v>281.11352459192199</v>
      </c>
      <c r="Q5">
        <f t="shared" si="0"/>
        <v>286.00157855408474</v>
      </c>
      <c r="R5">
        <f>IF((Q5-E5)*(D5-E5)&gt;0, 1,0)</f>
        <v>1</v>
      </c>
      <c r="S5">
        <v>11.79643377</v>
      </c>
      <c r="T5" s="1">
        <v>42921</v>
      </c>
      <c r="U5">
        <f>D5+1.65*S5</f>
        <v>330.56411572050001</v>
      </c>
      <c r="V5">
        <f>D5-1.65*S5</f>
        <v>291.63588427950003</v>
      </c>
      <c r="W5">
        <f t="shared" si="1"/>
        <v>286.00157855408474</v>
      </c>
      <c r="X5">
        <f t="shared" si="2"/>
        <v>0</v>
      </c>
      <c r="Y5">
        <f>IF(AND(C5&lt;U5, C5&gt;V5),1,0)</f>
        <v>0</v>
      </c>
      <c r="Z5">
        <f t="shared" si="3"/>
        <v>0</v>
      </c>
      <c r="AA5">
        <f>IF(AND(Y5=1,F5&gt;0), 1, 0)</f>
        <v>0</v>
      </c>
    </row>
    <row r="6" spans="1:27" x14ac:dyDescent="0.3">
      <c r="A6" s="1">
        <v>42831</v>
      </c>
      <c r="B6" s="1">
        <v>42922</v>
      </c>
      <c r="C6">
        <v>291.842021369934</v>
      </c>
      <c r="D6">
        <v>311.10000076293898</v>
      </c>
      <c r="E6">
        <v>279.89999999999998</v>
      </c>
      <c r="F6">
        <v>31.2000007629394</v>
      </c>
      <c r="G6">
        <v>11.942021369934</v>
      </c>
      <c r="H6">
        <v>31.2000007629394</v>
      </c>
      <c r="I6">
        <v>282.72169079780502</v>
      </c>
      <c r="J6">
        <v>281.59206106662702</v>
      </c>
      <c r="K6">
        <v>282.50105395317001</v>
      </c>
      <c r="L6">
        <v>283.25207653045601</v>
      </c>
      <c r="M6">
        <v>286.82900657653801</v>
      </c>
      <c r="N6">
        <v>306.874937096238</v>
      </c>
      <c r="O6">
        <v>300.29448547363199</v>
      </c>
      <c r="P6">
        <v>282.259488487243</v>
      </c>
      <c r="Q6">
        <f t="shared" si="0"/>
        <v>285.63569469792441</v>
      </c>
      <c r="R6">
        <f>IF((Q6-E6)*(D6-E6)&gt;0, 1,0)</f>
        <v>1</v>
      </c>
      <c r="S6">
        <v>11.69295086</v>
      </c>
      <c r="T6" s="1">
        <v>42922</v>
      </c>
      <c r="U6">
        <f>D6+1.65*S6</f>
        <v>330.39336968193896</v>
      </c>
      <c r="V6">
        <f>D6-1.65*S6</f>
        <v>291.80663184393899</v>
      </c>
      <c r="W6">
        <f t="shared" si="1"/>
        <v>285.63569469792441</v>
      </c>
      <c r="X6">
        <f t="shared" si="2"/>
        <v>0</v>
      </c>
      <c r="Y6">
        <f>IF(AND(C6&lt;U6, C6&gt;V6),1,0)</f>
        <v>1</v>
      </c>
      <c r="Z6">
        <f t="shared" si="3"/>
        <v>0</v>
      </c>
      <c r="AA6">
        <f>IF(AND(Y6=1,F6&gt;0), 1, 0)</f>
        <v>1</v>
      </c>
    </row>
    <row r="7" spans="1:27" x14ac:dyDescent="0.3">
      <c r="A7" s="1">
        <v>42832</v>
      </c>
      <c r="B7" s="1">
        <v>42923</v>
      </c>
      <c r="C7">
        <v>289.48347949981599</v>
      </c>
      <c r="D7">
        <v>310.25</v>
      </c>
      <c r="E7">
        <v>279.25</v>
      </c>
      <c r="F7">
        <v>31</v>
      </c>
      <c r="G7">
        <v>10.2334794998168</v>
      </c>
      <c r="H7">
        <v>31</v>
      </c>
      <c r="I7">
        <v>281.964940547943</v>
      </c>
      <c r="J7">
        <v>281.82143306732098</v>
      </c>
      <c r="K7">
        <v>281.52450489997801</v>
      </c>
      <c r="L7">
        <v>282.20604228973298</v>
      </c>
      <c r="M7">
        <v>287.95515727996798</v>
      </c>
      <c r="N7">
        <v>310.49191658496801</v>
      </c>
      <c r="O7">
        <v>296.67518424987702</v>
      </c>
      <c r="P7">
        <v>280.87330722808798</v>
      </c>
      <c r="Q7">
        <f t="shared" si="0"/>
        <v>284.71722422327258</v>
      </c>
      <c r="R7">
        <f>IF((Q7-E7)*(D7-E7)&gt;0, 1,0)</f>
        <v>1</v>
      </c>
      <c r="S7">
        <v>11.537757989999999</v>
      </c>
      <c r="T7" s="1">
        <v>42923</v>
      </c>
      <c r="U7">
        <f>D7+1.65*S7</f>
        <v>329.28730068350001</v>
      </c>
      <c r="V7">
        <f>D7-1.65*S7</f>
        <v>291.21269931649999</v>
      </c>
      <c r="W7">
        <f t="shared" si="1"/>
        <v>284.71722422327258</v>
      </c>
      <c r="X7">
        <f t="shared" si="2"/>
        <v>0</v>
      </c>
      <c r="Y7">
        <f>IF(AND(C7&lt;U7, C7&gt;V7),1,0)</f>
        <v>0</v>
      </c>
      <c r="Z7">
        <f t="shared" si="3"/>
        <v>0</v>
      </c>
      <c r="AA7">
        <f>IF(AND(Y7=1,F7&gt;0), 1, 0)</f>
        <v>0</v>
      </c>
    </row>
    <row r="8" spans="1:27" x14ac:dyDescent="0.3">
      <c r="A8" s="1">
        <v>42835</v>
      </c>
      <c r="B8" s="1">
        <v>42926</v>
      </c>
      <c r="C8">
        <v>291.68393554687498</v>
      </c>
      <c r="D8">
        <v>310.80000152587797</v>
      </c>
      <c r="E8">
        <v>277.64999999999998</v>
      </c>
      <c r="F8">
        <v>33.150001525878899</v>
      </c>
      <c r="G8">
        <v>14.033935546875</v>
      </c>
      <c r="H8">
        <v>33.150001525878899</v>
      </c>
      <c r="I8">
        <v>282.31518878936703</v>
      </c>
      <c r="J8">
        <v>283.49623098373399</v>
      </c>
      <c r="K8">
        <v>283.71440734863199</v>
      </c>
      <c r="L8">
        <v>280.43908491134601</v>
      </c>
      <c r="M8">
        <v>284.01640119552599</v>
      </c>
      <c r="N8">
        <v>313.23256616592403</v>
      </c>
      <c r="O8">
        <v>299.54415740966698</v>
      </c>
      <c r="P8">
        <v>277.64732804298399</v>
      </c>
      <c r="Q8">
        <f t="shared" si="0"/>
        <v>284.45325695446519</v>
      </c>
      <c r="R8">
        <f>IF((Q8-E8)*(D8-E8)&gt;0, 1,0)</f>
        <v>1</v>
      </c>
      <c r="S8">
        <v>11.32296408</v>
      </c>
      <c r="T8" s="1">
        <v>42926</v>
      </c>
      <c r="U8">
        <f>D8+1.65*S8</f>
        <v>329.48289225787795</v>
      </c>
      <c r="V8">
        <f>D8-1.65*S8</f>
        <v>292.117110793878</v>
      </c>
      <c r="W8">
        <f t="shared" si="1"/>
        <v>284.45325695446519</v>
      </c>
      <c r="X8">
        <f t="shared" si="2"/>
        <v>0</v>
      </c>
      <c r="Y8">
        <f>IF(AND(C8&lt;U8, C8&gt;V8),1,0)</f>
        <v>0</v>
      </c>
      <c r="Z8">
        <f t="shared" si="3"/>
        <v>0</v>
      </c>
      <c r="AA8">
        <f>IF(AND(Y8=1,F8&gt;0), 1, 0)</f>
        <v>0</v>
      </c>
    </row>
    <row r="9" spans="1:27" x14ac:dyDescent="0.3">
      <c r="A9" s="1">
        <v>42836</v>
      </c>
      <c r="B9" s="1">
        <v>42927</v>
      </c>
      <c r="C9">
        <v>289.95293369293199</v>
      </c>
      <c r="D9">
        <v>312.69999923706001</v>
      </c>
      <c r="E9">
        <v>275.89999999999998</v>
      </c>
      <c r="F9">
        <v>36.799999237060497</v>
      </c>
      <c r="G9">
        <v>14.0529336929321</v>
      </c>
      <c r="H9">
        <v>36.799999237060497</v>
      </c>
      <c r="I9">
        <v>280.33605518341</v>
      </c>
      <c r="J9">
        <v>281.68802728652901</v>
      </c>
      <c r="K9">
        <v>280.968245410919</v>
      </c>
      <c r="L9">
        <v>278.69754638671799</v>
      </c>
      <c r="M9">
        <v>284.21057643890299</v>
      </c>
      <c r="N9">
        <v>311.06923608779903</v>
      </c>
      <c r="O9">
        <v>294.10429611206001</v>
      </c>
      <c r="P9">
        <v>279.70756998062097</v>
      </c>
      <c r="Q9">
        <f t="shared" si="0"/>
        <v>282.81604525702284</v>
      </c>
      <c r="R9">
        <f>IF((Q9-E9)*(D9-E9)&gt;0, 1,0)</f>
        <v>1</v>
      </c>
      <c r="S9">
        <v>11.05558579</v>
      </c>
      <c r="T9" s="1">
        <v>42927</v>
      </c>
      <c r="U9">
        <f>D9+1.65*S9</f>
        <v>330.94171579056001</v>
      </c>
      <c r="V9">
        <f>D9-1.65*S9</f>
        <v>294.45828268356001</v>
      </c>
      <c r="W9">
        <f t="shared" si="1"/>
        <v>282.81604525702284</v>
      </c>
      <c r="X9">
        <f t="shared" si="2"/>
        <v>0</v>
      </c>
      <c r="Y9">
        <f>IF(AND(C9&lt;U9, C9&gt;V9),1,0)</f>
        <v>0</v>
      </c>
      <c r="Z9">
        <f t="shared" si="3"/>
        <v>0</v>
      </c>
      <c r="AA9">
        <f>IF(AND(Y9=1,F9&gt;0), 1, 0)</f>
        <v>0</v>
      </c>
    </row>
    <row r="10" spans="1:27" x14ac:dyDescent="0.3">
      <c r="A10" s="1">
        <v>42837</v>
      </c>
      <c r="B10" s="1">
        <v>42928</v>
      </c>
      <c r="C10">
        <v>287.46383495330798</v>
      </c>
      <c r="D10">
        <v>312.60000152587799</v>
      </c>
      <c r="E10">
        <v>276.95</v>
      </c>
      <c r="F10">
        <v>35.650001525878899</v>
      </c>
      <c r="G10">
        <v>10.5138349533081</v>
      </c>
      <c r="H10">
        <v>35.650001525878899</v>
      </c>
      <c r="I10">
        <v>281.36293478011999</v>
      </c>
      <c r="J10">
        <v>281.45282907485898</v>
      </c>
      <c r="K10">
        <v>279.83419270515401</v>
      </c>
      <c r="L10">
        <v>283.24675054550102</v>
      </c>
      <c r="M10">
        <v>281.110411357879</v>
      </c>
      <c r="N10">
        <v>310.51148118972702</v>
      </c>
      <c r="O10">
        <v>296.39163703918399</v>
      </c>
      <c r="P10">
        <v>278.63886375427199</v>
      </c>
      <c r="Q10">
        <f t="shared" si="0"/>
        <v>283.14823132242412</v>
      </c>
      <c r="R10">
        <f>IF((Q10-E10)*(D10-E10)&gt;0, 1,0)</f>
        <v>1</v>
      </c>
      <c r="S10">
        <v>10.785996859999999</v>
      </c>
      <c r="T10" s="1">
        <v>42928</v>
      </c>
      <c r="U10">
        <f>D10+1.65*S10</f>
        <v>330.39689634487797</v>
      </c>
      <c r="V10">
        <f>D10-1.65*S10</f>
        <v>294.803106706878</v>
      </c>
      <c r="W10">
        <f t="shared" si="1"/>
        <v>283.14823132242412</v>
      </c>
      <c r="X10">
        <f t="shared" si="2"/>
        <v>0</v>
      </c>
      <c r="Y10">
        <f>IF(AND(C10&lt;U10, C10&gt;V10),1,0)</f>
        <v>0</v>
      </c>
      <c r="Z10">
        <f t="shared" si="3"/>
        <v>0</v>
      </c>
      <c r="AA10">
        <f>IF(AND(Y10=1,F10&gt;0), 1, 0)</f>
        <v>0</v>
      </c>
    </row>
    <row r="11" spans="1:27" x14ac:dyDescent="0.3">
      <c r="A11" s="1">
        <v>42838</v>
      </c>
      <c r="B11" s="1">
        <v>42929</v>
      </c>
      <c r="C11">
        <v>286.71923866271902</v>
      </c>
      <c r="D11">
        <v>316.55000152587797</v>
      </c>
      <c r="E11">
        <v>279.14999999999998</v>
      </c>
      <c r="F11">
        <v>37.400001525878899</v>
      </c>
      <c r="G11">
        <v>7.5692386627197203</v>
      </c>
      <c r="H11">
        <v>37.400001525878899</v>
      </c>
      <c r="I11">
        <v>281.43631782531702</v>
      </c>
      <c r="J11">
        <v>280.53584983348799</v>
      </c>
      <c r="K11">
        <v>279.49481203556002</v>
      </c>
      <c r="L11">
        <v>276.22485389709402</v>
      </c>
      <c r="M11">
        <v>279.33907672166799</v>
      </c>
      <c r="N11">
        <v>308.10940971374498</v>
      </c>
      <c r="O11">
        <v>288.09503974914497</v>
      </c>
      <c r="P11">
        <v>277.44046380519802</v>
      </c>
      <c r="Q11">
        <f t="shared" si="0"/>
        <v>280.36663055249574</v>
      </c>
      <c r="R11">
        <f>IF((Q11-E11)*(D11-E11)&gt;0, 1,0)</f>
        <v>1</v>
      </c>
      <c r="S11">
        <v>10.63473525</v>
      </c>
      <c r="T11" s="1">
        <v>42929</v>
      </c>
      <c r="U11">
        <f>D11+1.65*S11</f>
        <v>334.09731468837799</v>
      </c>
      <c r="V11">
        <f>D11-1.65*S11</f>
        <v>299.00268836337796</v>
      </c>
      <c r="W11">
        <f t="shared" si="1"/>
        <v>280.36663055249574</v>
      </c>
      <c r="X11">
        <f t="shared" si="2"/>
        <v>0</v>
      </c>
      <c r="Y11">
        <f>IF(AND(C11&lt;U11, C11&gt;V11),1,0)</f>
        <v>0</v>
      </c>
      <c r="Z11">
        <f t="shared" si="3"/>
        <v>0</v>
      </c>
      <c r="AA11">
        <f>IF(AND(Y11=1,F11&gt;0), 1, 0)</f>
        <v>0</v>
      </c>
    </row>
    <row r="12" spans="1:27" x14ac:dyDescent="0.3">
      <c r="A12" s="1">
        <v>42839</v>
      </c>
      <c r="B12" s="1">
        <v>42930</v>
      </c>
      <c r="C12">
        <v>287.83740062713599</v>
      </c>
      <c r="D12">
        <v>316.7</v>
      </c>
      <c r="E12">
        <v>277.7</v>
      </c>
      <c r="F12">
        <v>39</v>
      </c>
      <c r="G12">
        <v>10.1374006271362</v>
      </c>
      <c r="H12">
        <v>39</v>
      </c>
      <c r="I12">
        <v>283.141352367401</v>
      </c>
      <c r="J12">
        <v>279.00607330799102</v>
      </c>
      <c r="K12">
        <v>275.90441544055898</v>
      </c>
      <c r="L12">
        <v>278.13057894706702</v>
      </c>
      <c r="M12">
        <v>278.33320350646898</v>
      </c>
      <c r="N12">
        <v>311.19275236129698</v>
      </c>
      <c r="O12">
        <v>293.84887237548799</v>
      </c>
      <c r="P12">
        <v>275.89811403751298</v>
      </c>
      <c r="Q12">
        <f t="shared" si="0"/>
        <v>280.60894428321262</v>
      </c>
      <c r="R12">
        <f>IF((Q12-E12)*(D12-E12)&gt;0, 1,0)</f>
        <v>1</v>
      </c>
      <c r="S12">
        <v>10.4024231</v>
      </c>
      <c r="T12" s="1">
        <v>42930</v>
      </c>
      <c r="U12">
        <f>D12+1.65*S12</f>
        <v>333.86399811499996</v>
      </c>
      <c r="V12">
        <f>D12-1.65*S12</f>
        <v>299.53600188500002</v>
      </c>
      <c r="W12">
        <f t="shared" si="1"/>
        <v>280.60894428321262</v>
      </c>
      <c r="X12">
        <f t="shared" si="2"/>
        <v>0</v>
      </c>
      <c r="Y12">
        <f>IF(AND(C12&lt;U12, C12&gt;V12),1,0)</f>
        <v>0</v>
      </c>
      <c r="Z12">
        <f t="shared" si="3"/>
        <v>0</v>
      </c>
      <c r="AA12">
        <f>IF(AND(Y12=1,F12&gt;0), 1, 0)</f>
        <v>0</v>
      </c>
    </row>
    <row r="13" spans="1:27" x14ac:dyDescent="0.3">
      <c r="A13" s="1">
        <v>42842</v>
      </c>
      <c r="B13" s="1">
        <v>42933</v>
      </c>
      <c r="C13">
        <v>281.732384347915</v>
      </c>
      <c r="D13">
        <v>317.49999847412101</v>
      </c>
      <c r="E13">
        <v>278.64999999999998</v>
      </c>
      <c r="F13">
        <v>38.849998474121001</v>
      </c>
      <c r="G13">
        <v>3.0823843479156401</v>
      </c>
      <c r="H13">
        <v>38.849998474121001</v>
      </c>
      <c r="I13">
        <v>280.84294309616001</v>
      </c>
      <c r="J13">
        <v>280.66296544074999</v>
      </c>
      <c r="K13">
        <v>276.35438075065599</v>
      </c>
      <c r="L13">
        <v>276.44594278335501</v>
      </c>
      <c r="M13">
        <v>273.960695648193</v>
      </c>
      <c r="N13">
        <v>314.12204389572099</v>
      </c>
      <c r="O13">
        <v>291.01955356597898</v>
      </c>
      <c r="P13">
        <v>275.74810113906801</v>
      </c>
      <c r="Q13">
        <f t="shared" si="0"/>
        <v>279.29065463202301</v>
      </c>
      <c r="R13">
        <f>IF((Q13-E13)*(D13-E13)&gt;0, 1,0)</f>
        <v>1</v>
      </c>
      <c r="S13">
        <v>10.182204260000001</v>
      </c>
      <c r="T13" s="1">
        <v>42933</v>
      </c>
      <c r="U13">
        <f>D13+1.65*S13</f>
        <v>334.30063550312104</v>
      </c>
      <c r="V13">
        <f>D13-1.65*S13</f>
        <v>300.69936144512099</v>
      </c>
      <c r="W13">
        <f t="shared" si="1"/>
        <v>279.29065463202301</v>
      </c>
      <c r="X13">
        <f t="shared" si="2"/>
        <v>0</v>
      </c>
      <c r="Y13">
        <f>IF(AND(C13&lt;U13, C13&gt;V13),1,0)</f>
        <v>0</v>
      </c>
      <c r="Z13">
        <f t="shared" si="3"/>
        <v>0</v>
      </c>
      <c r="AA13">
        <f>IF(AND(Y13=1,F13&gt;0), 1, 0)</f>
        <v>0</v>
      </c>
    </row>
    <row r="14" spans="1:27" x14ac:dyDescent="0.3">
      <c r="A14" s="1">
        <v>42843</v>
      </c>
      <c r="B14" s="1">
        <v>42934</v>
      </c>
      <c r="C14">
        <v>286.52655658721898</v>
      </c>
      <c r="D14">
        <v>318.05000076293902</v>
      </c>
      <c r="E14">
        <v>278.35000000000002</v>
      </c>
      <c r="F14">
        <v>39.700000762939403</v>
      </c>
      <c r="G14">
        <v>8.1765565872192294</v>
      </c>
      <c r="H14">
        <v>39.700000762939403</v>
      </c>
      <c r="I14">
        <v>277.962101852893</v>
      </c>
      <c r="J14">
        <v>276.80762908458701</v>
      </c>
      <c r="K14">
        <v>277.14769241809802</v>
      </c>
      <c r="L14">
        <v>283.67211875915501</v>
      </c>
      <c r="M14">
        <v>276.70800564288999</v>
      </c>
      <c r="N14">
        <v>311.39234457015903</v>
      </c>
      <c r="O14">
        <v>292.07693347930899</v>
      </c>
      <c r="P14">
        <v>276.55270276069598</v>
      </c>
      <c r="Q14">
        <f t="shared" si="0"/>
        <v>280.13245485680403</v>
      </c>
      <c r="R14">
        <f>IF((Q14-E14)*(D14-E14)&gt;0, 1,0)</f>
        <v>1</v>
      </c>
      <c r="S14">
        <v>9.9222192630000006</v>
      </c>
      <c r="T14" s="1">
        <v>42934</v>
      </c>
      <c r="U14">
        <f>D14+1.65*S14</f>
        <v>334.42166254688902</v>
      </c>
      <c r="V14">
        <f>D14-1.65*S14</f>
        <v>301.67833897898902</v>
      </c>
      <c r="W14">
        <f t="shared" si="1"/>
        <v>280.13245485680403</v>
      </c>
      <c r="X14">
        <f t="shared" si="2"/>
        <v>0</v>
      </c>
      <c r="Y14">
        <f>IF(AND(C14&lt;U14, C14&gt;V14),1,0)</f>
        <v>0</v>
      </c>
      <c r="Z14">
        <f t="shared" si="3"/>
        <v>0</v>
      </c>
      <c r="AA14">
        <f>IF(AND(Y14=1,F14&gt;0), 1, 0)</f>
        <v>0</v>
      </c>
    </row>
    <row r="15" spans="1:27" x14ac:dyDescent="0.3">
      <c r="A15" s="1">
        <v>42844</v>
      </c>
      <c r="B15" s="1">
        <v>42935</v>
      </c>
      <c r="C15">
        <v>288.396425819397</v>
      </c>
      <c r="D15">
        <v>318.699998474121</v>
      </c>
      <c r="E15">
        <v>276.85000000000002</v>
      </c>
      <c r="F15">
        <v>41.849998474121001</v>
      </c>
      <c r="G15">
        <v>11.5464258193969</v>
      </c>
      <c r="H15">
        <v>41.849998474121001</v>
      </c>
      <c r="I15">
        <v>276.11680719852399</v>
      </c>
      <c r="J15">
        <v>276.05286309719003</v>
      </c>
      <c r="K15">
        <v>276.45344189405398</v>
      </c>
      <c r="L15">
        <v>278.07632396221101</v>
      </c>
      <c r="M15">
        <v>279.541893815994</v>
      </c>
      <c r="N15">
        <v>311.11091022491399</v>
      </c>
      <c r="O15">
        <v>292.73249301910403</v>
      </c>
      <c r="P15">
        <v>276.680083608627</v>
      </c>
      <c r="Q15">
        <f t="shared" si="0"/>
        <v>279.37912951367196</v>
      </c>
      <c r="R15">
        <f>IF((Q15-E15)*(D15-E15)&gt;0, 1,0)</f>
        <v>1</v>
      </c>
      <c r="S15">
        <v>9.5689236219999998</v>
      </c>
      <c r="T15" s="1">
        <v>42935</v>
      </c>
      <c r="U15">
        <f>D15+1.65*S15</f>
        <v>334.48872245042099</v>
      </c>
      <c r="V15">
        <f>D15-1.65*S15</f>
        <v>302.91127449782101</v>
      </c>
      <c r="W15">
        <f t="shared" si="1"/>
        <v>279.37912951367196</v>
      </c>
      <c r="X15">
        <f t="shared" si="2"/>
        <v>0</v>
      </c>
      <c r="Y15">
        <f>IF(AND(C15&lt;U15, C15&gt;V15),1,0)</f>
        <v>0</v>
      </c>
      <c r="Z15">
        <f t="shared" si="3"/>
        <v>0</v>
      </c>
      <c r="AA15">
        <f>IF(AND(Y15=1,F15&gt;0), 1, 0)</f>
        <v>0</v>
      </c>
    </row>
    <row r="16" spans="1:27" x14ac:dyDescent="0.3">
      <c r="A16" s="1">
        <v>42845</v>
      </c>
      <c r="B16" s="1">
        <v>42936</v>
      </c>
      <c r="C16">
        <v>287.04449176788302</v>
      </c>
      <c r="D16">
        <v>319.59999847412098</v>
      </c>
      <c r="E16">
        <v>278.25</v>
      </c>
      <c r="F16">
        <v>41.349998474121001</v>
      </c>
      <c r="G16">
        <v>8.7944917678833008</v>
      </c>
      <c r="H16">
        <v>41.349998474121001</v>
      </c>
      <c r="I16">
        <v>278.16464703529999</v>
      </c>
      <c r="J16">
        <v>277.89572763442902</v>
      </c>
      <c r="K16">
        <v>279.02838879823599</v>
      </c>
      <c r="L16">
        <v>285.56834888458201</v>
      </c>
      <c r="M16">
        <v>279.24243044853199</v>
      </c>
      <c r="N16">
        <v>316.97292881011901</v>
      </c>
      <c r="O16">
        <v>291.880934715271</v>
      </c>
      <c r="P16">
        <v>276.88127279281599</v>
      </c>
      <c r="Q16">
        <f t="shared" si="0"/>
        <v>281.23739290130942</v>
      </c>
      <c r="R16">
        <f>IF((Q16-E16)*(D16-E16)&gt;0, 1,0)</f>
        <v>1</v>
      </c>
      <c r="S16">
        <v>9.2422643719999993</v>
      </c>
      <c r="T16" s="1">
        <v>42936</v>
      </c>
      <c r="U16">
        <f>D16+1.65*S16</f>
        <v>334.849734687921</v>
      </c>
      <c r="V16">
        <f>D16-1.65*S16</f>
        <v>304.35026226032096</v>
      </c>
      <c r="W16">
        <f t="shared" si="1"/>
        <v>281.23739290130942</v>
      </c>
      <c r="X16">
        <f t="shared" si="2"/>
        <v>0</v>
      </c>
      <c r="Y16">
        <f>IF(AND(C16&lt;U16, C16&gt;V16),1,0)</f>
        <v>0</v>
      </c>
      <c r="Z16">
        <f t="shared" si="3"/>
        <v>0</v>
      </c>
      <c r="AA16">
        <f>IF(AND(Y16=1,F16&gt;0), 1, 0)</f>
        <v>0</v>
      </c>
    </row>
    <row r="17" spans="1:27" x14ac:dyDescent="0.3">
      <c r="A17" s="1">
        <v>42846</v>
      </c>
      <c r="B17" s="1">
        <v>42937</v>
      </c>
      <c r="C17">
        <v>285.81258888244599</v>
      </c>
      <c r="D17">
        <v>321.10000152587799</v>
      </c>
      <c r="E17">
        <v>280.7</v>
      </c>
      <c r="F17">
        <v>40.400001525878899</v>
      </c>
      <c r="G17">
        <v>5.1125888824462802</v>
      </c>
      <c r="H17">
        <v>40.400001525878899</v>
      </c>
      <c r="I17">
        <v>277.06261224746697</v>
      </c>
      <c r="J17">
        <v>278.54856057167001</v>
      </c>
      <c r="K17">
        <v>277.70022006034799</v>
      </c>
      <c r="L17">
        <v>279.99235041141498</v>
      </c>
      <c r="M17">
        <v>280.172108006477</v>
      </c>
      <c r="N17">
        <v>310.14366686344101</v>
      </c>
      <c r="O17">
        <v>291.37909908294603</v>
      </c>
      <c r="P17">
        <v>275.21542758941598</v>
      </c>
      <c r="Q17">
        <f t="shared" si="0"/>
        <v>280.01005399567697</v>
      </c>
      <c r="R17">
        <f>IF((Q17-E17)*(D17-E17)&gt;0, 1,0)</f>
        <v>0</v>
      </c>
      <c r="S17">
        <v>9.0064031040000003</v>
      </c>
      <c r="T17" s="1">
        <v>42937</v>
      </c>
      <c r="U17">
        <f>D17+1.65*S17</f>
        <v>335.960566647478</v>
      </c>
      <c r="V17">
        <f>D17-1.65*S17</f>
        <v>306.23943640427797</v>
      </c>
      <c r="W17">
        <f t="shared" si="1"/>
        <v>280.01005399567697</v>
      </c>
      <c r="X17">
        <f t="shared" si="2"/>
        <v>0</v>
      </c>
      <c r="Y17">
        <f>IF(AND(C17&lt;U17, C17&gt;V17),1,0)</f>
        <v>0</v>
      </c>
      <c r="Z17">
        <f t="shared" si="3"/>
        <v>0</v>
      </c>
      <c r="AA17">
        <f>IF(AND(Y17=1,F17&gt;0), 1, 0)</f>
        <v>0</v>
      </c>
    </row>
    <row r="18" spans="1:27" x14ac:dyDescent="0.3">
      <c r="A18" s="1">
        <v>42849</v>
      </c>
      <c r="B18" s="1">
        <v>42940</v>
      </c>
      <c r="C18">
        <v>287.65680990219101</v>
      </c>
      <c r="D18">
        <v>321.25000152587802</v>
      </c>
      <c r="E18">
        <v>281.85000000000002</v>
      </c>
      <c r="F18">
        <v>39.400001525878899</v>
      </c>
      <c r="G18">
        <v>5.8068099021911603</v>
      </c>
      <c r="H18">
        <v>39.400001525878899</v>
      </c>
      <c r="I18">
        <v>279.24253449439999</v>
      </c>
      <c r="J18">
        <v>279.77758202552798</v>
      </c>
      <c r="K18">
        <v>281.69285624325198</v>
      </c>
      <c r="L18">
        <v>281.29067734479901</v>
      </c>
      <c r="M18">
        <v>285.10610852241501</v>
      </c>
      <c r="N18">
        <v>311.71457927226999</v>
      </c>
      <c r="O18">
        <v>297.09425792693997</v>
      </c>
      <c r="P18">
        <v>279.31972894668502</v>
      </c>
      <c r="Q18">
        <f t="shared" si="0"/>
        <v>283.36053507200273</v>
      </c>
      <c r="R18">
        <f>IF((Q18-E18)*(D18-E18)&gt;0, 1,0)</f>
        <v>1</v>
      </c>
      <c r="S18">
        <v>8.7728100349999991</v>
      </c>
      <c r="T18" s="1">
        <v>42940</v>
      </c>
      <c r="U18">
        <f>D18+1.65*S18</f>
        <v>335.725138083628</v>
      </c>
      <c r="V18">
        <f>D18-1.65*S18</f>
        <v>306.77486496812804</v>
      </c>
      <c r="W18">
        <f t="shared" si="1"/>
        <v>283.36053507200273</v>
      </c>
      <c r="X18">
        <f t="shared" si="2"/>
        <v>0</v>
      </c>
      <c r="Y18">
        <f>IF(AND(C18&lt;U18, C18&gt;V18),1,0)</f>
        <v>0</v>
      </c>
      <c r="Z18">
        <f t="shared" si="3"/>
        <v>0</v>
      </c>
      <c r="AA18">
        <f>IF(AND(Y18=1,F18&gt;0), 1, 0)</f>
        <v>0</v>
      </c>
    </row>
    <row r="19" spans="1:27" x14ac:dyDescent="0.3">
      <c r="A19" s="1">
        <v>42850</v>
      </c>
      <c r="B19" s="1">
        <v>42941</v>
      </c>
      <c r="C19">
        <v>288.11485238075198</v>
      </c>
      <c r="D19">
        <v>319.65000076293899</v>
      </c>
      <c r="E19">
        <v>285.2</v>
      </c>
      <c r="F19">
        <v>34.450000762939403</v>
      </c>
      <c r="G19">
        <v>2.9148523807525599</v>
      </c>
      <c r="H19">
        <v>34.450000762939403</v>
      </c>
      <c r="I19">
        <v>283.327197623252</v>
      </c>
      <c r="J19">
        <v>282.44182391166601</v>
      </c>
      <c r="K19">
        <v>282.83584494590701</v>
      </c>
      <c r="L19">
        <v>285.33145434856402</v>
      </c>
      <c r="M19">
        <v>287.955205392837</v>
      </c>
      <c r="N19">
        <v>305.42470369338901</v>
      </c>
      <c r="O19">
        <v>293.81391639709398</v>
      </c>
      <c r="P19">
        <v>280.87917251586902</v>
      </c>
      <c r="Q19">
        <f t="shared" si="0"/>
        <v>285.22637359074128</v>
      </c>
      <c r="R19">
        <f>IF((Q19-E19)*(D19-E19)&gt;0, 1,0)</f>
        <v>1</v>
      </c>
      <c r="S19">
        <v>8.5826155489999998</v>
      </c>
      <c r="T19" s="1">
        <v>42941</v>
      </c>
      <c r="U19">
        <f>D19+1.65*S19</f>
        <v>333.81131641878898</v>
      </c>
      <c r="V19">
        <f>D19-1.65*S19</f>
        <v>305.488685107089</v>
      </c>
      <c r="W19">
        <f t="shared" si="1"/>
        <v>285.22637359074128</v>
      </c>
      <c r="X19">
        <f t="shared" si="2"/>
        <v>0</v>
      </c>
      <c r="Y19">
        <f>IF(AND(C19&lt;U19, C19&gt;V19),1,0)</f>
        <v>0</v>
      </c>
      <c r="Z19">
        <f t="shared" si="3"/>
        <v>0</v>
      </c>
      <c r="AA19">
        <f>IF(AND(Y19=1,F19&gt;0), 1, 0)</f>
        <v>0</v>
      </c>
    </row>
    <row r="20" spans="1:27" x14ac:dyDescent="0.3">
      <c r="A20" s="1">
        <v>42851</v>
      </c>
      <c r="B20" s="1">
        <v>42942</v>
      </c>
      <c r="C20">
        <v>289.47928233146598</v>
      </c>
      <c r="D20">
        <v>318.95</v>
      </c>
      <c r="E20">
        <v>286.45</v>
      </c>
      <c r="F20">
        <v>32.5</v>
      </c>
      <c r="G20">
        <v>3.0292823314666699</v>
      </c>
      <c r="H20">
        <v>32.5</v>
      </c>
      <c r="I20">
        <v>284.190082740783</v>
      </c>
      <c r="J20">
        <v>284.24782652854901</v>
      </c>
      <c r="K20">
        <v>283.81077737808198</v>
      </c>
      <c r="L20">
        <v>286.16783244609798</v>
      </c>
      <c r="M20">
        <v>288.59937520027103</v>
      </c>
      <c r="N20">
        <v>310.694095551967</v>
      </c>
      <c r="O20">
        <v>294.63283176422101</v>
      </c>
      <c r="P20">
        <v>283.62036628723098</v>
      </c>
      <c r="Q20">
        <f t="shared" si="0"/>
        <v>286.46701319217647</v>
      </c>
      <c r="R20">
        <f>IF((Q20-E20)*(D20-E20)&gt;0, 1,0)</f>
        <v>1</v>
      </c>
      <c r="S20">
        <v>8.3847168799999992</v>
      </c>
      <c r="T20" s="1">
        <v>42942</v>
      </c>
      <c r="U20">
        <f>D20+1.65*S20</f>
        <v>332.78478285199998</v>
      </c>
      <c r="V20">
        <f>D20-1.65*S20</f>
        <v>305.115217148</v>
      </c>
      <c r="W20">
        <f t="shared" si="1"/>
        <v>286.46701319217647</v>
      </c>
      <c r="X20">
        <f t="shared" si="2"/>
        <v>0</v>
      </c>
      <c r="Y20">
        <f>IF(AND(C20&lt;U20, C20&gt;V20),1,0)</f>
        <v>0</v>
      </c>
      <c r="Z20">
        <f t="shared" si="3"/>
        <v>0</v>
      </c>
      <c r="AA20">
        <f>IF(AND(Y20=1,F20&gt;0), 1, 0)</f>
        <v>0</v>
      </c>
    </row>
    <row r="21" spans="1:27" x14ac:dyDescent="0.3">
      <c r="A21" s="1">
        <v>42852</v>
      </c>
      <c r="B21" s="1">
        <v>42943</v>
      </c>
      <c r="C21">
        <v>294.05854902267401</v>
      </c>
      <c r="D21">
        <v>319.85000000000002</v>
      </c>
      <c r="E21">
        <v>287.35000000000002</v>
      </c>
      <c r="F21">
        <v>32.5</v>
      </c>
      <c r="G21">
        <v>6.7085490226745597</v>
      </c>
      <c r="H21">
        <v>32.5</v>
      </c>
      <c r="I21">
        <v>284.50953350067101</v>
      </c>
      <c r="J21">
        <v>287.45306754708201</v>
      </c>
      <c r="K21">
        <v>288.14704815149298</v>
      </c>
      <c r="L21">
        <v>291.58621082305899</v>
      </c>
      <c r="M21">
        <v>289.62341294288598</v>
      </c>
      <c r="N21">
        <v>304.58799085616999</v>
      </c>
      <c r="O21">
        <v>299.17385253906201</v>
      </c>
      <c r="P21">
        <v>288.158359503746</v>
      </c>
      <c r="Q21">
        <f t="shared" si="0"/>
        <v>289.8073550011427</v>
      </c>
      <c r="R21">
        <f>IF((Q21-E21)*(D21-E21)&gt;0, 1,0)</f>
        <v>1</v>
      </c>
      <c r="S21">
        <v>8.2068212280000008</v>
      </c>
      <c r="T21" s="1">
        <v>42943</v>
      </c>
      <c r="U21">
        <f>D21+1.65*S21</f>
        <v>333.39125502620004</v>
      </c>
      <c r="V21">
        <f>D21-1.65*S21</f>
        <v>306.3087449738</v>
      </c>
      <c r="W21">
        <f t="shared" si="1"/>
        <v>289.8073550011427</v>
      </c>
      <c r="X21">
        <f t="shared" si="2"/>
        <v>0</v>
      </c>
      <c r="Y21">
        <f>IF(AND(C21&lt;U21, C21&gt;V21),1,0)</f>
        <v>0</v>
      </c>
      <c r="Z21">
        <f t="shared" si="3"/>
        <v>0</v>
      </c>
      <c r="AA21">
        <f>IF(AND(Y21=1,F21&gt;0), 1, 0)</f>
        <v>0</v>
      </c>
    </row>
    <row r="22" spans="1:27" x14ac:dyDescent="0.3">
      <c r="A22" s="1">
        <v>42853</v>
      </c>
      <c r="B22" s="1">
        <v>42944</v>
      </c>
      <c r="C22">
        <v>300.45067005157398</v>
      </c>
      <c r="D22">
        <v>312.55</v>
      </c>
      <c r="E22">
        <v>287.8</v>
      </c>
      <c r="F22">
        <v>24.75</v>
      </c>
      <c r="G22">
        <v>12.6506700515747</v>
      </c>
      <c r="H22">
        <v>24.75</v>
      </c>
      <c r="I22">
        <v>287.00971989631603</v>
      </c>
      <c r="J22">
        <v>287.83119518049</v>
      </c>
      <c r="K22">
        <v>289.154695916175</v>
      </c>
      <c r="L22">
        <v>290.97833805084201</v>
      </c>
      <c r="M22">
        <v>290.14757113456699</v>
      </c>
      <c r="N22">
        <v>317.297236728668</v>
      </c>
      <c r="O22">
        <v>297.78463726043702</v>
      </c>
      <c r="P22">
        <v>282.83892517089799</v>
      </c>
      <c r="Q22">
        <f t="shared" si="0"/>
        <v>289.39215465853215</v>
      </c>
      <c r="R22">
        <f>IF((Q22-E22)*(D22-E22)&gt;0, 1,0)</f>
        <v>1</v>
      </c>
      <c r="S22">
        <v>7.881278633</v>
      </c>
      <c r="T22" s="1">
        <v>42944</v>
      </c>
      <c r="U22">
        <f>D22+1.65*S22</f>
        <v>325.55410974444999</v>
      </c>
      <c r="V22">
        <f>D22-1.65*S22</f>
        <v>299.54589025555003</v>
      </c>
      <c r="W22">
        <f t="shared" si="1"/>
        <v>289.39215465853215</v>
      </c>
      <c r="X22">
        <f t="shared" si="2"/>
        <v>0</v>
      </c>
      <c r="Y22">
        <f>IF(AND(C22&lt;U22, C22&gt;V22),1,0)</f>
        <v>1</v>
      </c>
      <c r="Z22">
        <f t="shared" si="3"/>
        <v>0</v>
      </c>
      <c r="AA22">
        <f>IF(AND(Y22=1,F22&gt;0), 1, 0)</f>
        <v>1</v>
      </c>
    </row>
    <row r="23" spans="1:27" x14ac:dyDescent="0.3">
      <c r="A23" s="1">
        <v>42856</v>
      </c>
      <c r="B23" s="1">
        <v>42947</v>
      </c>
      <c r="C23">
        <v>296.06504993438699</v>
      </c>
      <c r="D23">
        <v>313.55</v>
      </c>
      <c r="E23">
        <v>287.8</v>
      </c>
      <c r="F23">
        <v>25.75</v>
      </c>
      <c r="G23">
        <v>8.2650499343871999</v>
      </c>
      <c r="H23">
        <v>25.75</v>
      </c>
      <c r="I23">
        <v>283.16152029037403</v>
      </c>
      <c r="J23">
        <v>286.56150667667299</v>
      </c>
      <c r="K23">
        <v>288.51923226117998</v>
      </c>
      <c r="L23">
        <v>286.64613001346498</v>
      </c>
      <c r="M23">
        <v>288.60191737413402</v>
      </c>
      <c r="N23">
        <v>315.80903930663999</v>
      </c>
      <c r="O23">
        <v>297.23322944641097</v>
      </c>
      <c r="P23">
        <v>289.17448287010097</v>
      </c>
      <c r="Q23">
        <f t="shared" si="0"/>
        <v>288.5568598474768</v>
      </c>
      <c r="R23">
        <f>IF((Q23-E23)*(D23-E23)&gt;0, 1,0)</f>
        <v>1</v>
      </c>
      <c r="S23">
        <v>7.5336136170000003</v>
      </c>
      <c r="T23" s="1">
        <v>42947</v>
      </c>
      <c r="U23">
        <f>D23+1.65*S23</f>
        <v>325.98046246805001</v>
      </c>
      <c r="V23">
        <f>D23-1.65*S23</f>
        <v>301.11953753195002</v>
      </c>
      <c r="W23">
        <f t="shared" si="1"/>
        <v>288.5568598474768</v>
      </c>
      <c r="X23">
        <f t="shared" si="2"/>
        <v>0</v>
      </c>
      <c r="Y23">
        <f>IF(AND(C23&lt;U23, C23&gt;V23),1,0)</f>
        <v>0</v>
      </c>
      <c r="Z23">
        <f t="shared" si="3"/>
        <v>0</v>
      </c>
      <c r="AA23">
        <f>IF(AND(Y23=1,F23&gt;0), 1, 0)</f>
        <v>0</v>
      </c>
    </row>
    <row r="24" spans="1:27" x14ac:dyDescent="0.3">
      <c r="A24" s="1">
        <v>42857</v>
      </c>
      <c r="B24" s="1">
        <v>42948</v>
      </c>
      <c r="C24">
        <v>293.14941554069497</v>
      </c>
      <c r="D24">
        <v>316.55</v>
      </c>
      <c r="E24">
        <v>290.05</v>
      </c>
      <c r="F24">
        <v>26.5</v>
      </c>
      <c r="G24">
        <v>3.09941554069519</v>
      </c>
      <c r="H24">
        <v>26.5</v>
      </c>
      <c r="I24">
        <v>284.76083784103298</v>
      </c>
      <c r="J24">
        <v>285.92936449050899</v>
      </c>
      <c r="K24">
        <v>289.849770638346</v>
      </c>
      <c r="L24">
        <v>287.31465225219699</v>
      </c>
      <c r="M24">
        <v>291.00830440521202</v>
      </c>
      <c r="N24">
        <v>314.02418985366802</v>
      </c>
      <c r="O24">
        <v>294.89103870391801</v>
      </c>
      <c r="P24">
        <v>289.526216554641</v>
      </c>
      <c r="Q24">
        <f t="shared" si="0"/>
        <v>289.04002641226515</v>
      </c>
      <c r="R24">
        <f>IF((Q24-E24)*(D24-E24)&gt;0, 1,0)</f>
        <v>0</v>
      </c>
      <c r="S24">
        <v>7.2856713629999996</v>
      </c>
      <c r="T24" s="1">
        <v>42948</v>
      </c>
      <c r="U24">
        <f>D24+1.65*S24</f>
        <v>328.57135774894999</v>
      </c>
      <c r="V24">
        <f>D24-1.65*S24</f>
        <v>304.52864225105003</v>
      </c>
      <c r="W24">
        <f t="shared" si="1"/>
        <v>289.04002641226515</v>
      </c>
      <c r="X24">
        <f t="shared" si="2"/>
        <v>0</v>
      </c>
      <c r="Y24">
        <f>IF(AND(C24&lt;U24, C24&gt;V24),1,0)</f>
        <v>0</v>
      </c>
      <c r="Z24">
        <f t="shared" si="3"/>
        <v>0</v>
      </c>
      <c r="AA24">
        <f>IF(AND(Y24=1,F24&gt;0), 1, 0)</f>
        <v>0</v>
      </c>
    </row>
    <row r="25" spans="1:27" x14ac:dyDescent="0.3">
      <c r="A25" s="1">
        <v>42858</v>
      </c>
      <c r="B25" s="1">
        <v>42949</v>
      </c>
      <c r="C25">
        <v>290.32591773867603</v>
      </c>
      <c r="D25">
        <v>317.150000381469</v>
      </c>
      <c r="E25">
        <v>290.05</v>
      </c>
      <c r="F25">
        <v>27.100000381469702</v>
      </c>
      <c r="G25">
        <v>0.275917738676071</v>
      </c>
      <c r="H25">
        <v>27.100000381469702</v>
      </c>
      <c r="I25">
        <v>284.60306053161599</v>
      </c>
      <c r="J25">
        <v>285.17861347198402</v>
      </c>
      <c r="K25">
        <v>290.220725986361</v>
      </c>
      <c r="L25">
        <v>287.18267135620101</v>
      </c>
      <c r="M25">
        <v>290.82019965648601</v>
      </c>
      <c r="N25">
        <v>313.62606916427598</v>
      </c>
      <c r="O25">
        <v>291.99781053066198</v>
      </c>
      <c r="P25">
        <v>289.33558301925598</v>
      </c>
      <c r="Q25">
        <f t="shared" si="0"/>
        <v>288.47695207893804</v>
      </c>
      <c r="R25">
        <f>IF((Q25-E25)*(D25-E25)&gt;0, 1,0)</f>
        <v>0</v>
      </c>
      <c r="S25">
        <v>7.0162937080000001</v>
      </c>
      <c r="T25" s="1">
        <v>42949</v>
      </c>
      <c r="U25">
        <f>D25+1.65*S25</f>
        <v>328.72688499966898</v>
      </c>
      <c r="V25">
        <f>D25-1.65*S25</f>
        <v>305.57311576326902</v>
      </c>
      <c r="W25">
        <f t="shared" si="1"/>
        <v>288.47695207893804</v>
      </c>
      <c r="X25">
        <f t="shared" si="2"/>
        <v>0</v>
      </c>
      <c r="Y25">
        <f>IF(AND(C25&lt;U25, C25&gt;V25),1,0)</f>
        <v>0</v>
      </c>
      <c r="Z25">
        <f t="shared" si="3"/>
        <v>0</v>
      </c>
      <c r="AA25">
        <f>IF(AND(Y25=1,F25&gt;0), 1, 0)</f>
        <v>0</v>
      </c>
    </row>
    <row r="26" spans="1:27" x14ac:dyDescent="0.3">
      <c r="A26" s="1">
        <v>42859</v>
      </c>
      <c r="B26" s="1">
        <v>42950</v>
      </c>
      <c r="C26">
        <v>290.24236750602699</v>
      </c>
      <c r="D26">
        <v>311.64999961852999</v>
      </c>
      <c r="E26">
        <v>292.75</v>
      </c>
      <c r="F26">
        <v>-18.899999618530199</v>
      </c>
      <c r="G26">
        <v>-2.5076324939727699</v>
      </c>
      <c r="H26">
        <v>18.899999618530199</v>
      </c>
      <c r="I26">
        <v>285.533131122589</v>
      </c>
      <c r="J26">
        <v>289.42006468772797</v>
      </c>
      <c r="K26">
        <v>291.90014255046799</v>
      </c>
      <c r="L26">
        <v>290.38383579254099</v>
      </c>
      <c r="M26">
        <v>293.24926584959002</v>
      </c>
      <c r="N26">
        <v>310.107761836051</v>
      </c>
      <c r="O26">
        <v>290.96367359161297</v>
      </c>
      <c r="P26">
        <v>290.61532068252501</v>
      </c>
      <c r="Q26">
        <f t="shared" si="0"/>
        <v>290.29506203957914</v>
      </c>
      <c r="R26">
        <f>IF((Q26-E26)*(D26-E26)&gt;0, 1,0)</f>
        <v>0</v>
      </c>
      <c r="S26">
        <v>6.7457855430000002</v>
      </c>
      <c r="T26" s="1">
        <v>42950</v>
      </c>
      <c r="U26">
        <f>D26+1.65*S26</f>
        <v>322.78054576448</v>
      </c>
      <c r="V26">
        <f>D26-1.65*S26</f>
        <v>300.51945347257998</v>
      </c>
      <c r="W26">
        <f t="shared" si="1"/>
        <v>290.29506203957914</v>
      </c>
      <c r="X26">
        <f t="shared" si="2"/>
        <v>0</v>
      </c>
      <c r="Y26">
        <f>IF(AND(C26&lt;U26, C26&gt;V26),1,0)</f>
        <v>0</v>
      </c>
      <c r="Z26">
        <f t="shared" si="3"/>
        <v>0</v>
      </c>
      <c r="AA26">
        <f>IF(AND(Y26=1,F26&gt;0), 1, 0)</f>
        <v>0</v>
      </c>
    </row>
    <row r="27" spans="1:27" x14ac:dyDescent="0.3">
      <c r="A27" s="1">
        <v>42860</v>
      </c>
      <c r="B27" s="1">
        <v>42951</v>
      </c>
      <c r="C27">
        <v>288.72171401977499</v>
      </c>
      <c r="D27">
        <v>312.85000038146899</v>
      </c>
      <c r="E27">
        <v>292.75</v>
      </c>
      <c r="F27">
        <v>-20.100000381469702</v>
      </c>
      <c r="G27">
        <v>-4.0282859802245996</v>
      </c>
      <c r="H27">
        <v>20.100000381469702</v>
      </c>
      <c r="I27">
        <v>286.52174425125099</v>
      </c>
      <c r="J27">
        <v>289.69216609001103</v>
      </c>
      <c r="K27">
        <v>291.469941496849</v>
      </c>
      <c r="L27">
        <v>289.95232820510802</v>
      </c>
      <c r="M27">
        <v>291.74974036216702</v>
      </c>
      <c r="N27">
        <v>311.82108318805598</v>
      </c>
      <c r="O27">
        <v>287.30831623077302</v>
      </c>
      <c r="P27">
        <v>291.61787760257698</v>
      </c>
      <c r="Q27">
        <f t="shared" si="0"/>
        <v>289.7588734626766</v>
      </c>
      <c r="R27">
        <f>IF((Q27-E27)*(D27-E27)&gt;0, 1,0)</f>
        <v>0</v>
      </c>
      <c r="S27">
        <v>6.4602585010000002</v>
      </c>
      <c r="T27" s="1">
        <v>42951</v>
      </c>
      <c r="U27">
        <f>D27+1.65*S27</f>
        <v>323.509426908119</v>
      </c>
      <c r="V27">
        <f>D27-1.65*S27</f>
        <v>302.19057385481898</v>
      </c>
      <c r="W27">
        <f t="shared" si="1"/>
        <v>289.7588734626766</v>
      </c>
      <c r="X27">
        <f t="shared" si="2"/>
        <v>0</v>
      </c>
      <c r="Y27">
        <f>IF(AND(C27&lt;U27, C27&gt;V27),1,0)</f>
        <v>0</v>
      </c>
      <c r="Z27">
        <f t="shared" si="3"/>
        <v>0</v>
      </c>
      <c r="AA27">
        <f>IF(AND(Y27=1,F27&gt;0), 1, 0)</f>
        <v>0</v>
      </c>
    </row>
    <row r="28" spans="1:27" x14ac:dyDescent="0.3">
      <c r="A28" s="1">
        <v>42863</v>
      </c>
      <c r="B28" s="1">
        <v>42954</v>
      </c>
      <c r="C28">
        <v>294.67497129440301</v>
      </c>
      <c r="D28">
        <v>312.89999980926501</v>
      </c>
      <c r="E28">
        <v>300.7</v>
      </c>
      <c r="F28">
        <v>-12.199999809265099</v>
      </c>
      <c r="G28">
        <v>-6.0250287055969203</v>
      </c>
      <c r="H28">
        <v>12.199999809265099</v>
      </c>
      <c r="I28">
        <v>296.03909893035802</v>
      </c>
      <c r="J28">
        <v>296.98812575340202</v>
      </c>
      <c r="K28">
        <v>298.93781359195702</v>
      </c>
      <c r="L28">
        <v>296.32845277786203</v>
      </c>
      <c r="M28">
        <v>298.85415275096801</v>
      </c>
      <c r="N28">
        <v>310.87534347474502</v>
      </c>
      <c r="O28">
        <v>300.60797210484702</v>
      </c>
      <c r="P28">
        <v>295.605043601989</v>
      </c>
      <c r="Q28">
        <f t="shared" si="0"/>
        <v>297.62295135876906</v>
      </c>
      <c r="R28">
        <f>IF((Q28-E28)*(D28-E28)&gt;0, 1,0)</f>
        <v>0</v>
      </c>
      <c r="S28">
        <v>6.3934764299999998</v>
      </c>
      <c r="T28" s="1">
        <v>42954</v>
      </c>
      <c r="U28">
        <f>D28+1.65*S28</f>
        <v>323.449235918765</v>
      </c>
      <c r="V28">
        <f>D28-1.65*S28</f>
        <v>302.35076369976503</v>
      </c>
      <c r="W28">
        <f t="shared" si="1"/>
        <v>297.62295135876906</v>
      </c>
      <c r="X28">
        <f t="shared" si="2"/>
        <v>0</v>
      </c>
      <c r="Y28">
        <f>IF(AND(C28&lt;U28, C28&gt;V28),1,0)</f>
        <v>0</v>
      </c>
      <c r="Z28">
        <f t="shared" si="3"/>
        <v>0</v>
      </c>
      <c r="AA28">
        <f>IF(AND(Y28=1,F28&gt;0), 1, 0)</f>
        <v>0</v>
      </c>
    </row>
    <row r="29" spans="1:27" x14ac:dyDescent="0.3">
      <c r="A29" s="1">
        <v>42864</v>
      </c>
      <c r="B29" s="1">
        <v>42955</v>
      </c>
      <c r="C29">
        <v>294.04890222549398</v>
      </c>
      <c r="D29">
        <v>312.84999961852998</v>
      </c>
      <c r="E29">
        <v>300.7</v>
      </c>
      <c r="F29">
        <v>-12.149999618530201</v>
      </c>
      <c r="G29">
        <v>-6.6510977745056099</v>
      </c>
      <c r="H29">
        <v>12.149999618530201</v>
      </c>
      <c r="I29">
        <v>296.86913676261901</v>
      </c>
      <c r="J29">
        <v>296.834785413742</v>
      </c>
      <c r="K29">
        <v>298.23801655769302</v>
      </c>
      <c r="L29">
        <v>295.41877622604301</v>
      </c>
      <c r="M29">
        <v>298.25503368377599</v>
      </c>
      <c r="N29">
        <v>310.65762348175002</v>
      </c>
      <c r="O29">
        <v>295.96466703414899</v>
      </c>
      <c r="P29">
        <v>295.90783472061099</v>
      </c>
      <c r="Q29">
        <f t="shared" si="0"/>
        <v>296.78403577123333</v>
      </c>
      <c r="R29">
        <f>IF((Q29-E29)*(D29-E29)&gt;0, 1,0)</f>
        <v>0</v>
      </c>
      <c r="S29">
        <v>6.3198931380000003</v>
      </c>
      <c r="T29" s="1">
        <v>42955</v>
      </c>
      <c r="U29">
        <f>D29+1.65*S29</f>
        <v>323.27782329623</v>
      </c>
      <c r="V29">
        <f>D29-1.65*S29</f>
        <v>302.42217594082996</v>
      </c>
      <c r="W29">
        <f t="shared" si="1"/>
        <v>296.78403577123333</v>
      </c>
      <c r="X29">
        <f t="shared" si="2"/>
        <v>0</v>
      </c>
      <c r="Y29">
        <f>IF(AND(C29&lt;U29, C29&gt;V29),1,0)</f>
        <v>0</v>
      </c>
      <c r="Z29">
        <f t="shared" si="3"/>
        <v>0</v>
      </c>
      <c r="AA29">
        <f>IF(AND(Y29=1,F29&gt;0), 1, 0)</f>
        <v>0</v>
      </c>
    </row>
    <row r="30" spans="1:27" x14ac:dyDescent="0.3">
      <c r="A30" s="1">
        <v>42865</v>
      </c>
      <c r="B30" s="1">
        <v>42956</v>
      </c>
      <c r="C30">
        <v>292.88634819984401</v>
      </c>
      <c r="D30">
        <v>308.64999980926501</v>
      </c>
      <c r="E30">
        <v>296.45</v>
      </c>
      <c r="F30">
        <v>-12.199999809265099</v>
      </c>
      <c r="G30">
        <v>-3.5636518001556299</v>
      </c>
      <c r="H30">
        <v>12.199999809265099</v>
      </c>
      <c r="I30">
        <v>292.49221534729003</v>
      </c>
      <c r="J30">
        <v>294.659650635719</v>
      </c>
      <c r="K30">
        <v>296.222688090801</v>
      </c>
      <c r="L30">
        <v>294.21772212982103</v>
      </c>
      <c r="M30">
        <v>295.907879304885</v>
      </c>
      <c r="N30">
        <v>316.289033269882</v>
      </c>
      <c r="O30">
        <v>297.85201497077901</v>
      </c>
      <c r="P30">
        <v>295.61198217868798</v>
      </c>
      <c r="Q30">
        <f t="shared" si="0"/>
        <v>295.28059323685471</v>
      </c>
      <c r="R30">
        <f>IF((Q30-E30)*(D30-E30)&gt;0, 1,0)</f>
        <v>0</v>
      </c>
      <c r="S30">
        <v>6.1089700950000001</v>
      </c>
      <c r="T30" s="1">
        <v>42956</v>
      </c>
      <c r="U30">
        <f>D30+1.65*S30</f>
        <v>318.72980046601504</v>
      </c>
      <c r="V30">
        <f>D30-1.65*S30</f>
        <v>298.57019915251499</v>
      </c>
      <c r="W30">
        <f t="shared" si="1"/>
        <v>295.28059323685471</v>
      </c>
      <c r="X30">
        <f t="shared" si="2"/>
        <v>0</v>
      </c>
      <c r="Y30">
        <f>IF(AND(C30&lt;U30, C30&gt;V30),1,0)</f>
        <v>0</v>
      </c>
      <c r="Z30">
        <f t="shared" si="3"/>
        <v>0</v>
      </c>
      <c r="AA30">
        <f>IF(AND(Y30=1,F30&gt;0), 1, 0)</f>
        <v>0</v>
      </c>
    </row>
    <row r="31" spans="1:27" x14ac:dyDescent="0.3">
      <c r="A31" s="1">
        <v>42866</v>
      </c>
      <c r="B31" s="1">
        <v>42957</v>
      </c>
      <c r="C31">
        <v>298.17358694076501</v>
      </c>
      <c r="D31">
        <v>307.250000095367</v>
      </c>
      <c r="E31">
        <v>300.10000000000002</v>
      </c>
      <c r="F31">
        <v>-7.1500000953674299</v>
      </c>
      <c r="G31">
        <v>-1.92641305923461</v>
      </c>
      <c r="H31">
        <v>7.1500000953674299</v>
      </c>
      <c r="I31">
        <v>296.886932706832</v>
      </c>
      <c r="J31">
        <v>297.776683425903</v>
      </c>
      <c r="K31">
        <v>302.078398442268</v>
      </c>
      <c r="L31">
        <v>296.32317552566502</v>
      </c>
      <c r="M31">
        <v>298.82349858283999</v>
      </c>
      <c r="N31">
        <v>311.97345857620201</v>
      </c>
      <c r="O31">
        <v>297.85817322730998</v>
      </c>
      <c r="P31">
        <v>295.58785638809201</v>
      </c>
      <c r="Q31">
        <f t="shared" si="0"/>
        <v>297.90495975698713</v>
      </c>
      <c r="R31">
        <f>IF((Q31-E31)*(D31-E31)&gt;0, 1,0)</f>
        <v>0</v>
      </c>
      <c r="S31">
        <v>6.0001028639999996</v>
      </c>
      <c r="T31" s="1">
        <v>42957</v>
      </c>
      <c r="U31">
        <f>D31+1.65*S31</f>
        <v>317.15016982096699</v>
      </c>
      <c r="V31">
        <f>D31-1.65*S31</f>
        <v>297.34983036976701</v>
      </c>
      <c r="W31">
        <f t="shared" si="1"/>
        <v>297.90495975698713</v>
      </c>
      <c r="X31">
        <f t="shared" si="2"/>
        <v>1</v>
      </c>
      <c r="Y31">
        <f>IF(AND(C31&lt;U31, C31&gt;V31),1,0)</f>
        <v>1</v>
      </c>
      <c r="Z31">
        <f t="shared" si="3"/>
        <v>0</v>
      </c>
      <c r="AA31">
        <f>IF(AND(Y31=1,F31&gt;0), 1, 0)</f>
        <v>0</v>
      </c>
    </row>
    <row r="32" spans="1:27" x14ac:dyDescent="0.3">
      <c r="A32" s="1">
        <v>42867</v>
      </c>
      <c r="B32" s="1">
        <v>42958</v>
      </c>
      <c r="C32">
        <v>297.61019709110201</v>
      </c>
      <c r="D32">
        <v>301.49999990463198</v>
      </c>
      <c r="E32">
        <v>298.64999999999998</v>
      </c>
      <c r="F32">
        <v>-2.8499999046325599</v>
      </c>
      <c r="G32">
        <v>-1.0398029088973999</v>
      </c>
      <c r="H32">
        <v>2.8499999046325599</v>
      </c>
      <c r="I32">
        <v>297.47205164432501</v>
      </c>
      <c r="J32">
        <v>298.134603464603</v>
      </c>
      <c r="K32">
        <v>300.01175227165197</v>
      </c>
      <c r="L32">
        <v>299.15545150041498</v>
      </c>
      <c r="M32">
        <v>297.95722385644899</v>
      </c>
      <c r="N32">
        <v>318.34749467372802</v>
      </c>
      <c r="O32">
        <v>299.87092819213802</v>
      </c>
      <c r="P32">
        <v>299.159826660156</v>
      </c>
      <c r="Q32">
        <f t="shared" si="0"/>
        <v>298.82311965567681</v>
      </c>
      <c r="R32">
        <f>IF((Q32-E32)*(D32-E32)&gt;0, 1,0)</f>
        <v>1</v>
      </c>
      <c r="S32">
        <v>5.9285993000000001</v>
      </c>
      <c r="T32" s="1">
        <v>42958</v>
      </c>
      <c r="U32">
        <f>D32+1.65*S32</f>
        <v>311.28218874963198</v>
      </c>
      <c r="V32">
        <f>D32-1.65*S32</f>
        <v>291.71781105963197</v>
      </c>
      <c r="W32">
        <f t="shared" si="1"/>
        <v>298.82311965567681</v>
      </c>
      <c r="X32">
        <f t="shared" si="2"/>
        <v>1</v>
      </c>
      <c r="Y32">
        <f>IF(AND(C32&lt;U32, C32&gt;V32),1,0)</f>
        <v>1</v>
      </c>
      <c r="Z32">
        <f t="shared" si="3"/>
        <v>1</v>
      </c>
      <c r="AA32">
        <f>IF(AND(Y32=1,F32&gt;0), 1, 0)</f>
        <v>0</v>
      </c>
    </row>
    <row r="33" spans="1:27" x14ac:dyDescent="0.3">
      <c r="A33" s="1">
        <v>42870</v>
      </c>
      <c r="B33" s="1">
        <v>42961</v>
      </c>
      <c r="C33">
        <v>298.66819145679398</v>
      </c>
      <c r="D33">
        <v>304.599999809265</v>
      </c>
      <c r="E33">
        <v>299.64999999999998</v>
      </c>
      <c r="F33">
        <v>-4.9499998092651296</v>
      </c>
      <c r="G33">
        <v>-0.98180854320526101</v>
      </c>
      <c r="H33">
        <v>4.9499998092651296</v>
      </c>
      <c r="I33">
        <v>298.995803797245</v>
      </c>
      <c r="J33">
        <v>299.58077315390102</v>
      </c>
      <c r="K33">
        <v>297.62782325744598</v>
      </c>
      <c r="L33">
        <v>298.02537324428499</v>
      </c>
      <c r="M33">
        <v>296.74155297279299</v>
      </c>
      <c r="N33">
        <v>316.36015653610201</v>
      </c>
      <c r="O33">
        <v>299.17434986829699</v>
      </c>
      <c r="P33">
        <v>300.722314977645</v>
      </c>
      <c r="Q33">
        <f t="shared" si="0"/>
        <v>298.695427324516</v>
      </c>
      <c r="R33">
        <f>IF((Q33-E33)*(D33-E33)&gt;0, 1,0)</f>
        <v>0</v>
      </c>
      <c r="S33">
        <v>5.8287809619999997</v>
      </c>
      <c r="T33" s="1">
        <v>42961</v>
      </c>
      <c r="U33">
        <f>D33+1.65*S33</f>
        <v>314.21748839656499</v>
      </c>
      <c r="V33">
        <f>D33-1.65*S33</f>
        <v>294.98251122196501</v>
      </c>
      <c r="W33">
        <f t="shared" si="1"/>
        <v>298.695427324516</v>
      </c>
      <c r="X33">
        <f t="shared" si="2"/>
        <v>1</v>
      </c>
      <c r="Y33">
        <f>IF(AND(C33&lt;U33, C33&gt;V33),1,0)</f>
        <v>1</v>
      </c>
      <c r="Z33">
        <f t="shared" si="3"/>
        <v>0</v>
      </c>
      <c r="AA33">
        <f>IF(AND(Y33=1,F33&gt;0), 1, 0)</f>
        <v>0</v>
      </c>
    </row>
    <row r="34" spans="1:27" x14ac:dyDescent="0.3">
      <c r="A34" s="1">
        <v>42871</v>
      </c>
      <c r="B34" s="1">
        <v>42962</v>
      </c>
      <c r="C34">
        <v>300.35097277164402</v>
      </c>
      <c r="D34">
        <v>304.599999904632</v>
      </c>
      <c r="E34">
        <v>299.25</v>
      </c>
      <c r="F34">
        <v>5.3499999046325604</v>
      </c>
      <c r="G34">
        <v>1.1009727716445901</v>
      </c>
      <c r="H34">
        <v>5.3499999046325604</v>
      </c>
      <c r="I34">
        <v>297.75957691669402</v>
      </c>
      <c r="J34">
        <v>297.689408659935</v>
      </c>
      <c r="K34">
        <v>293.21552038192698</v>
      </c>
      <c r="L34">
        <v>296.39297342300398</v>
      </c>
      <c r="M34">
        <v>297.46581947803497</v>
      </c>
      <c r="N34">
        <v>316.84999053478202</v>
      </c>
      <c r="O34">
        <v>298.23966825008301</v>
      </c>
      <c r="P34">
        <v>299.76717901229802</v>
      </c>
      <c r="Q34">
        <f t="shared" si="0"/>
        <v>297.21859230313942</v>
      </c>
      <c r="R34">
        <f>IF((Q34-E34)*(D34-E34)&gt;0, 1,0)</f>
        <v>0</v>
      </c>
      <c r="S34">
        <v>5.7148547580000004</v>
      </c>
      <c r="T34" s="1">
        <v>42962</v>
      </c>
      <c r="U34">
        <f>D34+1.65*S34</f>
        <v>314.02951025533201</v>
      </c>
      <c r="V34">
        <f>D34-1.65*S34</f>
        <v>295.17048955393199</v>
      </c>
      <c r="W34">
        <f t="shared" si="1"/>
        <v>297.21859230313942</v>
      </c>
      <c r="X34">
        <f t="shared" si="2"/>
        <v>1</v>
      </c>
      <c r="Y34">
        <f>IF(AND(C34&lt;U34, C34&gt;V34),1,0)</f>
        <v>1</v>
      </c>
      <c r="Z34">
        <f t="shared" si="3"/>
        <v>0</v>
      </c>
      <c r="AA34">
        <f>IF(AND(Y34=1,F34&gt;0), 1, 0)</f>
        <v>1</v>
      </c>
    </row>
    <row r="35" spans="1:27" x14ac:dyDescent="0.3">
      <c r="A35" s="1">
        <v>42872</v>
      </c>
      <c r="B35" s="1">
        <v>42963</v>
      </c>
      <c r="C35">
        <v>299.12020352482699</v>
      </c>
      <c r="D35">
        <v>306.25</v>
      </c>
      <c r="E35">
        <v>299.5</v>
      </c>
      <c r="F35">
        <v>-6.75</v>
      </c>
      <c r="G35">
        <v>-0.37979647517204201</v>
      </c>
      <c r="H35">
        <v>6.75</v>
      </c>
      <c r="I35">
        <v>299.515415146946</v>
      </c>
      <c r="J35">
        <v>300.458428919315</v>
      </c>
      <c r="K35">
        <v>294.83324050903298</v>
      </c>
      <c r="L35">
        <v>294.36460018157902</v>
      </c>
      <c r="M35">
        <v>295.29197072982703</v>
      </c>
      <c r="N35">
        <v>318.30805207490903</v>
      </c>
      <c r="O35">
        <v>291.41971111297602</v>
      </c>
      <c r="P35">
        <v>297.46172022819502</v>
      </c>
      <c r="Q35">
        <f t="shared" si="0"/>
        <v>296.19215526112441</v>
      </c>
      <c r="R35">
        <f>IF((Q35-E35)*(D35-E35)&gt;0, 1,0)</f>
        <v>0</v>
      </c>
      <c r="S35">
        <v>5.5839999359999997</v>
      </c>
      <c r="T35" s="1">
        <v>42963</v>
      </c>
      <c r="U35">
        <f>D35+1.65*S35</f>
        <v>315.46359989439998</v>
      </c>
      <c r="V35">
        <f>D35-1.65*S35</f>
        <v>297.03640010560002</v>
      </c>
      <c r="W35">
        <f t="shared" si="1"/>
        <v>296.19215526112441</v>
      </c>
      <c r="X35">
        <f t="shared" si="2"/>
        <v>0</v>
      </c>
      <c r="Y35">
        <f>IF(AND(C35&lt;U35, C35&gt;V35),1,0)</f>
        <v>1</v>
      </c>
      <c r="Z35">
        <f t="shared" si="3"/>
        <v>0</v>
      </c>
      <c r="AA35">
        <f>IF(AND(Y35=1,F35&gt;0), 1, 0)</f>
        <v>0</v>
      </c>
    </row>
    <row r="36" spans="1:27" x14ac:dyDescent="0.3">
      <c r="A36" s="1">
        <v>42873</v>
      </c>
      <c r="B36" s="1">
        <v>42964</v>
      </c>
      <c r="C36">
        <v>296.15734281539898</v>
      </c>
      <c r="D36">
        <v>307.89999999999998</v>
      </c>
      <c r="E36">
        <v>298.64999999999998</v>
      </c>
      <c r="F36">
        <v>-9.25</v>
      </c>
      <c r="G36">
        <v>-2.4926571846008301</v>
      </c>
      <c r="H36">
        <v>9.25</v>
      </c>
      <c r="I36">
        <v>298.448918038606</v>
      </c>
      <c r="J36">
        <v>298.252293014526</v>
      </c>
      <c r="K36">
        <v>296.764939332008</v>
      </c>
      <c r="L36">
        <v>297.94546296596502</v>
      </c>
      <c r="M36">
        <v>293.19080152511498</v>
      </c>
      <c r="N36">
        <v>319.55506303012299</v>
      </c>
      <c r="O36">
        <v>295.32008996009802</v>
      </c>
      <c r="P36">
        <v>292.40271844863798</v>
      </c>
      <c r="Q36">
        <f t="shared" si="0"/>
        <v>296.04646046927945</v>
      </c>
      <c r="R36">
        <f>IF((Q36-E36)*(D36-E36)&gt;0, 1,0)</f>
        <v>0</v>
      </c>
      <c r="S36">
        <v>5.4069397629999996</v>
      </c>
      <c r="T36" s="1">
        <v>42964</v>
      </c>
      <c r="U36">
        <f>D36+1.65*S36</f>
        <v>316.82145060894999</v>
      </c>
      <c r="V36">
        <f>D36-1.65*S36</f>
        <v>298.97854939104997</v>
      </c>
      <c r="W36">
        <f t="shared" si="1"/>
        <v>296.04646046927945</v>
      </c>
      <c r="X36">
        <f t="shared" si="2"/>
        <v>0</v>
      </c>
      <c r="Y36">
        <f>IF(AND(C36&lt;U36, C36&gt;V36),1,0)</f>
        <v>0</v>
      </c>
      <c r="Z36">
        <f t="shared" si="3"/>
        <v>0</v>
      </c>
      <c r="AA36">
        <f>IF(AND(Y36=1,F36&gt;0), 1, 0)</f>
        <v>0</v>
      </c>
    </row>
    <row r="37" spans="1:27" x14ac:dyDescent="0.3">
      <c r="A37" s="1">
        <v>42874</v>
      </c>
      <c r="B37" s="1">
        <v>42965</v>
      </c>
      <c r="C37">
        <v>295.42124485969498</v>
      </c>
      <c r="D37">
        <v>307.75</v>
      </c>
      <c r="E37">
        <v>298.25</v>
      </c>
      <c r="F37">
        <v>-9.5</v>
      </c>
      <c r="G37">
        <v>-2.8287551403045601</v>
      </c>
      <c r="H37">
        <v>9.5</v>
      </c>
      <c r="I37">
        <v>296.53820717334702</v>
      </c>
      <c r="J37">
        <v>295.398210287094</v>
      </c>
      <c r="K37">
        <v>296.36243474483399</v>
      </c>
      <c r="L37">
        <v>297.33630120754202</v>
      </c>
      <c r="M37">
        <v>293.79680633544899</v>
      </c>
      <c r="N37">
        <v>320.173566854</v>
      </c>
      <c r="O37">
        <v>296.03837156295702</v>
      </c>
      <c r="P37">
        <v>291.49428462982098</v>
      </c>
      <c r="Q37">
        <f t="shared" si="0"/>
        <v>295.28065942014916</v>
      </c>
      <c r="R37">
        <f>IF((Q37-E37)*(D37-E37)&gt;0, 1,0)</f>
        <v>0</v>
      </c>
      <c r="S37">
        <v>5.206907395</v>
      </c>
      <c r="T37" s="1">
        <v>42965</v>
      </c>
      <c r="U37">
        <f>D37+1.65*S37</f>
        <v>316.34139720175</v>
      </c>
      <c r="V37">
        <f>D37-1.65*S37</f>
        <v>299.15860279825</v>
      </c>
      <c r="W37">
        <f t="shared" si="1"/>
        <v>295.28065942014916</v>
      </c>
      <c r="X37">
        <f t="shared" si="2"/>
        <v>0</v>
      </c>
      <c r="Y37">
        <f>IF(AND(C37&lt;U37, C37&gt;V37),1,0)</f>
        <v>0</v>
      </c>
      <c r="Z37">
        <f t="shared" si="3"/>
        <v>0</v>
      </c>
      <c r="AA37">
        <f>IF(AND(Y37=1,F37&gt;0), 1, 0)</f>
        <v>0</v>
      </c>
    </row>
    <row r="38" spans="1:27" x14ac:dyDescent="0.3">
      <c r="A38" s="1">
        <v>42877</v>
      </c>
      <c r="B38" s="1">
        <v>42968</v>
      </c>
      <c r="C38">
        <v>296.976289129257</v>
      </c>
      <c r="D38">
        <v>307.04999980926499</v>
      </c>
      <c r="E38">
        <v>300.60000000000002</v>
      </c>
      <c r="F38">
        <v>-6.4499998092651296</v>
      </c>
      <c r="G38">
        <v>-3.6237108707427899</v>
      </c>
      <c r="H38">
        <v>6.4499998092651296</v>
      </c>
      <c r="I38">
        <v>297.56651792526202</v>
      </c>
      <c r="J38">
        <v>295.71927795410102</v>
      </c>
      <c r="K38">
        <v>293.82322750091498</v>
      </c>
      <c r="L38">
        <v>291.02944622039797</v>
      </c>
      <c r="M38">
        <v>293.70428094863797</v>
      </c>
      <c r="N38">
        <v>322.26511180400797</v>
      </c>
      <c r="O38">
        <v>297.10279307365403</v>
      </c>
      <c r="P38">
        <v>288.02868041992099</v>
      </c>
      <c r="Q38">
        <f t="shared" si="0"/>
        <v>293.85346057755561</v>
      </c>
      <c r="R38">
        <f>IF((Q38-E38)*(D38-E38)&gt;0, 1,0)</f>
        <v>0</v>
      </c>
      <c r="S38">
        <v>5.0805473660000002</v>
      </c>
      <c r="T38" s="1">
        <v>42968</v>
      </c>
      <c r="U38">
        <f>D38+1.65*S38</f>
        <v>315.43290296316496</v>
      </c>
      <c r="V38">
        <f>D38-1.65*S38</f>
        <v>298.66709665536501</v>
      </c>
      <c r="W38">
        <f t="shared" si="1"/>
        <v>293.85346057755561</v>
      </c>
      <c r="X38">
        <f t="shared" si="2"/>
        <v>0</v>
      </c>
      <c r="Y38">
        <f>IF(AND(C38&lt;U38, C38&gt;V38),1,0)</f>
        <v>0</v>
      </c>
      <c r="Z38">
        <f t="shared" si="3"/>
        <v>0</v>
      </c>
      <c r="AA38">
        <f>IF(AND(Y38=1,F38&gt;0), 1, 0)</f>
        <v>0</v>
      </c>
    </row>
    <row r="39" spans="1:27" x14ac:dyDescent="0.3">
      <c r="A39" s="1">
        <v>42878</v>
      </c>
      <c r="B39" s="1">
        <v>42969</v>
      </c>
      <c r="C39">
        <v>299.43905107975002</v>
      </c>
      <c r="D39">
        <v>308.70000009536699</v>
      </c>
      <c r="E39">
        <v>301.05</v>
      </c>
      <c r="F39">
        <v>-7.6500000953674299</v>
      </c>
      <c r="G39">
        <v>-1.6109489202499301</v>
      </c>
      <c r="H39">
        <v>7.6500000953674299</v>
      </c>
      <c r="I39">
        <v>297.508234548568</v>
      </c>
      <c r="J39">
        <v>297.54797224998401</v>
      </c>
      <c r="K39">
        <v>296.45263271331697</v>
      </c>
      <c r="L39">
        <v>296.27766351699802</v>
      </c>
      <c r="M39">
        <v>294.53516273498502</v>
      </c>
      <c r="N39">
        <v>322.64915051460201</v>
      </c>
      <c r="O39">
        <v>300.520290482044</v>
      </c>
      <c r="P39">
        <v>295.88805561065601</v>
      </c>
      <c r="Q39">
        <f t="shared" si="0"/>
        <v>296.96143026522168</v>
      </c>
      <c r="R39">
        <f>IF((Q39-E39)*(D39-E39)&gt;0, 1,0)</f>
        <v>0</v>
      </c>
      <c r="S39">
        <v>4.9492705370000003</v>
      </c>
      <c r="T39" s="1">
        <v>42969</v>
      </c>
      <c r="U39">
        <f>D39+1.65*S39</f>
        <v>316.86629648141701</v>
      </c>
      <c r="V39">
        <f>D39-1.65*S39</f>
        <v>300.53370370931697</v>
      </c>
      <c r="W39">
        <f t="shared" si="1"/>
        <v>296.96143026522168</v>
      </c>
      <c r="X39">
        <f t="shared" si="2"/>
        <v>0</v>
      </c>
      <c r="Y39">
        <f>IF(AND(C39&lt;U39, C39&gt;V39),1,0)</f>
        <v>0</v>
      </c>
      <c r="Z39">
        <f t="shared" si="3"/>
        <v>0</v>
      </c>
      <c r="AA39">
        <f>IF(AND(Y39=1,F39&gt;0), 1, 0)</f>
        <v>0</v>
      </c>
    </row>
    <row r="40" spans="1:27" x14ac:dyDescent="0.3">
      <c r="A40" s="1">
        <v>42879</v>
      </c>
      <c r="B40" s="1">
        <v>42970</v>
      </c>
      <c r="C40">
        <v>301.04629423618297</v>
      </c>
      <c r="D40">
        <v>308.599999809265</v>
      </c>
      <c r="E40">
        <v>301.89999999999998</v>
      </c>
      <c r="F40">
        <v>-6.6999998092651296</v>
      </c>
      <c r="G40">
        <v>-0.85370576381683305</v>
      </c>
      <c r="H40">
        <v>6.6999998092651296</v>
      </c>
      <c r="I40">
        <v>297.87285938262897</v>
      </c>
      <c r="J40">
        <v>299.36022200584398</v>
      </c>
      <c r="K40">
        <v>302.18541827201801</v>
      </c>
      <c r="L40">
        <v>303.753114962577</v>
      </c>
      <c r="M40">
        <v>299.17262234687797</v>
      </c>
      <c r="N40">
        <v>321.79676361083898</v>
      </c>
      <c r="O40">
        <v>306.604541683197</v>
      </c>
      <c r="P40">
        <v>300.358859920501</v>
      </c>
      <c r="Q40">
        <f t="shared" si="0"/>
        <v>301.32966265337774</v>
      </c>
      <c r="R40">
        <f>IF((Q40-E40)*(D40-E40)&gt;0, 1,0)</f>
        <v>0</v>
      </c>
      <c r="S40">
        <v>4.8370972300000004</v>
      </c>
      <c r="T40" s="1">
        <v>42970</v>
      </c>
      <c r="U40">
        <f>D40+1.65*S40</f>
        <v>316.58121023876498</v>
      </c>
      <c r="V40">
        <f>D40-1.65*S40</f>
        <v>300.61878937976502</v>
      </c>
      <c r="W40">
        <f t="shared" si="1"/>
        <v>301.32966265337774</v>
      </c>
      <c r="X40">
        <f t="shared" si="2"/>
        <v>1</v>
      </c>
      <c r="Y40">
        <f>IF(AND(C40&lt;U40, C40&gt;V40),1,0)</f>
        <v>1</v>
      </c>
      <c r="Z40">
        <f t="shared" si="3"/>
        <v>0</v>
      </c>
      <c r="AA40">
        <f>IF(AND(Y40=1,F40&gt;0), 1, 0)</f>
        <v>0</v>
      </c>
    </row>
    <row r="41" spans="1:27" x14ac:dyDescent="0.3">
      <c r="A41" s="1">
        <v>42880</v>
      </c>
      <c r="B41" s="1">
        <v>42971</v>
      </c>
      <c r="C41">
        <v>303.84731400012902</v>
      </c>
      <c r="D41">
        <v>310.099999904632</v>
      </c>
      <c r="E41">
        <v>305.5</v>
      </c>
      <c r="F41">
        <v>-4.5999999046325604</v>
      </c>
      <c r="G41">
        <v>-1.6526859998703001</v>
      </c>
      <c r="H41">
        <v>4.5999999046325604</v>
      </c>
      <c r="I41">
        <v>302.543053150177</v>
      </c>
      <c r="J41">
        <v>300.94773674011202</v>
      </c>
      <c r="K41">
        <v>304.22714507579798</v>
      </c>
      <c r="L41">
        <v>305.53355787694397</v>
      </c>
      <c r="M41">
        <v>305.16208267211903</v>
      </c>
      <c r="N41">
        <v>326.705948448181</v>
      </c>
      <c r="O41">
        <v>314.18767070770201</v>
      </c>
      <c r="P41">
        <v>301.08344078063902</v>
      </c>
      <c r="Q41">
        <f t="shared" si="0"/>
        <v>304.81209814335585</v>
      </c>
      <c r="R41">
        <f>IF((Q41-E41)*(D41-E41)&gt;0, 1,0)</f>
        <v>0</v>
      </c>
      <c r="S41">
        <v>4.7956109739999997</v>
      </c>
      <c r="T41" s="1">
        <v>42971</v>
      </c>
      <c r="U41">
        <f>D41+1.65*S41</f>
        <v>318.01275801173199</v>
      </c>
      <c r="V41">
        <f>D41-1.65*S41</f>
        <v>302.18724179753201</v>
      </c>
      <c r="W41">
        <f t="shared" si="1"/>
        <v>304.81209814335585</v>
      </c>
      <c r="X41">
        <f t="shared" si="2"/>
        <v>1</v>
      </c>
      <c r="Y41">
        <f>IF(AND(C41&lt;U41, C41&gt;V41),1,0)</f>
        <v>1</v>
      </c>
      <c r="Z41">
        <f t="shared" si="3"/>
        <v>0</v>
      </c>
      <c r="AA41">
        <f>IF(AND(Y41=1,F41&gt;0), 1, 0)</f>
        <v>0</v>
      </c>
    </row>
    <row r="42" spans="1:27" x14ac:dyDescent="0.3">
      <c r="A42" s="1">
        <v>42881</v>
      </c>
      <c r="B42" s="1">
        <v>42972</v>
      </c>
      <c r="C42">
        <v>311.81361303329402</v>
      </c>
      <c r="D42">
        <v>310.250000095367</v>
      </c>
      <c r="E42">
        <v>307.35000000000002</v>
      </c>
      <c r="F42">
        <v>2.9000000953674299</v>
      </c>
      <c r="G42">
        <v>4.4636130332946697</v>
      </c>
      <c r="H42">
        <v>2.9000000953674299</v>
      </c>
      <c r="I42">
        <v>307.73119795918399</v>
      </c>
      <c r="J42">
        <v>306.68398616313902</v>
      </c>
      <c r="K42">
        <v>309.882927989959</v>
      </c>
      <c r="L42">
        <v>308.00971112251199</v>
      </c>
      <c r="M42">
        <v>307.795561051368</v>
      </c>
      <c r="N42">
        <v>318.913215923309</v>
      </c>
      <c r="O42">
        <v>315.13019094467103</v>
      </c>
      <c r="P42">
        <v>304.07589492797803</v>
      </c>
      <c r="Q42">
        <f t="shared" si="0"/>
        <v>308.47278145125875</v>
      </c>
      <c r="R42">
        <f>IF((Q42-E42)*(D42-E42)&gt;0, 1,0)</f>
        <v>1</v>
      </c>
      <c r="S42">
        <v>4.7782155399999997</v>
      </c>
      <c r="T42" s="1">
        <v>42972</v>
      </c>
      <c r="U42">
        <f>D42+1.65*S42</f>
        <v>318.13405573636697</v>
      </c>
      <c r="V42">
        <f>D42-1.65*S42</f>
        <v>302.36594445436702</v>
      </c>
      <c r="W42">
        <f t="shared" si="1"/>
        <v>308.47278145125875</v>
      </c>
      <c r="X42">
        <f t="shared" si="2"/>
        <v>1</v>
      </c>
      <c r="Y42">
        <f>IF(AND(C42&lt;U42, C42&gt;V42),1,0)</f>
        <v>1</v>
      </c>
      <c r="Z42">
        <f t="shared" si="3"/>
        <v>1</v>
      </c>
      <c r="AA42">
        <f>IF(AND(Y42=1,F42&gt;0), 1, 0)</f>
        <v>1</v>
      </c>
    </row>
    <row r="43" spans="1:27" x14ac:dyDescent="0.3">
      <c r="A43" s="1">
        <v>42884</v>
      </c>
      <c r="B43" s="1">
        <v>42975</v>
      </c>
      <c r="C43">
        <v>312.61916856765703</v>
      </c>
      <c r="D43">
        <v>308.19999997615798</v>
      </c>
      <c r="E43">
        <v>306.8</v>
      </c>
      <c r="F43">
        <v>1.3999999761581401</v>
      </c>
      <c r="G43">
        <v>5.8191685676574698</v>
      </c>
      <c r="H43">
        <v>1.3999999761581401</v>
      </c>
      <c r="I43">
        <v>306.38376935124398</v>
      </c>
      <c r="J43">
        <v>308.542604374885</v>
      </c>
      <c r="K43">
        <v>303.79876761436401</v>
      </c>
      <c r="L43">
        <v>305.06302742958002</v>
      </c>
      <c r="M43">
        <v>306.68343883305698</v>
      </c>
      <c r="N43">
        <v>313.9954190135</v>
      </c>
      <c r="O43">
        <v>315.79958896636901</v>
      </c>
      <c r="P43">
        <v>302.47588901519703</v>
      </c>
      <c r="Q43">
        <f t="shared" si="0"/>
        <v>306.96386936924227</v>
      </c>
      <c r="R43">
        <f>IF((Q43-E43)*(D43-E43)&gt;0, 1,0)</f>
        <v>1</v>
      </c>
      <c r="S43">
        <v>4.7636774239999999</v>
      </c>
      <c r="T43" s="1">
        <v>42975</v>
      </c>
      <c r="U43">
        <f>D43+1.65*S43</f>
        <v>316.06006772575796</v>
      </c>
      <c r="V43">
        <f>D43-1.65*S43</f>
        <v>300.33993222655801</v>
      </c>
      <c r="W43">
        <f t="shared" si="1"/>
        <v>306.96386936924227</v>
      </c>
      <c r="X43">
        <f t="shared" si="2"/>
        <v>1</v>
      </c>
      <c r="Y43">
        <f>IF(AND(C43&lt;U43, C43&gt;V43),1,0)</f>
        <v>1</v>
      </c>
      <c r="Z43">
        <f t="shared" si="3"/>
        <v>1</v>
      </c>
      <c r="AA43">
        <f>IF(AND(Y43=1,F43&gt;0), 1, 0)</f>
        <v>1</v>
      </c>
    </row>
    <row r="44" spans="1:27" x14ac:dyDescent="0.3">
      <c r="A44" s="1">
        <v>42885</v>
      </c>
      <c r="B44" s="1">
        <v>42976</v>
      </c>
      <c r="C44">
        <v>312.49170646667397</v>
      </c>
      <c r="D44">
        <v>307.14999995231602</v>
      </c>
      <c r="E44">
        <v>304.35000000000002</v>
      </c>
      <c r="F44">
        <v>2.7999999523162802</v>
      </c>
      <c r="G44">
        <v>8.1417064666747994</v>
      </c>
      <c r="H44">
        <v>2.7999999523162802</v>
      </c>
      <c r="I44">
        <v>304.38919179737502</v>
      </c>
      <c r="J44">
        <v>304.68616220950997</v>
      </c>
      <c r="K44">
        <v>307.28103671073899</v>
      </c>
      <c r="L44">
        <v>305.74077472686702</v>
      </c>
      <c r="M44">
        <v>307.43496332168502</v>
      </c>
      <c r="N44">
        <v>320.20188121795599</v>
      </c>
      <c r="O44">
        <v>314.68481025695797</v>
      </c>
      <c r="P44">
        <v>301.50831518173197</v>
      </c>
      <c r="Q44">
        <f t="shared" si="0"/>
        <v>306.53217917212368</v>
      </c>
      <c r="R44">
        <f>IF((Q44-E44)*(D44-E44)&gt;0, 1,0)</f>
        <v>1</v>
      </c>
      <c r="S44">
        <v>4.7179686690000002</v>
      </c>
      <c r="T44" s="1">
        <v>42976</v>
      </c>
      <c r="U44">
        <f>D44+1.65*S44</f>
        <v>314.93464825616604</v>
      </c>
      <c r="V44">
        <f>D44-1.65*S44</f>
        <v>299.365351648466</v>
      </c>
      <c r="W44">
        <f t="shared" si="1"/>
        <v>306.53217917212368</v>
      </c>
      <c r="X44">
        <f t="shared" si="2"/>
        <v>1</v>
      </c>
      <c r="Y44">
        <f>IF(AND(C44&lt;U44, C44&gt;V44),1,0)</f>
        <v>1</v>
      </c>
      <c r="Z44">
        <f t="shared" si="3"/>
        <v>1</v>
      </c>
      <c r="AA44">
        <f>IF(AND(Y44=1,F44&gt;0), 1, 0)</f>
        <v>1</v>
      </c>
    </row>
    <row r="45" spans="1:27" x14ac:dyDescent="0.3">
      <c r="A45" s="1">
        <v>42886</v>
      </c>
      <c r="B45" s="1">
        <v>42977</v>
      </c>
      <c r="C45">
        <v>310.43058280944803</v>
      </c>
      <c r="D45">
        <v>309.00000004768299</v>
      </c>
      <c r="E45">
        <v>305.05</v>
      </c>
      <c r="F45">
        <v>3.95000004768371</v>
      </c>
      <c r="G45">
        <v>5.3805828094482404</v>
      </c>
      <c r="H45">
        <v>3.95000004768371</v>
      </c>
      <c r="I45">
        <v>305.549674052</v>
      </c>
      <c r="J45">
        <v>306.36795418262398</v>
      </c>
      <c r="K45">
        <v>305.87595449686</v>
      </c>
      <c r="L45">
        <v>307.36252431869502</v>
      </c>
      <c r="M45">
        <v>307.17801313400201</v>
      </c>
      <c r="N45">
        <v>316.92024494111502</v>
      </c>
      <c r="O45">
        <v>310.09000902175899</v>
      </c>
      <c r="P45">
        <v>306.43316965103099</v>
      </c>
      <c r="Q45">
        <f t="shared" si="0"/>
        <v>306.97961412242438</v>
      </c>
      <c r="R45">
        <f>IF((Q45-E45)*(D45-E45)&gt;0, 1,0)</f>
        <v>1</v>
      </c>
      <c r="S45">
        <v>4.6689191990000003</v>
      </c>
      <c r="T45" s="1">
        <v>42977</v>
      </c>
      <c r="U45">
        <f>D45+1.65*S45</f>
        <v>316.70371672603301</v>
      </c>
      <c r="V45">
        <f>D45-1.65*S45</f>
        <v>301.29628336933297</v>
      </c>
      <c r="W45">
        <f t="shared" si="1"/>
        <v>306.97961412242438</v>
      </c>
      <c r="X45">
        <f t="shared" si="2"/>
        <v>1</v>
      </c>
      <c r="Y45">
        <f>IF(AND(C45&lt;U45, C45&gt;V45),1,0)</f>
        <v>1</v>
      </c>
      <c r="Z45">
        <f t="shared" si="3"/>
        <v>1</v>
      </c>
      <c r="AA45">
        <f>IF(AND(Y45=1,F45&gt;0), 1, 0)</f>
        <v>1</v>
      </c>
    </row>
    <row r="46" spans="1:27" x14ac:dyDescent="0.3">
      <c r="A46" s="1">
        <v>42887</v>
      </c>
      <c r="B46" s="1">
        <v>42978</v>
      </c>
      <c r="C46">
        <v>308.13748183250402</v>
      </c>
      <c r="D46">
        <v>306.64999999999998</v>
      </c>
      <c r="E46">
        <v>304.14999999999998</v>
      </c>
      <c r="F46">
        <v>2.5</v>
      </c>
      <c r="G46">
        <v>3.9874818325042698</v>
      </c>
      <c r="H46">
        <v>2.5</v>
      </c>
      <c r="I46">
        <v>304.80532040596</v>
      </c>
      <c r="J46">
        <v>304.37200827300501</v>
      </c>
      <c r="K46">
        <v>303.30354830026602</v>
      </c>
      <c r="L46">
        <v>306.08673908710398</v>
      </c>
      <c r="M46">
        <v>307.71725621223402</v>
      </c>
      <c r="N46">
        <v>319.94168128967198</v>
      </c>
      <c r="O46">
        <v>310.774450206756</v>
      </c>
      <c r="P46">
        <v>304.65002795457798</v>
      </c>
      <c r="Q46">
        <f t="shared" si="0"/>
        <v>305.9584786342719</v>
      </c>
      <c r="R46">
        <f>IF((Q46-E46)*(D46-E46)&gt;0, 1,0)</f>
        <v>1</v>
      </c>
      <c r="S46">
        <v>4.6234803900000001</v>
      </c>
      <c r="T46" s="1">
        <v>42978</v>
      </c>
      <c r="U46">
        <f>D46+1.65*S46</f>
        <v>314.27874264349998</v>
      </c>
      <c r="V46">
        <f>D46-1.65*S46</f>
        <v>299.02125735649997</v>
      </c>
      <c r="W46">
        <f t="shared" si="1"/>
        <v>305.9584786342719</v>
      </c>
      <c r="X46">
        <f t="shared" si="2"/>
        <v>1</v>
      </c>
      <c r="Y46">
        <f>IF(AND(C46&lt;U46, C46&gt;V46),1,0)</f>
        <v>1</v>
      </c>
      <c r="Z46">
        <f t="shared" si="3"/>
        <v>1</v>
      </c>
      <c r="AA46">
        <f>IF(AND(Y46=1,F46&gt;0), 1, 0)</f>
        <v>1</v>
      </c>
    </row>
    <row r="47" spans="1:27" x14ac:dyDescent="0.3">
      <c r="A47" s="1">
        <v>42888</v>
      </c>
      <c r="B47" s="1">
        <v>42979</v>
      </c>
      <c r="C47">
        <v>312.11772775650002</v>
      </c>
      <c r="D47">
        <v>306.299999952316</v>
      </c>
      <c r="E47">
        <v>307.75</v>
      </c>
      <c r="F47">
        <v>-1.45000004768371</v>
      </c>
      <c r="G47">
        <v>4.3677277565002397</v>
      </c>
      <c r="H47">
        <v>-1.45000004768371</v>
      </c>
      <c r="I47">
        <v>307.64107411354701</v>
      </c>
      <c r="J47">
        <v>306.24588119983599</v>
      </c>
      <c r="K47">
        <v>307.921339675784</v>
      </c>
      <c r="L47">
        <v>307.91641432046799</v>
      </c>
      <c r="M47">
        <v>308.868186235427</v>
      </c>
      <c r="N47">
        <v>315.326237773895</v>
      </c>
      <c r="O47">
        <v>316.92342472076399</v>
      </c>
      <c r="P47">
        <v>308.34864652156801</v>
      </c>
      <c r="Q47">
        <f t="shared" si="0"/>
        <v>309.1235666839134</v>
      </c>
      <c r="R47">
        <f>IF((Q47-E47)*(D47-E47)&gt;0, 1,0)</f>
        <v>0</v>
      </c>
      <c r="S47">
        <v>4.6420039549999998</v>
      </c>
      <c r="T47" s="1">
        <v>42979</v>
      </c>
      <c r="U47">
        <f>D47+1.65*S47</f>
        <v>313.95930647806603</v>
      </c>
      <c r="V47">
        <f>D47-1.65*S47</f>
        <v>298.64069342656597</v>
      </c>
      <c r="W47">
        <f t="shared" si="1"/>
        <v>309.1235666839134</v>
      </c>
      <c r="X47">
        <f t="shared" si="2"/>
        <v>1</v>
      </c>
      <c r="Y47">
        <f>IF(AND(C47&lt;U47, C47&gt;V47),1,0)</f>
        <v>1</v>
      </c>
      <c r="Z47">
        <f t="shared" si="3"/>
        <v>0</v>
      </c>
      <c r="AA47">
        <f>IF(AND(Y47=1,F47&gt;0), 1, 0)</f>
        <v>0</v>
      </c>
    </row>
    <row r="48" spans="1:27" x14ac:dyDescent="0.3">
      <c r="A48" s="1">
        <v>42891</v>
      </c>
      <c r="B48" s="1">
        <v>42982</v>
      </c>
      <c r="C48">
        <v>312.26641473770098</v>
      </c>
      <c r="D48">
        <v>303.500000095367</v>
      </c>
      <c r="E48">
        <v>307.60000000000002</v>
      </c>
      <c r="F48">
        <v>-4.0999999046325604</v>
      </c>
      <c r="G48">
        <v>4.6664147377014098</v>
      </c>
      <c r="H48">
        <v>-4.0999999046325604</v>
      </c>
      <c r="I48">
        <v>307.64483961313903</v>
      </c>
      <c r="J48">
        <v>306.79551199674597</v>
      </c>
      <c r="K48">
        <v>307.716097196936</v>
      </c>
      <c r="L48">
        <v>306.79275546073899</v>
      </c>
      <c r="M48">
        <v>308.94066021442399</v>
      </c>
      <c r="N48">
        <v>314.23264243602699</v>
      </c>
      <c r="O48">
        <v>314.44749364852902</v>
      </c>
      <c r="P48">
        <v>305.39916334152201</v>
      </c>
      <c r="Q48">
        <f t="shared" si="0"/>
        <v>308.24807449600502</v>
      </c>
      <c r="R48">
        <f>IF((Q48-E48)*(D48-E48)&gt;0, 1,0)</f>
        <v>0</v>
      </c>
      <c r="S48">
        <v>4.7134926779999997</v>
      </c>
      <c r="T48" s="1">
        <v>42982</v>
      </c>
      <c r="U48">
        <f>D48+1.65*S48</f>
        <v>311.27726301406699</v>
      </c>
      <c r="V48">
        <f>D48-1.65*S48</f>
        <v>295.72273717666701</v>
      </c>
      <c r="W48">
        <f t="shared" si="1"/>
        <v>308.24807449600502</v>
      </c>
      <c r="X48">
        <f t="shared" si="2"/>
        <v>1</v>
      </c>
      <c r="Y48">
        <f>IF(AND(C48&lt;U48, C48&gt;V48),1,0)</f>
        <v>0</v>
      </c>
      <c r="Z48">
        <f t="shared" si="3"/>
        <v>0</v>
      </c>
      <c r="AA48">
        <f>IF(AND(Y48=1,F48&gt;0), 1, 0)</f>
        <v>0</v>
      </c>
    </row>
    <row r="49" spans="1:27" x14ac:dyDescent="0.3">
      <c r="A49" s="1">
        <v>42892</v>
      </c>
      <c r="B49" s="1">
        <v>42983</v>
      </c>
      <c r="C49">
        <v>312.984171962738</v>
      </c>
      <c r="D49">
        <v>302.69999990463202</v>
      </c>
      <c r="E49">
        <v>307.60000000000002</v>
      </c>
      <c r="F49">
        <v>-4.9000000953674299</v>
      </c>
      <c r="G49">
        <v>5.38417196273803</v>
      </c>
      <c r="H49">
        <v>-4.9000000953674299</v>
      </c>
      <c r="I49">
        <v>307.17919377088498</v>
      </c>
      <c r="J49">
        <v>306.33839700222001</v>
      </c>
      <c r="K49">
        <v>308.157375490665</v>
      </c>
      <c r="L49">
        <v>306.94897619485801</v>
      </c>
      <c r="M49">
        <v>308.90401670932698</v>
      </c>
      <c r="N49">
        <v>315.320106601715</v>
      </c>
      <c r="O49">
        <v>314.68302116394</v>
      </c>
      <c r="P49">
        <v>306.54570720195699</v>
      </c>
      <c r="Q49">
        <f t="shared" si="0"/>
        <v>308.39381250483603</v>
      </c>
      <c r="R49">
        <f>IF((Q49-E49)*(D49-E49)&gt;0, 1,0)</f>
        <v>0</v>
      </c>
      <c r="S49">
        <v>4.8028090490000004</v>
      </c>
      <c r="T49" s="1">
        <v>42983</v>
      </c>
      <c r="U49">
        <f>D49+1.65*S49</f>
        <v>310.62463483548203</v>
      </c>
      <c r="V49">
        <f>D49-1.65*S49</f>
        <v>294.77536497378202</v>
      </c>
      <c r="W49">
        <f t="shared" si="1"/>
        <v>308.39381250483603</v>
      </c>
      <c r="X49">
        <f t="shared" si="2"/>
        <v>1</v>
      </c>
      <c r="Y49">
        <f>IF(AND(C49&lt;U49, C49&gt;V49),1,0)</f>
        <v>0</v>
      </c>
      <c r="Z49">
        <f t="shared" si="3"/>
        <v>0</v>
      </c>
      <c r="AA49">
        <f>IF(AND(Y49=1,F49&gt;0), 1, 0)</f>
        <v>0</v>
      </c>
    </row>
    <row r="50" spans="1:27" x14ac:dyDescent="0.3">
      <c r="A50" s="1">
        <v>42893</v>
      </c>
      <c r="B50" s="1">
        <v>42984</v>
      </c>
      <c r="C50">
        <v>313.01439847946102</v>
      </c>
      <c r="D50">
        <v>302.30000009536701</v>
      </c>
      <c r="E50">
        <v>305.39999999999998</v>
      </c>
      <c r="F50">
        <v>-3.0999999046325599</v>
      </c>
      <c r="G50">
        <v>7.6143984794616699</v>
      </c>
      <c r="H50">
        <v>-3.0999999046325599</v>
      </c>
      <c r="I50">
        <v>306.08071746826101</v>
      </c>
      <c r="J50">
        <v>304.34998800754499</v>
      </c>
      <c r="K50">
        <v>308.83572568893402</v>
      </c>
      <c r="L50">
        <v>307.25508406162197</v>
      </c>
      <c r="M50">
        <v>307.062635564804</v>
      </c>
      <c r="N50">
        <v>317.66444530487001</v>
      </c>
      <c r="O50">
        <v>313.66077270507799</v>
      </c>
      <c r="P50">
        <v>308.921867752075</v>
      </c>
      <c r="Q50">
        <f t="shared" si="0"/>
        <v>308.02382732118843</v>
      </c>
      <c r="R50">
        <f>IF((Q50-E50)*(D50-E50)&gt;0, 1,0)</f>
        <v>0</v>
      </c>
      <c r="S50">
        <v>4.8707988550000003</v>
      </c>
      <c r="T50" s="1">
        <v>42984</v>
      </c>
      <c r="U50">
        <f>D50+1.65*S50</f>
        <v>310.33681820611702</v>
      </c>
      <c r="V50">
        <f>D50-1.65*S50</f>
        <v>294.26318198461701</v>
      </c>
      <c r="W50">
        <f t="shared" si="1"/>
        <v>308.02382732118843</v>
      </c>
      <c r="X50">
        <f t="shared" si="2"/>
        <v>1</v>
      </c>
      <c r="Y50">
        <f>IF(AND(C50&lt;U50, C50&gt;V50),1,0)</f>
        <v>0</v>
      </c>
      <c r="Z50">
        <f t="shared" si="3"/>
        <v>0</v>
      </c>
      <c r="AA50">
        <f>IF(AND(Y50=1,F50&gt;0), 1, 0)</f>
        <v>0</v>
      </c>
    </row>
    <row r="51" spans="1:27" x14ac:dyDescent="0.3">
      <c r="A51" s="1">
        <v>42894</v>
      </c>
      <c r="B51" s="1">
        <v>42985</v>
      </c>
      <c r="C51">
        <v>315.9765542984</v>
      </c>
      <c r="D51">
        <v>306.20000001192</v>
      </c>
      <c r="E51">
        <v>306.64999999999998</v>
      </c>
      <c r="F51">
        <v>-0.44999998807907099</v>
      </c>
      <c r="G51">
        <v>9.32655429840087</v>
      </c>
      <c r="H51">
        <v>-0.44999998807907099</v>
      </c>
      <c r="I51">
        <v>309.640787267684</v>
      </c>
      <c r="J51">
        <v>309.13950481414702</v>
      </c>
      <c r="K51">
        <v>309.41915621757499</v>
      </c>
      <c r="L51">
        <v>308.222623133659</v>
      </c>
      <c r="M51">
        <v>305.88105728626198</v>
      </c>
      <c r="N51">
        <v>313.438954830169</v>
      </c>
      <c r="O51">
        <v>317.20931758880602</v>
      </c>
      <c r="P51">
        <v>311.28331842422398</v>
      </c>
      <c r="Q51">
        <f t="shared" si="0"/>
        <v>310.11368067605099</v>
      </c>
      <c r="R51">
        <f>IF((Q51-E51)*(D51-E51)&gt;0, 1,0)</f>
        <v>0</v>
      </c>
      <c r="S51">
        <v>4.8768391500000003</v>
      </c>
      <c r="T51" s="1">
        <v>42985</v>
      </c>
      <c r="U51">
        <f>D51+1.65*S51</f>
        <v>314.24678460941999</v>
      </c>
      <c r="V51">
        <f>D51-1.65*S51</f>
        <v>298.15321541442</v>
      </c>
      <c r="W51">
        <f t="shared" si="1"/>
        <v>310.11368067605099</v>
      </c>
      <c r="X51">
        <f t="shared" si="2"/>
        <v>1</v>
      </c>
      <c r="Y51">
        <f>IF(AND(C51&lt;U51, C51&gt;V51),1,0)</f>
        <v>0</v>
      </c>
      <c r="Z51">
        <f t="shared" si="3"/>
        <v>0</v>
      </c>
      <c r="AA51">
        <f>IF(AND(Y51=1,F51&gt;0), 1, 0)</f>
        <v>0</v>
      </c>
    </row>
    <row r="52" spans="1:27" x14ac:dyDescent="0.3">
      <c r="A52" s="1">
        <v>42895</v>
      </c>
      <c r="B52" s="1">
        <v>42986</v>
      </c>
      <c r="C52">
        <v>312.64258174896202</v>
      </c>
      <c r="D52">
        <v>306.25000004768299</v>
      </c>
      <c r="E52">
        <v>308.55</v>
      </c>
      <c r="F52">
        <v>-2.2999999523162802</v>
      </c>
      <c r="G52">
        <v>4.0925817489623997</v>
      </c>
      <c r="H52">
        <v>-2.2999999523162802</v>
      </c>
      <c r="I52">
        <v>310.06214253902402</v>
      </c>
      <c r="J52">
        <v>309.10524742603297</v>
      </c>
      <c r="K52">
        <v>311.47961454391401</v>
      </c>
      <c r="L52">
        <v>310.367138075828</v>
      </c>
      <c r="M52">
        <v>308.60290914326902</v>
      </c>
      <c r="N52">
        <v>312.17773532867398</v>
      </c>
      <c r="O52">
        <v>319.60634784698402</v>
      </c>
      <c r="P52">
        <v>314.84539871215799</v>
      </c>
      <c r="Q52">
        <f t="shared" si="0"/>
        <v>312.0098283267443</v>
      </c>
      <c r="R52">
        <f>IF((Q52-E52)*(D52-E52)&gt;0, 1,0)</f>
        <v>0</v>
      </c>
      <c r="S52">
        <v>4.9002955659999996</v>
      </c>
      <c r="T52" s="1">
        <v>42986</v>
      </c>
      <c r="U52">
        <f>D52+1.65*S52</f>
        <v>314.33548773158299</v>
      </c>
      <c r="V52">
        <f>D52-1.65*S52</f>
        <v>298.16451236378299</v>
      </c>
      <c r="W52">
        <f t="shared" si="1"/>
        <v>312.0098283267443</v>
      </c>
      <c r="X52">
        <f t="shared" si="2"/>
        <v>1</v>
      </c>
      <c r="Y52">
        <f>IF(AND(C52&lt;U52, C52&gt;V52),1,0)</f>
        <v>1</v>
      </c>
      <c r="Z52">
        <f t="shared" si="3"/>
        <v>0</v>
      </c>
      <c r="AA52">
        <f>IF(AND(Y52=1,F52&gt;0), 1, 0)</f>
        <v>0</v>
      </c>
    </row>
    <row r="53" spans="1:27" x14ac:dyDescent="0.3">
      <c r="A53" s="1">
        <v>42898</v>
      </c>
      <c r="B53" s="1">
        <v>42989</v>
      </c>
      <c r="C53">
        <v>312.41135530471797</v>
      </c>
      <c r="D53">
        <v>309.25000004768299</v>
      </c>
      <c r="E53">
        <v>305.3</v>
      </c>
      <c r="F53">
        <v>3.95000004768371</v>
      </c>
      <c r="G53">
        <v>7.1113553047180096</v>
      </c>
      <c r="H53">
        <v>3.95000004768371</v>
      </c>
      <c r="I53">
        <v>307.49970703125001</v>
      </c>
      <c r="J53">
        <v>306.291208255291</v>
      </c>
      <c r="K53">
        <v>308.89315562248203</v>
      </c>
      <c r="L53">
        <v>310.045405197143</v>
      </c>
      <c r="M53">
        <v>308.98748068809499</v>
      </c>
      <c r="N53">
        <v>314.95326480865401</v>
      </c>
      <c r="O53">
        <v>321.05629043579103</v>
      </c>
      <c r="P53">
        <v>316.49263839721601</v>
      </c>
      <c r="Q53">
        <f t="shared" si="0"/>
        <v>311.32369794675253</v>
      </c>
      <c r="R53">
        <f>IF((Q53-E53)*(D53-E53)&gt;0, 1,0)</f>
        <v>1</v>
      </c>
      <c r="S53">
        <v>4.8581930450000002</v>
      </c>
      <c r="T53" s="1">
        <v>42989</v>
      </c>
      <c r="U53">
        <f>D53+1.65*S53</f>
        <v>317.26601857193299</v>
      </c>
      <c r="V53">
        <f>D53-1.65*S53</f>
        <v>301.23398152343299</v>
      </c>
      <c r="W53">
        <f t="shared" si="1"/>
        <v>311.32369794675253</v>
      </c>
      <c r="X53">
        <f t="shared" si="2"/>
        <v>1</v>
      </c>
      <c r="Y53">
        <f>IF(AND(C53&lt;U53, C53&gt;V53),1,0)</f>
        <v>1</v>
      </c>
      <c r="Z53">
        <f t="shared" si="3"/>
        <v>1</v>
      </c>
      <c r="AA53">
        <f>IF(AND(Y53=1,F53&gt;0), 1, 0)</f>
        <v>1</v>
      </c>
    </row>
    <row r="54" spans="1:27" x14ac:dyDescent="0.3">
      <c r="A54" s="1">
        <v>42899</v>
      </c>
      <c r="B54" s="1">
        <v>42990</v>
      </c>
      <c r="C54">
        <v>312.10498361587503</v>
      </c>
      <c r="D54">
        <v>309.20000009536699</v>
      </c>
      <c r="E54">
        <v>307.05</v>
      </c>
      <c r="F54">
        <v>2.1500000953674299</v>
      </c>
      <c r="G54">
        <v>5.0549836158752397</v>
      </c>
      <c r="H54">
        <v>2.1500000953674299</v>
      </c>
      <c r="I54">
        <v>309.39538459777799</v>
      </c>
      <c r="J54">
        <v>307.25518590509802</v>
      </c>
      <c r="K54">
        <v>307.05238191336298</v>
      </c>
      <c r="L54">
        <v>308.17096416950199</v>
      </c>
      <c r="M54">
        <v>312.13897113799999</v>
      </c>
      <c r="N54">
        <v>315.475078201293</v>
      </c>
      <c r="O54">
        <v>318.040046501159</v>
      </c>
      <c r="P54">
        <v>314.13996772766097</v>
      </c>
      <c r="Q54">
        <f t="shared" si="0"/>
        <v>310.88470027893726</v>
      </c>
      <c r="R54">
        <f>IF((Q54-E54)*(D54-E54)&gt;0, 1,0)</f>
        <v>1</v>
      </c>
      <c r="S54">
        <v>4.8406988530000001</v>
      </c>
      <c r="T54" s="1">
        <v>42990</v>
      </c>
      <c r="U54">
        <f>D54+1.65*S54</f>
        <v>317.187153202817</v>
      </c>
      <c r="V54">
        <f>D54-1.65*S54</f>
        <v>301.21284698791698</v>
      </c>
      <c r="W54">
        <f t="shared" si="1"/>
        <v>310.88470027893726</v>
      </c>
      <c r="X54">
        <f t="shared" si="2"/>
        <v>1</v>
      </c>
      <c r="Y54">
        <f>IF(AND(C54&lt;U54, C54&gt;V54),1,0)</f>
        <v>1</v>
      </c>
      <c r="Z54">
        <f t="shared" si="3"/>
        <v>1</v>
      </c>
      <c r="AA54">
        <f>IF(AND(Y54=1,F54&gt;0), 1, 0)</f>
        <v>1</v>
      </c>
    </row>
    <row r="55" spans="1:27" x14ac:dyDescent="0.3">
      <c r="A55" s="1">
        <v>42900</v>
      </c>
      <c r="B55" s="1">
        <v>42991</v>
      </c>
      <c r="C55">
        <v>311.71117868423403</v>
      </c>
      <c r="D55">
        <v>308.54999997615801</v>
      </c>
      <c r="E55">
        <v>307.39999999999998</v>
      </c>
      <c r="F55">
        <v>1.1499999761581401</v>
      </c>
      <c r="G55">
        <v>4.3111786842346103</v>
      </c>
      <c r="H55">
        <v>1.1499999761581401</v>
      </c>
      <c r="I55">
        <v>309.12193527221598</v>
      </c>
      <c r="J55">
        <v>308.165319347381</v>
      </c>
      <c r="K55">
        <v>310.42607417106598</v>
      </c>
      <c r="L55">
        <v>309.50366535186703</v>
      </c>
      <c r="M55">
        <v>311.33946099281297</v>
      </c>
      <c r="N55">
        <v>315.53927898406903</v>
      </c>
      <c r="O55">
        <v>314.63175096511799</v>
      </c>
      <c r="P55">
        <v>313.96367588043199</v>
      </c>
      <c r="Q55">
        <f t="shared" si="0"/>
        <v>311.02169742584186</v>
      </c>
      <c r="R55">
        <f>IF((Q55-E55)*(D55-E55)&gt;0, 1,0)</f>
        <v>1</v>
      </c>
      <c r="S55">
        <v>4.8306631519999996</v>
      </c>
      <c r="T55" s="1">
        <v>42991</v>
      </c>
      <c r="U55">
        <f>D55+1.65*S55</f>
        <v>316.52059417695801</v>
      </c>
      <c r="V55">
        <f>D55-1.65*S55</f>
        <v>300.579405775358</v>
      </c>
      <c r="W55">
        <f t="shared" si="1"/>
        <v>311.02169742584186</v>
      </c>
      <c r="X55">
        <f t="shared" si="2"/>
        <v>1</v>
      </c>
      <c r="Y55">
        <f>IF(AND(C55&lt;U55, C55&gt;V55),1,0)</f>
        <v>1</v>
      </c>
      <c r="Z55">
        <f t="shared" si="3"/>
        <v>1</v>
      </c>
      <c r="AA55">
        <f>IF(AND(Y55=1,F55&gt;0), 1, 0)</f>
        <v>1</v>
      </c>
    </row>
    <row r="56" spans="1:27" x14ac:dyDescent="0.3">
      <c r="A56" s="1">
        <v>42901</v>
      </c>
      <c r="B56" s="1">
        <v>42992</v>
      </c>
      <c r="C56">
        <v>309.09999337196302</v>
      </c>
      <c r="D56">
        <v>310.24999990463198</v>
      </c>
      <c r="E56">
        <v>305.64999999999998</v>
      </c>
      <c r="F56">
        <v>4.5999999046325604</v>
      </c>
      <c r="G56">
        <v>3.4499933719635001</v>
      </c>
      <c r="H56">
        <v>4.5999999046325604</v>
      </c>
      <c r="I56">
        <v>309.16222658157301</v>
      </c>
      <c r="J56">
        <v>307.17423238754202</v>
      </c>
      <c r="K56">
        <v>306.81200077533703</v>
      </c>
      <c r="L56">
        <v>310.32342662811197</v>
      </c>
      <c r="M56">
        <v>309.76135005950903</v>
      </c>
      <c r="N56">
        <v>318.36077442169102</v>
      </c>
      <c r="O56">
        <v>315.36249008178697</v>
      </c>
      <c r="P56">
        <v>313.31536140441801</v>
      </c>
      <c r="Q56">
        <f t="shared" si="0"/>
        <v>310.27301255975402</v>
      </c>
      <c r="R56">
        <f>IF((Q56-E56)*(D56-E56)&gt;0, 1,0)</f>
        <v>1</v>
      </c>
      <c r="S56">
        <v>4.7892712380000004</v>
      </c>
      <c r="T56" s="1">
        <v>42992</v>
      </c>
      <c r="U56">
        <f>D56+1.65*S56</f>
        <v>318.15229744733199</v>
      </c>
      <c r="V56">
        <f>D56-1.65*S56</f>
        <v>302.34770236193197</v>
      </c>
      <c r="W56">
        <f t="shared" si="1"/>
        <v>310.27301255975402</v>
      </c>
      <c r="X56">
        <f t="shared" si="2"/>
        <v>1</v>
      </c>
      <c r="Y56">
        <f>IF(AND(C56&lt;U56, C56&gt;V56),1,0)</f>
        <v>1</v>
      </c>
      <c r="Z56">
        <f t="shared" si="3"/>
        <v>1</v>
      </c>
      <c r="AA56">
        <f>IF(AND(Y56=1,F56&gt;0), 1, 0)</f>
        <v>1</v>
      </c>
    </row>
    <row r="57" spans="1:27" x14ac:dyDescent="0.3">
      <c r="A57" s="1">
        <v>42902</v>
      </c>
      <c r="B57" s="1">
        <v>42993</v>
      </c>
      <c r="C57">
        <v>310.72793626785199</v>
      </c>
      <c r="D57">
        <v>311.19999980926502</v>
      </c>
      <c r="E57">
        <v>306</v>
      </c>
      <c r="F57">
        <v>5.1999998092651296</v>
      </c>
      <c r="G57">
        <v>4.7279362678527797</v>
      </c>
      <c r="H57">
        <v>5.1999998092651296</v>
      </c>
      <c r="I57">
        <v>309.36034202575598</v>
      </c>
      <c r="J57">
        <v>307.960415482521</v>
      </c>
      <c r="K57">
        <v>307.836505651474</v>
      </c>
      <c r="L57">
        <v>310.08298778533901</v>
      </c>
      <c r="M57">
        <v>311.17654085159302</v>
      </c>
      <c r="N57">
        <v>316.78107357025101</v>
      </c>
      <c r="O57">
        <v>315.52925300598099</v>
      </c>
      <c r="P57">
        <v>314.11774158477698</v>
      </c>
      <c r="Q57">
        <f t="shared" si="0"/>
        <v>310.86625519820581</v>
      </c>
      <c r="R57">
        <f>IF((Q57-E57)*(D57-E57)&gt;0, 1,0)</f>
        <v>1</v>
      </c>
      <c r="S57">
        <v>4.7518805740000003</v>
      </c>
      <c r="T57" s="1">
        <v>42993</v>
      </c>
      <c r="U57">
        <f>D57+1.65*S57</f>
        <v>319.04060275636505</v>
      </c>
      <c r="V57">
        <f>D57-1.65*S57</f>
        <v>303.359396862165</v>
      </c>
      <c r="W57">
        <f t="shared" si="1"/>
        <v>310.86625519820581</v>
      </c>
      <c r="X57">
        <f t="shared" si="2"/>
        <v>1</v>
      </c>
      <c r="Y57">
        <f>IF(AND(C57&lt;U57, C57&gt;V57),1,0)</f>
        <v>1</v>
      </c>
      <c r="Z57">
        <f t="shared" si="3"/>
        <v>1</v>
      </c>
      <c r="AA57">
        <f>IF(AND(Y57=1,F57&gt;0), 1, 0)</f>
        <v>1</v>
      </c>
    </row>
    <row r="58" spans="1:27" x14ac:dyDescent="0.3">
      <c r="A58" s="1">
        <v>42905</v>
      </c>
      <c r="B58" s="1">
        <v>42996</v>
      </c>
      <c r="C58">
        <v>313.50982217788697</v>
      </c>
      <c r="D58">
        <v>316.69999961853</v>
      </c>
      <c r="E58">
        <v>307.8</v>
      </c>
      <c r="F58">
        <v>8.8999996185302699</v>
      </c>
      <c r="G58">
        <v>5.7098221778869602</v>
      </c>
      <c r="H58">
        <v>8.8999996185302699</v>
      </c>
      <c r="I58">
        <v>309.79178159236898</v>
      </c>
      <c r="J58">
        <v>309.12037889957401</v>
      </c>
      <c r="K58">
        <v>311.22693376541099</v>
      </c>
      <c r="L58">
        <v>316.12338714599599</v>
      </c>
      <c r="M58">
        <v>312.99010639190601</v>
      </c>
      <c r="N58">
        <v>317.21441822051997</v>
      </c>
      <c r="O58">
        <v>310.301237154006</v>
      </c>
      <c r="P58">
        <v>312.93928794860801</v>
      </c>
      <c r="Q58">
        <f t="shared" si="0"/>
        <v>311.78473041398144</v>
      </c>
      <c r="R58">
        <f>IF((Q58-E58)*(D58-E58)&gt;0, 1,0)</f>
        <v>1</v>
      </c>
      <c r="S58">
        <v>4.7911134439999996</v>
      </c>
      <c r="T58" s="1">
        <v>42996</v>
      </c>
      <c r="U58">
        <f>D58+1.65*S58</f>
        <v>324.60533680113002</v>
      </c>
      <c r="V58">
        <f>D58-1.65*S58</f>
        <v>308.79466243592998</v>
      </c>
      <c r="W58">
        <f t="shared" si="1"/>
        <v>311.78473041398144</v>
      </c>
      <c r="X58">
        <f t="shared" si="2"/>
        <v>1</v>
      </c>
      <c r="Y58">
        <f>IF(AND(C58&lt;U58, C58&gt;V58),1,0)</f>
        <v>1</v>
      </c>
      <c r="Z58">
        <f t="shared" si="3"/>
        <v>1</v>
      </c>
      <c r="AA58">
        <f>IF(AND(Y58=1,F58&gt;0), 1, 0)</f>
        <v>1</v>
      </c>
    </row>
    <row r="59" spans="1:27" x14ac:dyDescent="0.3">
      <c r="A59" s="1">
        <v>42906</v>
      </c>
      <c r="B59" s="1">
        <v>42997</v>
      </c>
      <c r="C59">
        <v>311.50911889076201</v>
      </c>
      <c r="D59">
        <v>316.04999980926499</v>
      </c>
      <c r="E59">
        <v>308.10000000000002</v>
      </c>
      <c r="F59">
        <v>7.9499998092651296</v>
      </c>
      <c r="G59">
        <v>3.4091188907623202</v>
      </c>
      <c r="H59">
        <v>7.9499998092651296</v>
      </c>
      <c r="I59">
        <v>309.40294942855797</v>
      </c>
      <c r="J59">
        <v>308.97523376941598</v>
      </c>
      <c r="K59">
        <v>310.02419946193697</v>
      </c>
      <c r="L59">
        <v>313.166078662872</v>
      </c>
      <c r="M59">
        <v>312.53766880035403</v>
      </c>
      <c r="N59">
        <v>319.22116298675502</v>
      </c>
      <c r="O59">
        <v>310.54453740119902</v>
      </c>
      <c r="P59">
        <v>310.340373134613</v>
      </c>
      <c r="Q59">
        <f t="shared" si="0"/>
        <v>310.71300580842131</v>
      </c>
      <c r="R59">
        <f>IF((Q59-E59)*(D59-E59)&gt;0, 1,0)</f>
        <v>1</v>
      </c>
      <c r="S59">
        <v>4.8180416399999997</v>
      </c>
      <c r="T59" s="1">
        <v>42997</v>
      </c>
      <c r="U59">
        <f>D59+1.65*S59</f>
        <v>323.99976851526498</v>
      </c>
      <c r="V59">
        <f>D59-1.65*S59</f>
        <v>308.100231103265</v>
      </c>
      <c r="W59">
        <f t="shared" si="1"/>
        <v>310.71300580842131</v>
      </c>
      <c r="X59">
        <f t="shared" si="2"/>
        <v>1</v>
      </c>
      <c r="Y59">
        <f>IF(AND(C59&lt;U59, C59&gt;V59),1,0)</f>
        <v>1</v>
      </c>
      <c r="Z59">
        <f t="shared" si="3"/>
        <v>1</v>
      </c>
      <c r="AA59">
        <f>IF(AND(Y59=1,F59&gt;0), 1, 0)</f>
        <v>1</v>
      </c>
    </row>
    <row r="60" spans="1:27" x14ac:dyDescent="0.3">
      <c r="A60" s="1">
        <v>42907</v>
      </c>
      <c r="B60" s="1">
        <v>42998</v>
      </c>
      <c r="C60">
        <v>314.382538604736</v>
      </c>
      <c r="D60">
        <v>315.8</v>
      </c>
      <c r="E60">
        <v>306.8</v>
      </c>
      <c r="F60">
        <v>9</v>
      </c>
      <c r="G60">
        <v>7.5825386047363201</v>
      </c>
      <c r="H60">
        <v>9</v>
      </c>
      <c r="I60">
        <v>309.41151623725801</v>
      </c>
      <c r="J60">
        <v>307.45100193023598</v>
      </c>
      <c r="K60">
        <v>313.98171596527101</v>
      </c>
      <c r="L60">
        <v>313.08906631469699</v>
      </c>
      <c r="M60">
        <v>313.34330253601001</v>
      </c>
      <c r="N60">
        <v>316.99151668548501</v>
      </c>
      <c r="O60">
        <v>315.35389499664302</v>
      </c>
      <c r="P60">
        <v>311.81260852813699</v>
      </c>
      <c r="Q60">
        <f t="shared" si="0"/>
        <v>312.06330092975031</v>
      </c>
      <c r="R60">
        <f>IF((Q60-E60)*(D60-E60)&gt;0, 1,0)</f>
        <v>1</v>
      </c>
      <c r="S60">
        <v>4.8220139470000003</v>
      </c>
      <c r="T60" s="1">
        <v>42998</v>
      </c>
      <c r="U60">
        <f>D60+1.65*S60</f>
        <v>323.75632301255001</v>
      </c>
      <c r="V60">
        <f>D60-1.65*S60</f>
        <v>307.84367698745001</v>
      </c>
      <c r="W60">
        <f t="shared" si="1"/>
        <v>312.06330092975031</v>
      </c>
      <c r="X60">
        <f t="shared" si="2"/>
        <v>1</v>
      </c>
      <c r="Y60">
        <f>IF(AND(C60&lt;U60, C60&gt;V60),1,0)</f>
        <v>1</v>
      </c>
      <c r="Z60">
        <f t="shared" si="3"/>
        <v>1</v>
      </c>
      <c r="AA60">
        <f>IF(AND(Y60=1,F60&gt;0), 1, 0)</f>
        <v>1</v>
      </c>
    </row>
    <row r="61" spans="1:27" x14ac:dyDescent="0.3">
      <c r="A61" s="1">
        <v>42908</v>
      </c>
      <c r="B61" s="1">
        <v>42999</v>
      </c>
      <c r="C61">
        <v>316.21897535324098</v>
      </c>
      <c r="D61">
        <v>316.05</v>
      </c>
      <c r="E61">
        <v>308.55</v>
      </c>
      <c r="F61">
        <v>7.5</v>
      </c>
      <c r="G61">
        <v>7.6689753532409597</v>
      </c>
      <c r="H61">
        <v>7.5</v>
      </c>
      <c r="I61">
        <v>310.376388001441</v>
      </c>
      <c r="J61">
        <v>309.23386954069099</v>
      </c>
      <c r="K61">
        <v>313.97075634002601</v>
      </c>
      <c r="L61">
        <v>316.353889751434</v>
      </c>
      <c r="M61">
        <v>315.34013824462801</v>
      </c>
      <c r="N61">
        <v>321.29526386260898</v>
      </c>
      <c r="O61">
        <v>319.48452167510902</v>
      </c>
      <c r="P61">
        <v>313.34599285125699</v>
      </c>
      <c r="Q61">
        <f t="shared" si="0"/>
        <v>314.01507948636942</v>
      </c>
      <c r="R61">
        <f>IF((Q61-E61)*(D61-E61)&gt;0, 1,0)</f>
        <v>1</v>
      </c>
      <c r="S61">
        <v>4.8464788219999999</v>
      </c>
      <c r="T61" s="1">
        <v>42999</v>
      </c>
      <c r="U61">
        <f>D61+1.65*S61</f>
        <v>324.04669005630001</v>
      </c>
      <c r="V61">
        <f>D61-1.65*S61</f>
        <v>308.05330994370001</v>
      </c>
      <c r="W61">
        <f t="shared" si="1"/>
        <v>314.01507948636942</v>
      </c>
      <c r="X61">
        <f t="shared" si="2"/>
        <v>1</v>
      </c>
      <c r="Y61">
        <f>IF(AND(C61&lt;U61, C61&gt;V61),1,0)</f>
        <v>1</v>
      </c>
      <c r="Z61">
        <f t="shared" si="3"/>
        <v>1</v>
      </c>
      <c r="AA61">
        <f>IF(AND(Y61=1,F61&gt;0), 1, 0)</f>
        <v>1</v>
      </c>
    </row>
    <row r="62" spans="1:27" x14ac:dyDescent="0.3">
      <c r="A62" s="1">
        <v>42909</v>
      </c>
      <c r="B62" s="1">
        <v>43000</v>
      </c>
      <c r="C62">
        <v>315.680015087127</v>
      </c>
      <c r="D62">
        <v>313.75</v>
      </c>
      <c r="E62">
        <v>309.25</v>
      </c>
      <c r="F62">
        <v>4.5</v>
      </c>
      <c r="G62">
        <v>6.4300150871276802</v>
      </c>
      <c r="H62">
        <v>4.5</v>
      </c>
      <c r="I62">
        <v>309.191136293113</v>
      </c>
      <c r="J62">
        <v>309.56577971577599</v>
      </c>
      <c r="K62">
        <v>313.436695575714</v>
      </c>
      <c r="L62">
        <v>312.31193065643299</v>
      </c>
      <c r="M62">
        <v>316.26763916015602</v>
      </c>
      <c r="N62">
        <v>311.75030815601298</v>
      </c>
      <c r="O62">
        <v>316.64861345291098</v>
      </c>
      <c r="P62">
        <v>308.93554115295399</v>
      </c>
      <c r="Q62">
        <f t="shared" si="0"/>
        <v>312.33676228672238</v>
      </c>
      <c r="R62">
        <f>IF((Q62-E62)*(D62-E62)&gt;0, 1,0)</f>
        <v>1</v>
      </c>
      <c r="S62">
        <v>4.8481748400000004</v>
      </c>
      <c r="T62" s="1">
        <v>43000</v>
      </c>
      <c r="U62">
        <f>D62+1.65*S62</f>
        <v>321.74948848600002</v>
      </c>
      <c r="V62">
        <f>D62-1.65*S62</f>
        <v>305.75051151399998</v>
      </c>
      <c r="W62">
        <f t="shared" si="1"/>
        <v>312.33676228672238</v>
      </c>
      <c r="X62">
        <f t="shared" si="2"/>
        <v>1</v>
      </c>
      <c r="Y62">
        <f>IF(AND(C62&lt;U62, C62&gt;V62),1,0)</f>
        <v>1</v>
      </c>
      <c r="Z62">
        <f t="shared" si="3"/>
        <v>1</v>
      </c>
      <c r="AA62">
        <f>IF(AND(Y62=1,F62&gt;0), 1, 0)</f>
        <v>1</v>
      </c>
    </row>
    <row r="63" spans="1:27" x14ac:dyDescent="0.3">
      <c r="A63" s="1">
        <v>42912</v>
      </c>
      <c r="B63" s="1">
        <v>43003</v>
      </c>
      <c r="C63">
        <v>316.675886440277</v>
      </c>
      <c r="D63">
        <v>313.8</v>
      </c>
      <c r="E63">
        <v>310.55</v>
      </c>
      <c r="F63">
        <v>3.25</v>
      </c>
      <c r="G63">
        <v>6.1258864402770996</v>
      </c>
      <c r="H63">
        <v>3.25</v>
      </c>
      <c r="I63">
        <v>309.09816460609397</v>
      </c>
      <c r="J63">
        <v>310.57111434377703</v>
      </c>
      <c r="K63">
        <v>313.92550330161998</v>
      </c>
      <c r="L63">
        <v>312.87279586791902</v>
      </c>
      <c r="M63">
        <v>316.630854415893</v>
      </c>
      <c r="N63">
        <v>311.23170347213699</v>
      </c>
      <c r="O63">
        <v>316.02464179992597</v>
      </c>
      <c r="P63">
        <v>309.22727470397899</v>
      </c>
      <c r="Q63">
        <f t="shared" si="0"/>
        <v>312.62147843417262</v>
      </c>
      <c r="R63">
        <f>IF((Q63-E63)*(D63-E63)&gt;0, 1,0)</f>
        <v>1</v>
      </c>
      <c r="S63">
        <v>4.8558391939999996</v>
      </c>
      <c r="T63" s="1">
        <v>43003</v>
      </c>
      <c r="U63">
        <f>D63+1.65*S63</f>
        <v>321.81213467010002</v>
      </c>
      <c r="V63">
        <f>D63-1.65*S63</f>
        <v>305.7878653299</v>
      </c>
      <c r="W63">
        <f t="shared" si="1"/>
        <v>312.62147843417262</v>
      </c>
      <c r="X63">
        <f t="shared" si="2"/>
        <v>1</v>
      </c>
      <c r="Y63">
        <f>IF(AND(C63&lt;U63, C63&gt;V63),1,0)</f>
        <v>1</v>
      </c>
      <c r="Z63">
        <f t="shared" si="3"/>
        <v>1</v>
      </c>
      <c r="AA63">
        <f>IF(AND(Y63=1,F63&gt;0), 1, 0)</f>
        <v>1</v>
      </c>
    </row>
    <row r="64" spans="1:27" x14ac:dyDescent="0.3">
      <c r="A64" s="1">
        <v>42913</v>
      </c>
      <c r="B64" s="1">
        <v>43004</v>
      </c>
      <c r="C64">
        <v>315.65235195159897</v>
      </c>
      <c r="D64">
        <v>311.79999998807898</v>
      </c>
      <c r="E64">
        <v>311.10000000000002</v>
      </c>
      <c r="F64">
        <v>0.69999998807907104</v>
      </c>
      <c r="G64">
        <v>4.5523519515991202</v>
      </c>
      <c r="H64">
        <v>0.69999998807907104</v>
      </c>
      <c r="I64">
        <v>311.02590026557402</v>
      </c>
      <c r="J64">
        <v>310.85975646078498</v>
      </c>
      <c r="K64">
        <v>309.40825185775702</v>
      </c>
      <c r="L64">
        <v>312.808716511726</v>
      </c>
      <c r="M64">
        <v>315.54777584075902</v>
      </c>
      <c r="N64">
        <v>309.56447186470001</v>
      </c>
      <c r="O64">
        <v>311.72720173597298</v>
      </c>
      <c r="P64">
        <v>310.50791797637902</v>
      </c>
      <c r="Q64">
        <f t="shared" si="0"/>
        <v>311.69793152127897</v>
      </c>
      <c r="R64">
        <f>IF((Q64-E64)*(D64-E64)&gt;0, 1,0)</f>
        <v>1</v>
      </c>
      <c r="S64">
        <v>4.8557872140000002</v>
      </c>
      <c r="T64" s="1">
        <v>43004</v>
      </c>
      <c r="U64">
        <f>D64+1.65*S64</f>
        <v>319.81204889117896</v>
      </c>
      <c r="V64">
        <f>D64-1.65*S64</f>
        <v>303.787951084979</v>
      </c>
      <c r="W64">
        <f t="shared" si="1"/>
        <v>311.69793152127897</v>
      </c>
      <c r="X64">
        <f t="shared" si="2"/>
        <v>1</v>
      </c>
      <c r="Y64">
        <f>IF(AND(C64&lt;U64, C64&gt;V64),1,0)</f>
        <v>1</v>
      </c>
      <c r="Z64">
        <f t="shared" si="3"/>
        <v>1</v>
      </c>
      <c r="AA64">
        <f>IF(AND(Y64=1,F64&gt;0), 1, 0)</f>
        <v>1</v>
      </c>
    </row>
    <row r="65" spans="1:27" x14ac:dyDescent="0.3">
      <c r="A65" s="1">
        <v>42914</v>
      </c>
      <c r="B65" s="1">
        <v>43005</v>
      </c>
      <c r="C65">
        <v>318.94265556335398</v>
      </c>
      <c r="D65">
        <v>311.39999997615803</v>
      </c>
      <c r="E65">
        <v>310.25</v>
      </c>
      <c r="F65">
        <v>1.1499999761581401</v>
      </c>
      <c r="G65">
        <v>8.6926555633544904</v>
      </c>
      <c r="H65">
        <v>1.1499999761581401</v>
      </c>
      <c r="I65">
        <v>311.47418153285901</v>
      </c>
      <c r="J65">
        <v>311.30596315860703</v>
      </c>
      <c r="K65">
        <v>314.321617603302</v>
      </c>
      <c r="L65">
        <v>312.96814203262301</v>
      </c>
      <c r="M65">
        <v>316.63870096206603</v>
      </c>
      <c r="N65">
        <v>311.63447785377502</v>
      </c>
      <c r="O65">
        <v>315.40218782424898</v>
      </c>
      <c r="P65">
        <v>312.39628791809002</v>
      </c>
      <c r="Q65">
        <f t="shared" si="0"/>
        <v>313.50101157597089</v>
      </c>
      <c r="R65">
        <f>IF((Q65-E65)*(D65-E65)&gt;0, 1,0)</f>
        <v>1</v>
      </c>
      <c r="S65">
        <v>4.8533357380000002</v>
      </c>
      <c r="T65" s="1">
        <v>43005</v>
      </c>
      <c r="U65">
        <f>D65+1.65*S65</f>
        <v>319.40800394385803</v>
      </c>
      <c r="V65">
        <f>D65-1.65*S65</f>
        <v>303.39199600845802</v>
      </c>
      <c r="W65">
        <f t="shared" si="1"/>
        <v>313.50101157597089</v>
      </c>
      <c r="X65">
        <f t="shared" si="2"/>
        <v>1</v>
      </c>
      <c r="Y65">
        <f>IF(AND(C65&lt;U65, C65&gt;V65),1,0)</f>
        <v>1</v>
      </c>
      <c r="Z65">
        <f t="shared" si="3"/>
        <v>1</v>
      </c>
      <c r="AA65">
        <f>IF(AND(Y65=1,F65&gt;0), 1, 0)</f>
        <v>1</v>
      </c>
    </row>
    <row r="66" spans="1:27" x14ac:dyDescent="0.3">
      <c r="A66" s="1">
        <v>42915</v>
      </c>
      <c r="B66" s="1">
        <v>43006</v>
      </c>
      <c r="C66">
        <v>320.29259500503503</v>
      </c>
      <c r="D66">
        <v>311.60000000000002</v>
      </c>
      <c r="E66">
        <v>312.35000000000002</v>
      </c>
      <c r="F66">
        <v>-0.75</v>
      </c>
      <c r="G66">
        <v>7.9425950050354004</v>
      </c>
      <c r="H66">
        <v>-0.75</v>
      </c>
      <c r="I66">
        <v>312.400439037382</v>
      </c>
      <c r="J66">
        <v>312.14976603388698</v>
      </c>
      <c r="K66">
        <v>313.01870397329299</v>
      </c>
      <c r="L66">
        <v>313.39999101161902</v>
      </c>
      <c r="M66">
        <v>315.50249323844901</v>
      </c>
      <c r="N66">
        <v>308.04859306812199</v>
      </c>
      <c r="O66">
        <v>319.81391677856402</v>
      </c>
      <c r="P66">
        <v>309.77491793632498</v>
      </c>
      <c r="Q66">
        <f t="shared" si="0"/>
        <v>313.72288971564558</v>
      </c>
      <c r="R66">
        <f>IF((Q66-E66)*(D66-E66)&gt;0, 1,0)</f>
        <v>0</v>
      </c>
      <c r="S66">
        <v>4.8521654559999998</v>
      </c>
      <c r="T66" s="1">
        <v>43006</v>
      </c>
      <c r="U66">
        <f>D66+1.65*S66</f>
        <v>319.60607300240002</v>
      </c>
      <c r="V66">
        <f>D66-1.65*S66</f>
        <v>303.59392699760002</v>
      </c>
      <c r="W66">
        <f t="shared" si="1"/>
        <v>313.72288971564558</v>
      </c>
      <c r="X66">
        <f t="shared" si="2"/>
        <v>1</v>
      </c>
      <c r="Y66">
        <f>IF(AND(C66&lt;U66, C66&gt;V66),1,0)</f>
        <v>0</v>
      </c>
      <c r="Z66">
        <f t="shared" si="3"/>
        <v>0</v>
      </c>
      <c r="AA66">
        <f>IF(AND(Y66=1,F66&gt;0), 1, 0)</f>
        <v>0</v>
      </c>
    </row>
    <row r="67" spans="1:27" x14ac:dyDescent="0.3">
      <c r="A67" s="1">
        <v>42916</v>
      </c>
      <c r="B67" s="1">
        <v>43007</v>
      </c>
      <c r="C67">
        <v>323.67311077117898</v>
      </c>
      <c r="D67">
        <v>314.3</v>
      </c>
      <c r="E67">
        <v>311.55</v>
      </c>
      <c r="F67">
        <v>2.75</v>
      </c>
      <c r="G67">
        <v>12.123110771179199</v>
      </c>
      <c r="H67">
        <v>2.75</v>
      </c>
      <c r="I67">
        <v>311.13748593926402</v>
      </c>
      <c r="J67">
        <v>312.351397383213</v>
      </c>
      <c r="K67">
        <v>313.60114388465797</v>
      </c>
      <c r="L67">
        <v>320.39532546996998</v>
      </c>
      <c r="M67">
        <v>318.181422519683</v>
      </c>
      <c r="N67">
        <v>310.46452932357698</v>
      </c>
      <c r="O67">
        <v>321.69898777008001</v>
      </c>
      <c r="P67">
        <v>315.16862397193898</v>
      </c>
      <c r="Q67">
        <f t="shared" ref="Q67:Q130" si="4">AVERAGE(I67:M67, O67:P67)</f>
        <v>316.07634099125818</v>
      </c>
      <c r="R67">
        <f>IF((Q67-E67)*(D67-E67)&gt;0, 1,0)</f>
        <v>1</v>
      </c>
      <c r="S67">
        <v>4.864717336</v>
      </c>
      <c r="T67" s="1">
        <v>43007</v>
      </c>
      <c r="U67">
        <f>D67+1.65*S67</f>
        <v>322.32678360440002</v>
      </c>
      <c r="V67">
        <f>D67-1.65*S67</f>
        <v>306.2732163956</v>
      </c>
      <c r="W67">
        <f t="shared" ref="W67:W130" si="5">Q67</f>
        <v>316.07634099125818</v>
      </c>
      <c r="X67">
        <f t="shared" ref="X67:X130" si="6">IF(AND(W67&lt;U67, W67&gt;V67),1,0)</f>
        <v>1</v>
      </c>
      <c r="Y67">
        <f>IF(AND(C67&lt;U67, C67&gt;V67),1,0)</f>
        <v>0</v>
      </c>
      <c r="Z67">
        <f t="shared" ref="Z67:Z130" si="7">IF(AND(X67=1,R67=1), 1, 0)</f>
        <v>1</v>
      </c>
      <c r="AA67">
        <f>IF(AND(Y67=1,F67&gt;0), 1, 0)</f>
        <v>0</v>
      </c>
    </row>
    <row r="68" spans="1:27" x14ac:dyDescent="0.3">
      <c r="A68" s="1">
        <v>42919</v>
      </c>
      <c r="B68" s="1">
        <v>43010</v>
      </c>
      <c r="C68">
        <v>321.91719646453799</v>
      </c>
      <c r="D68">
        <v>314.29999990463199</v>
      </c>
      <c r="E68">
        <v>311.95</v>
      </c>
      <c r="F68">
        <v>2.3499999046325599</v>
      </c>
      <c r="G68">
        <v>9.9671964645385707</v>
      </c>
      <c r="H68">
        <v>2.3499999046325599</v>
      </c>
      <c r="I68">
        <v>310.03499062061297</v>
      </c>
      <c r="J68">
        <v>312.11082550585201</v>
      </c>
      <c r="K68">
        <v>313.680302929878</v>
      </c>
      <c r="L68">
        <v>321.590846252441</v>
      </c>
      <c r="M68">
        <v>318.66838378906198</v>
      </c>
      <c r="N68">
        <v>311.97948169708201</v>
      </c>
      <c r="O68">
        <v>321.46086711883498</v>
      </c>
      <c r="P68">
        <v>312.49807364940602</v>
      </c>
      <c r="Q68">
        <f t="shared" si="4"/>
        <v>315.72061283801247</v>
      </c>
      <c r="R68">
        <f>IF((Q68-E68)*(D68-E68)&gt;0, 1,0)</f>
        <v>1</v>
      </c>
      <c r="S68">
        <v>4.8766285490000003</v>
      </c>
      <c r="T68" s="1">
        <v>43010</v>
      </c>
      <c r="U68">
        <f>D68+1.65*S68</f>
        <v>322.34643701048196</v>
      </c>
      <c r="V68">
        <f>D68-1.65*S68</f>
        <v>306.25356279878201</v>
      </c>
      <c r="W68">
        <f t="shared" si="5"/>
        <v>315.72061283801247</v>
      </c>
      <c r="X68">
        <f t="shared" si="6"/>
        <v>1</v>
      </c>
      <c r="Y68">
        <f>IF(AND(C68&lt;U68, C68&gt;V68),1,0)</f>
        <v>1</v>
      </c>
      <c r="Z68">
        <f t="shared" si="7"/>
        <v>1</v>
      </c>
      <c r="AA68">
        <f>IF(AND(Y68=1,F68&gt;0), 1, 0)</f>
        <v>1</v>
      </c>
    </row>
    <row r="69" spans="1:27" x14ac:dyDescent="0.3">
      <c r="A69" s="1">
        <v>42920</v>
      </c>
      <c r="B69" s="1">
        <v>43011</v>
      </c>
      <c r="C69">
        <v>319.40773143768303</v>
      </c>
      <c r="D69">
        <v>314.30000009536701</v>
      </c>
      <c r="E69">
        <v>309.64999999999998</v>
      </c>
      <c r="F69">
        <v>4.6500000953674299</v>
      </c>
      <c r="G69">
        <v>9.7577314376831001</v>
      </c>
      <c r="H69">
        <v>4.6500000953674299</v>
      </c>
      <c r="I69">
        <v>309.05015923976799</v>
      </c>
      <c r="J69">
        <v>311.94017758369398</v>
      </c>
      <c r="K69">
        <v>312.04074063300999</v>
      </c>
      <c r="L69">
        <v>316.34660615921001</v>
      </c>
      <c r="M69">
        <v>316.283825302124</v>
      </c>
      <c r="N69">
        <v>305.46547026634198</v>
      </c>
      <c r="O69">
        <v>320.104637527465</v>
      </c>
      <c r="P69">
        <v>309.02806379794998</v>
      </c>
      <c r="Q69">
        <f t="shared" si="4"/>
        <v>313.54203003474589</v>
      </c>
      <c r="R69">
        <f>IF((Q69-E69)*(D69-E69)&gt;0, 1,0)</f>
        <v>1</v>
      </c>
      <c r="S69">
        <v>4.8822295999999996</v>
      </c>
      <c r="T69" s="1">
        <v>43011</v>
      </c>
      <c r="U69">
        <f>D69+1.65*S69</f>
        <v>322.355678935367</v>
      </c>
      <c r="V69">
        <f>D69-1.65*S69</f>
        <v>306.24432125536703</v>
      </c>
      <c r="W69">
        <f t="shared" si="5"/>
        <v>313.54203003474589</v>
      </c>
      <c r="X69">
        <f t="shared" si="6"/>
        <v>1</v>
      </c>
      <c r="Y69">
        <f>IF(AND(C69&lt;U69, C69&gt;V69),1,0)</f>
        <v>1</v>
      </c>
      <c r="Z69">
        <f t="shared" si="7"/>
        <v>1</v>
      </c>
      <c r="AA69">
        <f>IF(AND(Y69=1,F69&gt;0), 1, 0)</f>
        <v>1</v>
      </c>
    </row>
    <row r="70" spans="1:27" x14ac:dyDescent="0.3">
      <c r="A70" s="1">
        <v>42921</v>
      </c>
      <c r="B70" s="1">
        <v>43012</v>
      </c>
      <c r="C70">
        <v>319.53378925323398</v>
      </c>
      <c r="D70">
        <v>314.300000047683</v>
      </c>
      <c r="E70">
        <v>311.10000000000002</v>
      </c>
      <c r="F70">
        <v>3.20000004768371</v>
      </c>
      <c r="G70">
        <v>8.4337892532348597</v>
      </c>
      <c r="H70">
        <v>3.20000004768371</v>
      </c>
      <c r="I70">
        <v>310.63705227374999</v>
      </c>
      <c r="J70">
        <v>312.38137457370698</v>
      </c>
      <c r="K70">
        <v>315.29142150878903</v>
      </c>
      <c r="L70">
        <v>317.24272689819298</v>
      </c>
      <c r="M70">
        <v>317.18476257324198</v>
      </c>
      <c r="N70">
        <v>304.65324740409801</v>
      </c>
      <c r="O70">
        <v>319.51045665740901</v>
      </c>
      <c r="P70">
        <v>309.36363933086398</v>
      </c>
      <c r="Q70">
        <f t="shared" si="4"/>
        <v>314.51591911656487</v>
      </c>
      <c r="R70">
        <f>IF((Q70-E70)*(D70-E70)&gt;0, 1,0)</f>
        <v>1</v>
      </c>
      <c r="S70">
        <v>4.8928767400000002</v>
      </c>
      <c r="T70" s="1">
        <v>43012</v>
      </c>
      <c r="U70">
        <f>D70+1.65*S70</f>
        <v>322.37324666868301</v>
      </c>
      <c r="V70">
        <f>D70-1.65*S70</f>
        <v>306.22675342668299</v>
      </c>
      <c r="W70">
        <f t="shared" si="5"/>
        <v>314.51591911656487</v>
      </c>
      <c r="X70">
        <f t="shared" si="6"/>
        <v>1</v>
      </c>
      <c r="Y70">
        <f>IF(AND(C70&lt;U70, C70&gt;V70),1,0)</f>
        <v>1</v>
      </c>
      <c r="Z70">
        <f t="shared" si="7"/>
        <v>1</v>
      </c>
      <c r="AA70">
        <f>IF(AND(Y70=1,F70&gt;0), 1, 0)</f>
        <v>1</v>
      </c>
    </row>
    <row r="71" spans="1:27" x14ac:dyDescent="0.3">
      <c r="A71" s="1">
        <v>42922</v>
      </c>
      <c r="B71" s="1">
        <v>43013</v>
      </c>
      <c r="C71">
        <v>320.27340755462598</v>
      </c>
      <c r="D71">
        <v>314.300000047683</v>
      </c>
      <c r="E71">
        <v>311.10000000000002</v>
      </c>
      <c r="F71">
        <v>3.20000004768371</v>
      </c>
      <c r="G71">
        <v>9.1734075546264595</v>
      </c>
      <c r="H71">
        <v>3.20000004768371</v>
      </c>
      <c r="I71">
        <v>309.732181286811</v>
      </c>
      <c r="J71">
        <v>311.27256794869902</v>
      </c>
      <c r="K71">
        <v>313.98819432258603</v>
      </c>
      <c r="L71">
        <v>313.62483701705901</v>
      </c>
      <c r="M71">
        <v>316.20221481323199</v>
      </c>
      <c r="N71">
        <v>305.94638265371299</v>
      </c>
      <c r="O71">
        <v>319.99355182647702</v>
      </c>
      <c r="P71">
        <v>310.568912184238</v>
      </c>
      <c r="Q71">
        <f t="shared" si="4"/>
        <v>313.62606562844309</v>
      </c>
      <c r="R71">
        <f>IF((Q71-E71)*(D71-E71)&gt;0, 1,0)</f>
        <v>1</v>
      </c>
      <c r="S71">
        <v>4.9029987390000001</v>
      </c>
      <c r="T71" s="1">
        <v>43013</v>
      </c>
      <c r="U71">
        <f>D71+1.65*S71</f>
        <v>322.38994796703298</v>
      </c>
      <c r="V71">
        <f>D71-1.65*S71</f>
        <v>306.21005212833302</v>
      </c>
      <c r="W71">
        <f t="shared" si="5"/>
        <v>313.62606562844309</v>
      </c>
      <c r="X71">
        <f t="shared" si="6"/>
        <v>1</v>
      </c>
      <c r="Y71">
        <f>IF(AND(C71&lt;U71, C71&gt;V71),1,0)</f>
        <v>1</v>
      </c>
      <c r="Z71">
        <f t="shared" si="7"/>
        <v>1</v>
      </c>
      <c r="AA71">
        <f>IF(AND(Y71=1,F71&gt;0), 1, 0)</f>
        <v>1</v>
      </c>
    </row>
    <row r="72" spans="1:27" x14ac:dyDescent="0.3">
      <c r="A72" s="1">
        <v>42923</v>
      </c>
      <c r="B72" s="1">
        <v>43014</v>
      </c>
      <c r="C72">
        <v>320.71209049224802</v>
      </c>
      <c r="D72">
        <v>314.30000019073401</v>
      </c>
      <c r="E72">
        <v>310.25</v>
      </c>
      <c r="F72">
        <v>4.0500001907348597</v>
      </c>
      <c r="G72">
        <v>10.4620904922485</v>
      </c>
      <c r="H72">
        <v>4.0500001907348597</v>
      </c>
      <c r="I72">
        <v>309.64540559053398</v>
      </c>
      <c r="J72">
        <v>310.68053662776902</v>
      </c>
      <c r="K72">
        <v>312.35244393348597</v>
      </c>
      <c r="L72">
        <v>315.47312736511202</v>
      </c>
      <c r="M72">
        <v>313.281122922897</v>
      </c>
      <c r="N72">
        <v>309.694073915481</v>
      </c>
      <c r="O72">
        <v>323.26667499542202</v>
      </c>
      <c r="P72">
        <v>312.05540919303797</v>
      </c>
      <c r="Q72">
        <f t="shared" si="4"/>
        <v>313.82210294689401</v>
      </c>
      <c r="R72">
        <f>IF((Q72-E72)*(D72-E72)&gt;0, 1,0)</f>
        <v>1</v>
      </c>
      <c r="S72">
        <v>4.9095866289999996</v>
      </c>
      <c r="T72" s="1">
        <v>43014</v>
      </c>
      <c r="U72">
        <f>D72+1.65*S72</f>
        <v>322.40081812858404</v>
      </c>
      <c r="V72">
        <f>D72-1.65*S72</f>
        <v>306.19918225288399</v>
      </c>
      <c r="W72">
        <f t="shared" si="5"/>
        <v>313.82210294689401</v>
      </c>
      <c r="X72">
        <f t="shared" si="6"/>
        <v>1</v>
      </c>
      <c r="Y72">
        <f>IF(AND(C72&lt;U72, C72&gt;V72),1,0)</f>
        <v>1</v>
      </c>
      <c r="Z72">
        <f t="shared" si="7"/>
        <v>1</v>
      </c>
      <c r="AA72">
        <f>IF(AND(Y72=1,F72&gt;0), 1, 0)</f>
        <v>1</v>
      </c>
    </row>
    <row r="73" spans="1:27" x14ac:dyDescent="0.3">
      <c r="A73" s="1">
        <v>42926</v>
      </c>
      <c r="B73" s="1">
        <v>43017</v>
      </c>
      <c r="C73">
        <v>321.779523658752</v>
      </c>
      <c r="D73">
        <v>314.3</v>
      </c>
      <c r="E73">
        <v>310.8</v>
      </c>
      <c r="F73">
        <v>3.5</v>
      </c>
      <c r="G73">
        <v>10.979523658752401</v>
      </c>
      <c r="H73">
        <v>3.5</v>
      </c>
      <c r="I73">
        <v>310.53130324482902</v>
      </c>
      <c r="J73">
        <v>310.79588314257501</v>
      </c>
      <c r="K73">
        <v>312.34394567012703</v>
      </c>
      <c r="L73">
        <v>313.28580646514803</v>
      </c>
      <c r="M73">
        <v>314.26512198448103</v>
      </c>
      <c r="N73">
        <v>312.03854012489302</v>
      </c>
      <c r="O73">
        <v>322.65836219787599</v>
      </c>
      <c r="P73">
        <v>313.32810192108099</v>
      </c>
      <c r="Q73">
        <f t="shared" si="4"/>
        <v>313.88693208944534</v>
      </c>
      <c r="R73">
        <f>IF((Q73-E73)*(D73-E73)&gt;0, 1,0)</f>
        <v>1</v>
      </c>
      <c r="S73">
        <v>4.9176856559999997</v>
      </c>
      <c r="T73" s="1">
        <v>43017</v>
      </c>
      <c r="U73">
        <f>D73+1.65*S73</f>
        <v>322.41418133240001</v>
      </c>
      <c r="V73">
        <f>D73-1.65*S73</f>
        <v>306.18581866760002</v>
      </c>
      <c r="W73">
        <f t="shared" si="5"/>
        <v>313.88693208944534</v>
      </c>
      <c r="X73">
        <f t="shared" si="6"/>
        <v>1</v>
      </c>
      <c r="Y73">
        <f>IF(AND(C73&lt;U73, C73&gt;V73),1,0)</f>
        <v>1</v>
      </c>
      <c r="Z73">
        <f t="shared" si="7"/>
        <v>1</v>
      </c>
      <c r="AA73">
        <f>IF(AND(Y73=1,F73&gt;0), 1, 0)</f>
        <v>1</v>
      </c>
    </row>
    <row r="74" spans="1:27" x14ac:dyDescent="0.3">
      <c r="A74" s="1">
        <v>42927</v>
      </c>
      <c r="B74" s="1">
        <v>43018</v>
      </c>
      <c r="C74">
        <v>322.52051944732602</v>
      </c>
      <c r="D74">
        <v>320.14999980926501</v>
      </c>
      <c r="E74">
        <v>312.7</v>
      </c>
      <c r="F74">
        <v>7.4499998092651296</v>
      </c>
      <c r="G74">
        <v>9.8205194473266602</v>
      </c>
      <c r="H74">
        <v>7.4499998092651296</v>
      </c>
      <c r="I74">
        <v>311.62978370189597</v>
      </c>
      <c r="J74">
        <v>309.78134317398002</v>
      </c>
      <c r="K74">
        <v>310.10336203575099</v>
      </c>
      <c r="L74">
        <v>317.42521209716699</v>
      </c>
      <c r="M74">
        <v>316.42682070732099</v>
      </c>
      <c r="N74">
        <v>308.47398800849902</v>
      </c>
      <c r="O74">
        <v>318.49753589630097</v>
      </c>
      <c r="P74">
        <v>311.91396571397701</v>
      </c>
      <c r="Q74">
        <f t="shared" si="4"/>
        <v>313.68257476091333</v>
      </c>
      <c r="R74">
        <f>IF((Q74-E74)*(D74-E74)&gt;0, 1,0)</f>
        <v>1</v>
      </c>
      <c r="S74">
        <v>5.0235034130000003</v>
      </c>
      <c r="T74" s="1">
        <v>43018</v>
      </c>
      <c r="U74">
        <f>D74+1.65*S74</f>
        <v>328.43878044071499</v>
      </c>
      <c r="V74">
        <f>D74-1.65*S74</f>
        <v>311.86121917781503</v>
      </c>
      <c r="W74">
        <f t="shared" si="5"/>
        <v>313.68257476091333</v>
      </c>
      <c r="X74">
        <f t="shared" si="6"/>
        <v>1</v>
      </c>
      <c r="Y74">
        <f>IF(AND(C74&lt;U74, C74&gt;V74),1,0)</f>
        <v>1</v>
      </c>
      <c r="Z74">
        <f t="shared" si="7"/>
        <v>1</v>
      </c>
      <c r="AA74">
        <f>IF(AND(Y74=1,F74&gt;0), 1, 0)</f>
        <v>1</v>
      </c>
    </row>
    <row r="75" spans="1:27" x14ac:dyDescent="0.3">
      <c r="A75" s="1">
        <v>42928</v>
      </c>
      <c r="B75" s="1">
        <v>43019</v>
      </c>
      <c r="C75">
        <v>325.70335731506299</v>
      </c>
      <c r="D75">
        <v>323.24999961853001</v>
      </c>
      <c r="E75">
        <v>312.60000000000002</v>
      </c>
      <c r="F75">
        <v>10.649999618530201</v>
      </c>
      <c r="G75">
        <v>13.1033573150634</v>
      </c>
      <c r="H75">
        <v>10.649999618530201</v>
      </c>
      <c r="I75">
        <v>311.97099111080098</v>
      </c>
      <c r="J75">
        <v>309.752089834213</v>
      </c>
      <c r="K75">
        <v>315.78944144248902</v>
      </c>
      <c r="L75">
        <v>315.62380657196002</v>
      </c>
      <c r="M75">
        <v>315.819755172729</v>
      </c>
      <c r="N75">
        <v>304.33097677230802</v>
      </c>
      <c r="O75">
        <v>316.06748328208897</v>
      </c>
      <c r="P75">
        <v>315.04332504272401</v>
      </c>
      <c r="Q75">
        <f t="shared" si="4"/>
        <v>314.29527035100062</v>
      </c>
      <c r="R75">
        <f>IF((Q75-E75)*(D75-E75)&gt;0, 1,0)</f>
        <v>1</v>
      </c>
      <c r="S75">
        <v>5.2146206030000002</v>
      </c>
      <c r="T75" s="1">
        <v>43019</v>
      </c>
      <c r="U75">
        <f>D75+1.65*S75</f>
        <v>331.85412361348</v>
      </c>
      <c r="V75">
        <f>D75-1.65*S75</f>
        <v>314.64587562358003</v>
      </c>
      <c r="W75">
        <f t="shared" si="5"/>
        <v>314.29527035100062</v>
      </c>
      <c r="X75">
        <f t="shared" si="6"/>
        <v>0</v>
      </c>
      <c r="Y75">
        <f>IF(AND(C75&lt;U75, C75&gt;V75),1,0)</f>
        <v>1</v>
      </c>
      <c r="Z75">
        <f t="shared" si="7"/>
        <v>0</v>
      </c>
      <c r="AA75">
        <f>IF(AND(Y75=1,F75&gt;0), 1, 0)</f>
        <v>1</v>
      </c>
    </row>
    <row r="76" spans="1:27" x14ac:dyDescent="0.3">
      <c r="A76" s="1">
        <v>42929</v>
      </c>
      <c r="B76" s="1">
        <v>43020</v>
      </c>
      <c r="C76">
        <v>325.78813724517801</v>
      </c>
      <c r="D76">
        <v>325.650000381469</v>
      </c>
      <c r="E76">
        <v>316.55</v>
      </c>
      <c r="F76">
        <v>9.1000003814697195</v>
      </c>
      <c r="G76">
        <v>9.2381372451782209</v>
      </c>
      <c r="H76">
        <v>9.1000003814697195</v>
      </c>
      <c r="I76">
        <v>314.11880187988203</v>
      </c>
      <c r="J76">
        <v>314.618063378334</v>
      </c>
      <c r="K76">
        <v>316.12118356227802</v>
      </c>
      <c r="L76">
        <v>316.94672136306701</v>
      </c>
      <c r="M76">
        <v>321.496398735046</v>
      </c>
      <c r="N76">
        <v>307.06814408302301</v>
      </c>
      <c r="O76">
        <v>314.03473262786798</v>
      </c>
      <c r="P76">
        <v>314.92677061557703</v>
      </c>
      <c r="Q76">
        <f t="shared" si="4"/>
        <v>316.03752459457888</v>
      </c>
      <c r="R76">
        <f>IF((Q76-E76)*(D76-E76)&gt;0, 1,0)</f>
        <v>0</v>
      </c>
      <c r="S76">
        <v>5.4519594439999999</v>
      </c>
      <c r="T76" s="1">
        <v>43020</v>
      </c>
      <c r="U76">
        <f>D76+1.65*S76</f>
        <v>334.645733464069</v>
      </c>
      <c r="V76">
        <f>D76-1.65*S76</f>
        <v>316.654267298869</v>
      </c>
      <c r="W76">
        <f t="shared" si="5"/>
        <v>316.03752459457888</v>
      </c>
      <c r="X76">
        <f t="shared" si="6"/>
        <v>0</v>
      </c>
      <c r="Y76">
        <f>IF(AND(C76&lt;U76, C76&gt;V76),1,0)</f>
        <v>1</v>
      </c>
      <c r="Z76">
        <f t="shared" si="7"/>
        <v>0</v>
      </c>
      <c r="AA76">
        <f>IF(AND(Y76=1,F76&gt;0), 1, 0)</f>
        <v>1</v>
      </c>
    </row>
    <row r="77" spans="1:27" x14ac:dyDescent="0.3">
      <c r="A77" s="1">
        <v>42930</v>
      </c>
      <c r="B77" s="1">
        <v>43021</v>
      </c>
      <c r="C77">
        <v>326.85595245361299</v>
      </c>
      <c r="D77">
        <v>325.30000038146898</v>
      </c>
      <c r="E77">
        <v>316.7</v>
      </c>
      <c r="F77">
        <v>8.6000003814697195</v>
      </c>
      <c r="G77">
        <v>10.1559524536132</v>
      </c>
      <c r="H77">
        <v>8.6000003814697195</v>
      </c>
      <c r="I77">
        <v>315.560600352287</v>
      </c>
      <c r="J77">
        <v>315.13868863582599</v>
      </c>
      <c r="K77">
        <v>318.32002646923002</v>
      </c>
      <c r="L77">
        <v>317.66021687984397</v>
      </c>
      <c r="M77">
        <v>317.32149250507302</v>
      </c>
      <c r="N77">
        <v>309.51253802776301</v>
      </c>
      <c r="O77">
        <v>323.52253503799398</v>
      </c>
      <c r="P77">
        <v>317.82081766128499</v>
      </c>
      <c r="Q77">
        <f t="shared" si="4"/>
        <v>317.90633964879129</v>
      </c>
      <c r="R77">
        <f>IF((Q77-E77)*(D77-E77)&gt;0, 1,0)</f>
        <v>1</v>
      </c>
      <c r="S77">
        <v>5.6615272340000002</v>
      </c>
      <c r="T77" s="1">
        <v>43021</v>
      </c>
      <c r="U77">
        <f>D77+1.65*S77</f>
        <v>334.64152031756896</v>
      </c>
      <c r="V77">
        <f>D77-1.65*S77</f>
        <v>315.95848044536899</v>
      </c>
      <c r="W77">
        <f t="shared" si="5"/>
        <v>317.90633964879129</v>
      </c>
      <c r="X77">
        <f t="shared" si="6"/>
        <v>1</v>
      </c>
      <c r="Y77">
        <f>IF(AND(C77&lt;U77, C77&gt;V77),1,0)</f>
        <v>1</v>
      </c>
      <c r="Z77">
        <f t="shared" si="7"/>
        <v>1</v>
      </c>
      <c r="AA77">
        <f>IF(AND(Y77=1,F77&gt;0), 1, 0)</f>
        <v>1</v>
      </c>
    </row>
    <row r="78" spans="1:27" x14ac:dyDescent="0.3">
      <c r="A78" s="1">
        <v>42933</v>
      </c>
      <c r="B78" s="1">
        <v>43024</v>
      </c>
      <c r="C78">
        <v>325.62382984161297</v>
      </c>
      <c r="D78">
        <v>325.5</v>
      </c>
      <c r="E78">
        <v>317.5</v>
      </c>
      <c r="F78">
        <v>8</v>
      </c>
      <c r="G78">
        <v>8.1238298416137695</v>
      </c>
      <c r="H78">
        <v>8</v>
      </c>
      <c r="I78">
        <v>315.02803421020502</v>
      </c>
      <c r="J78">
        <v>316.56133085489199</v>
      </c>
      <c r="K78">
        <v>316.97334986925102</v>
      </c>
      <c r="L78">
        <v>315.76171040534899</v>
      </c>
      <c r="M78">
        <v>316.44603455066601</v>
      </c>
      <c r="N78">
        <v>315.26780576705897</v>
      </c>
      <c r="O78">
        <v>322.73478031158402</v>
      </c>
      <c r="P78">
        <v>319.882167816162</v>
      </c>
      <c r="Q78">
        <f t="shared" si="4"/>
        <v>317.62677257401555</v>
      </c>
      <c r="R78">
        <f>IF((Q78-E78)*(D78-E78)&gt;0, 1,0)</f>
        <v>1</v>
      </c>
      <c r="S78">
        <v>5.8576877700000001</v>
      </c>
      <c r="T78" s="1">
        <v>43024</v>
      </c>
      <c r="U78">
        <f>D78+1.65*S78</f>
        <v>335.16518482049997</v>
      </c>
      <c r="V78">
        <f>D78-1.65*S78</f>
        <v>315.83481517950003</v>
      </c>
      <c r="W78">
        <f t="shared" si="5"/>
        <v>317.62677257401555</v>
      </c>
      <c r="X78">
        <f t="shared" si="6"/>
        <v>1</v>
      </c>
      <c r="Y78">
        <f>IF(AND(C78&lt;U78, C78&gt;V78),1,0)</f>
        <v>1</v>
      </c>
      <c r="Z78">
        <f t="shared" si="7"/>
        <v>1</v>
      </c>
      <c r="AA78">
        <f>IF(AND(Y78=1,F78&gt;0), 1, 0)</f>
        <v>1</v>
      </c>
    </row>
    <row r="79" spans="1:27" x14ac:dyDescent="0.3">
      <c r="A79" s="1">
        <v>42934</v>
      </c>
      <c r="B79" s="1">
        <v>43025</v>
      </c>
      <c r="C79">
        <v>327.20638828277498</v>
      </c>
      <c r="D79">
        <v>325.8</v>
      </c>
      <c r="E79">
        <v>318.05</v>
      </c>
      <c r="F79">
        <v>7.75</v>
      </c>
      <c r="G79">
        <v>9.15638828277587</v>
      </c>
      <c r="H79">
        <v>7.75</v>
      </c>
      <c r="I79">
        <v>315.30202846527101</v>
      </c>
      <c r="J79">
        <v>314.70582442283597</v>
      </c>
      <c r="K79">
        <v>317.46345989704099</v>
      </c>
      <c r="L79">
        <v>315.43166189193698</v>
      </c>
      <c r="M79">
        <v>317.48450891971498</v>
      </c>
      <c r="N79">
        <v>316.83925830125798</v>
      </c>
      <c r="O79">
        <v>321.29226546287498</v>
      </c>
      <c r="P79">
        <v>318.93266324996898</v>
      </c>
      <c r="Q79">
        <f t="shared" si="4"/>
        <v>317.23034461566345</v>
      </c>
      <c r="R79">
        <f>IF((Q79-E79)*(D79-E79)&gt;0, 1,0)</f>
        <v>0</v>
      </c>
      <c r="S79">
        <v>6.0477347950000002</v>
      </c>
      <c r="T79" s="1">
        <v>43025</v>
      </c>
      <c r="U79">
        <f>D79+1.65*S79</f>
        <v>335.77876241174999</v>
      </c>
      <c r="V79">
        <f>D79-1.65*S79</f>
        <v>315.82123758825003</v>
      </c>
      <c r="W79">
        <f t="shared" si="5"/>
        <v>317.23034461566345</v>
      </c>
      <c r="X79">
        <f t="shared" si="6"/>
        <v>1</v>
      </c>
      <c r="Y79">
        <f>IF(AND(C79&lt;U79, C79&gt;V79),1,0)</f>
        <v>1</v>
      </c>
      <c r="Z79">
        <f t="shared" si="7"/>
        <v>0</v>
      </c>
      <c r="AA79">
        <f>IF(AND(Y79=1,F79&gt;0), 1, 0)</f>
        <v>1</v>
      </c>
    </row>
    <row r="80" spans="1:27" x14ac:dyDescent="0.3">
      <c r="A80" s="1">
        <v>42935</v>
      </c>
      <c r="B80" s="1">
        <v>43026</v>
      </c>
      <c r="C80">
        <v>322.46497220993001</v>
      </c>
      <c r="D80">
        <v>325.85000009536702</v>
      </c>
      <c r="E80">
        <v>318.7</v>
      </c>
      <c r="F80">
        <v>7.1500000953674299</v>
      </c>
      <c r="G80">
        <v>3.7649722099304199</v>
      </c>
      <c r="H80">
        <v>7.1500000953674299</v>
      </c>
      <c r="I80">
        <v>316.45599884986802</v>
      </c>
      <c r="J80">
        <v>317.17430956363597</v>
      </c>
      <c r="K80">
        <v>318.18177462816197</v>
      </c>
      <c r="L80">
        <v>318.85542232990201</v>
      </c>
      <c r="M80">
        <v>319.801171135902</v>
      </c>
      <c r="N80">
        <v>313.91284053325597</v>
      </c>
      <c r="O80">
        <v>323.38628025054902</v>
      </c>
      <c r="P80">
        <v>320.07595009803703</v>
      </c>
      <c r="Q80">
        <f t="shared" si="4"/>
        <v>319.13298669372227</v>
      </c>
      <c r="R80">
        <f>IF((Q80-E80)*(D80-E80)&gt;0, 1,0)</f>
        <v>1</v>
      </c>
      <c r="S80">
        <v>6.2221468790000003</v>
      </c>
      <c r="T80" s="1">
        <v>43026</v>
      </c>
      <c r="U80">
        <f>D80+1.65*S80</f>
        <v>336.11654244571702</v>
      </c>
      <c r="V80">
        <f>D80-1.65*S80</f>
        <v>315.58345774501703</v>
      </c>
      <c r="W80">
        <f t="shared" si="5"/>
        <v>319.13298669372227</v>
      </c>
      <c r="X80">
        <f t="shared" si="6"/>
        <v>1</v>
      </c>
      <c r="Y80">
        <f>IF(AND(C80&lt;U80, C80&gt;V80),1,0)</f>
        <v>1</v>
      </c>
      <c r="Z80">
        <f t="shared" si="7"/>
        <v>1</v>
      </c>
      <c r="AA80">
        <f>IF(AND(Y80=1,F80&gt;0), 1, 0)</f>
        <v>1</v>
      </c>
    </row>
    <row r="81" spans="1:27" x14ac:dyDescent="0.3">
      <c r="A81" s="1">
        <v>42936</v>
      </c>
      <c r="B81" s="1">
        <v>43027</v>
      </c>
      <c r="C81">
        <v>325.99144945144599</v>
      </c>
      <c r="D81">
        <v>324.10000000000002</v>
      </c>
      <c r="E81">
        <v>319.60000000000002</v>
      </c>
      <c r="F81">
        <v>4.5</v>
      </c>
      <c r="G81">
        <v>6.3914494514465297</v>
      </c>
      <c r="H81">
        <v>4.5</v>
      </c>
      <c r="I81">
        <v>318.968640899658</v>
      </c>
      <c r="J81">
        <v>318.67098877429902</v>
      </c>
      <c r="K81">
        <v>319.61657931506602</v>
      </c>
      <c r="L81">
        <v>319.76333124041503</v>
      </c>
      <c r="M81">
        <v>320.98643550872799</v>
      </c>
      <c r="N81">
        <v>320.69831066131502</v>
      </c>
      <c r="O81">
        <v>323.24280676841698</v>
      </c>
      <c r="P81">
        <v>320.51239845752701</v>
      </c>
      <c r="Q81">
        <f t="shared" si="4"/>
        <v>320.25159728058713</v>
      </c>
      <c r="R81">
        <f>IF((Q81-E81)*(D81-E81)&gt;0, 1,0)</f>
        <v>1</v>
      </c>
      <c r="S81">
        <v>6.3237336260000001</v>
      </c>
      <c r="T81" s="1">
        <v>43027</v>
      </c>
      <c r="U81">
        <f>D81+1.65*S81</f>
        <v>334.53416048290001</v>
      </c>
      <c r="V81">
        <f>D81-1.65*S81</f>
        <v>313.66583951710004</v>
      </c>
      <c r="W81">
        <f t="shared" si="5"/>
        <v>320.25159728058713</v>
      </c>
      <c r="X81">
        <f t="shared" si="6"/>
        <v>1</v>
      </c>
      <c r="Y81">
        <f>IF(AND(C81&lt;U81, C81&gt;V81),1,0)</f>
        <v>1</v>
      </c>
      <c r="Z81">
        <f t="shared" si="7"/>
        <v>1</v>
      </c>
      <c r="AA81">
        <f>IF(AND(Y81=1,F81&gt;0), 1, 0)</f>
        <v>1</v>
      </c>
    </row>
    <row r="82" spans="1:27" x14ac:dyDescent="0.3">
      <c r="A82" s="1">
        <v>42937</v>
      </c>
      <c r="B82" s="1">
        <v>43028</v>
      </c>
      <c r="C82">
        <v>329.09815607070902</v>
      </c>
      <c r="D82">
        <v>326.250000095367</v>
      </c>
      <c r="E82">
        <v>321.10000000000002</v>
      </c>
      <c r="F82">
        <v>5.1500000953674299</v>
      </c>
      <c r="G82">
        <v>7.9981560707092196</v>
      </c>
      <c r="H82">
        <v>5.1500000953674299</v>
      </c>
      <c r="I82">
        <v>317.94976530075002</v>
      </c>
      <c r="J82">
        <v>318.38224539756698</v>
      </c>
      <c r="K82">
        <v>321.40400657653799</v>
      </c>
      <c r="L82">
        <v>315.21229133605902</v>
      </c>
      <c r="M82">
        <v>321.92915389537802</v>
      </c>
      <c r="N82">
        <v>318.80570507049498</v>
      </c>
      <c r="O82">
        <v>320.93373349904999</v>
      </c>
      <c r="P82">
        <v>320.18417254686301</v>
      </c>
      <c r="Q82">
        <f t="shared" si="4"/>
        <v>319.42790979317215</v>
      </c>
      <c r="R82">
        <f>IF((Q82-E82)*(D82-E82)&gt;0, 1,0)</f>
        <v>0</v>
      </c>
      <c r="S82">
        <v>6.4598730900000003</v>
      </c>
      <c r="T82" s="1">
        <v>43028</v>
      </c>
      <c r="U82">
        <f>D82+1.65*S82</f>
        <v>336.90879069386699</v>
      </c>
      <c r="V82">
        <f>D82-1.65*S82</f>
        <v>315.59120949686701</v>
      </c>
      <c r="W82">
        <f t="shared" si="5"/>
        <v>319.42790979317215</v>
      </c>
      <c r="X82">
        <f t="shared" si="6"/>
        <v>1</v>
      </c>
      <c r="Y82">
        <f>IF(AND(C82&lt;U82, C82&gt;V82),1,0)</f>
        <v>1</v>
      </c>
      <c r="Z82">
        <f t="shared" si="7"/>
        <v>0</v>
      </c>
      <c r="AA82">
        <f>IF(AND(Y82=1,F82&gt;0), 1, 0)</f>
        <v>1</v>
      </c>
    </row>
    <row r="83" spans="1:27" x14ac:dyDescent="0.3">
      <c r="A83" s="1">
        <v>42940</v>
      </c>
      <c r="B83" s="1">
        <v>43031</v>
      </c>
      <c r="C83">
        <v>329.908303260803</v>
      </c>
      <c r="D83">
        <v>327.05000019073401</v>
      </c>
      <c r="E83">
        <v>321.25</v>
      </c>
      <c r="F83">
        <v>5.8000001907348597</v>
      </c>
      <c r="G83">
        <v>8.6583032608032209</v>
      </c>
      <c r="H83">
        <v>5.8000001907348597</v>
      </c>
      <c r="I83">
        <v>318.70404267311</v>
      </c>
      <c r="J83">
        <v>318.77125048637299</v>
      </c>
      <c r="K83">
        <v>322.26292741298602</v>
      </c>
      <c r="L83">
        <v>318.42277431487997</v>
      </c>
      <c r="M83">
        <v>320.26836419105501</v>
      </c>
      <c r="N83">
        <v>319.12251501083301</v>
      </c>
      <c r="O83">
        <v>321.95378547906802</v>
      </c>
      <c r="P83">
        <v>321.57064485549898</v>
      </c>
      <c r="Q83">
        <f t="shared" si="4"/>
        <v>320.27911277328161</v>
      </c>
      <c r="R83">
        <f>IF((Q83-E83)*(D83-E83)&gt;0, 1,0)</f>
        <v>0</v>
      </c>
      <c r="S83">
        <v>6.6151943940000004</v>
      </c>
      <c r="T83" s="1">
        <v>43031</v>
      </c>
      <c r="U83">
        <f>D83+1.65*S83</f>
        <v>337.96507094083404</v>
      </c>
      <c r="V83">
        <f>D83-1.65*S83</f>
        <v>316.13492944063398</v>
      </c>
      <c r="W83">
        <f t="shared" si="5"/>
        <v>320.27911277328161</v>
      </c>
      <c r="X83">
        <f t="shared" si="6"/>
        <v>1</v>
      </c>
      <c r="Y83">
        <f>IF(AND(C83&lt;U83, C83&gt;V83),1,0)</f>
        <v>1</v>
      </c>
      <c r="Z83">
        <f t="shared" si="7"/>
        <v>0</v>
      </c>
      <c r="AA83">
        <f>IF(AND(Y83=1,F83&gt;0), 1, 0)</f>
        <v>1</v>
      </c>
    </row>
    <row r="84" spans="1:27" x14ac:dyDescent="0.3">
      <c r="A84" s="1">
        <v>42941</v>
      </c>
      <c r="B84" s="1">
        <v>43032</v>
      </c>
      <c r="C84">
        <v>328.51975383758497</v>
      </c>
      <c r="D84">
        <v>326.55000009536701</v>
      </c>
      <c r="E84">
        <v>319.64999999999998</v>
      </c>
      <c r="F84">
        <v>6.9000000953674299</v>
      </c>
      <c r="G84">
        <v>8.8697538375854492</v>
      </c>
      <c r="H84">
        <v>6.9000000953674299</v>
      </c>
      <c r="I84">
        <v>320.93770124912197</v>
      </c>
      <c r="J84">
        <v>321.55239703655201</v>
      </c>
      <c r="K84">
        <v>323.77809848785398</v>
      </c>
      <c r="L84">
        <v>322.03754272460901</v>
      </c>
      <c r="M84">
        <v>323.19400062560999</v>
      </c>
      <c r="N84">
        <v>317.38371782302801</v>
      </c>
      <c r="O84">
        <v>319.32460459470701</v>
      </c>
      <c r="P84">
        <v>324.32507266998198</v>
      </c>
      <c r="Q84">
        <f t="shared" si="4"/>
        <v>322.16420248406229</v>
      </c>
      <c r="R84">
        <f>IF((Q84-E84)*(D84-E84)&gt;0, 1,0)</f>
        <v>1</v>
      </c>
      <c r="S84">
        <v>6.7771174490000003</v>
      </c>
      <c r="T84" s="1">
        <v>43032</v>
      </c>
      <c r="U84">
        <f>D84+1.65*S84</f>
        <v>337.73224388621702</v>
      </c>
      <c r="V84">
        <f>D84-1.65*S84</f>
        <v>315.367756304517</v>
      </c>
      <c r="W84">
        <f t="shared" si="5"/>
        <v>322.16420248406229</v>
      </c>
      <c r="X84">
        <f t="shared" si="6"/>
        <v>1</v>
      </c>
      <c r="Y84">
        <f>IF(AND(C84&lt;U84, C84&gt;V84),1,0)</f>
        <v>1</v>
      </c>
      <c r="Z84">
        <f t="shared" si="7"/>
        <v>1</v>
      </c>
      <c r="AA84">
        <f>IF(AND(Y84=1,F84&gt;0), 1, 0)</f>
        <v>1</v>
      </c>
    </row>
    <row r="85" spans="1:27" x14ac:dyDescent="0.3">
      <c r="A85" s="1">
        <v>42942</v>
      </c>
      <c r="B85" s="1">
        <v>43033</v>
      </c>
      <c r="C85">
        <v>324.14109249114898</v>
      </c>
      <c r="D85">
        <v>326.750000190734</v>
      </c>
      <c r="E85">
        <v>318.95</v>
      </c>
      <c r="F85">
        <v>7.8000001907348597</v>
      </c>
      <c r="G85">
        <v>5.1910924911498997</v>
      </c>
      <c r="H85">
        <v>7.8000001907348597</v>
      </c>
      <c r="I85">
        <v>317.65140182971902</v>
      </c>
      <c r="J85">
        <v>318.41961367130199</v>
      </c>
      <c r="K85">
        <v>322.44583721160802</v>
      </c>
      <c r="L85">
        <v>321.87984390258703</v>
      </c>
      <c r="M85">
        <v>323.82460994720401</v>
      </c>
      <c r="N85">
        <v>319.00623788833599</v>
      </c>
      <c r="O85">
        <v>318.63484807014402</v>
      </c>
      <c r="P85">
        <v>321.51985616683902</v>
      </c>
      <c r="Q85">
        <f t="shared" si="4"/>
        <v>320.62514439991475</v>
      </c>
      <c r="R85">
        <f>IF((Q85-E85)*(D85-E85)&gt;0, 1,0)</f>
        <v>1</v>
      </c>
      <c r="S85">
        <v>6.9492586589999998</v>
      </c>
      <c r="T85" s="1">
        <v>43033</v>
      </c>
      <c r="U85">
        <f>D85+1.65*S85</f>
        <v>338.21627697808401</v>
      </c>
      <c r="V85">
        <f>D85-1.65*S85</f>
        <v>315.28372340338399</v>
      </c>
      <c r="W85">
        <f t="shared" si="5"/>
        <v>320.62514439991475</v>
      </c>
      <c r="X85">
        <f t="shared" si="6"/>
        <v>1</v>
      </c>
      <c r="Y85">
        <f>IF(AND(C85&lt;U85, C85&gt;V85),1,0)</f>
        <v>1</v>
      </c>
      <c r="Z85">
        <f t="shared" si="7"/>
        <v>1</v>
      </c>
      <c r="AA85">
        <f>IF(AND(Y85=1,F85&gt;0), 1, 0)</f>
        <v>1</v>
      </c>
    </row>
    <row r="86" spans="1:27" x14ac:dyDescent="0.3">
      <c r="A86" s="1">
        <v>42943</v>
      </c>
      <c r="B86" s="1">
        <v>43034</v>
      </c>
      <c r="C86">
        <v>330.47545680999701</v>
      </c>
      <c r="D86">
        <v>323.750000095367</v>
      </c>
      <c r="E86">
        <v>319.85000000000002</v>
      </c>
      <c r="F86">
        <v>3.9000000953674299</v>
      </c>
      <c r="G86">
        <v>10.6254568099975</v>
      </c>
      <c r="H86">
        <v>3.9000000953674299</v>
      </c>
      <c r="I86">
        <v>320.72160277366601</v>
      </c>
      <c r="J86">
        <v>320.09889160692597</v>
      </c>
      <c r="K86">
        <v>325.67650566101003</v>
      </c>
      <c r="L86">
        <v>326.464317417144</v>
      </c>
      <c r="M86">
        <v>326.763974761962</v>
      </c>
      <c r="N86">
        <v>319.63310489654498</v>
      </c>
      <c r="O86">
        <v>321.01500985622403</v>
      </c>
      <c r="P86">
        <v>321.69999644756302</v>
      </c>
      <c r="Q86">
        <f t="shared" si="4"/>
        <v>323.20575693207076</v>
      </c>
      <c r="R86">
        <f>IF((Q86-E86)*(D86-E86)&gt;0, 1,0)</f>
        <v>1</v>
      </c>
      <c r="S86">
        <v>7.0238661660000004</v>
      </c>
      <c r="T86" s="1">
        <v>43034</v>
      </c>
      <c r="U86">
        <f>D86+1.65*S86</f>
        <v>335.339379269267</v>
      </c>
      <c r="V86">
        <f>D86-1.65*S86</f>
        <v>312.160620921467</v>
      </c>
      <c r="W86">
        <f t="shared" si="5"/>
        <v>323.20575693207076</v>
      </c>
      <c r="X86">
        <f t="shared" si="6"/>
        <v>1</v>
      </c>
      <c r="Y86">
        <f>IF(AND(C86&lt;U86, C86&gt;V86),1,0)</f>
        <v>1</v>
      </c>
      <c r="Z86">
        <f t="shared" si="7"/>
        <v>1</v>
      </c>
      <c r="AA86">
        <f>IF(AND(Y86=1,F86&gt;0), 1, 0)</f>
        <v>1</v>
      </c>
    </row>
    <row r="87" spans="1:27" x14ac:dyDescent="0.3">
      <c r="A87" s="1">
        <v>42944</v>
      </c>
      <c r="B87" s="1">
        <v>43035</v>
      </c>
      <c r="C87">
        <v>328.035333442688</v>
      </c>
      <c r="D87">
        <v>326.85000019073402</v>
      </c>
      <c r="E87">
        <v>312.55</v>
      </c>
      <c r="F87">
        <v>14.300000190734799</v>
      </c>
      <c r="G87">
        <v>15.485333442687899</v>
      </c>
      <c r="H87">
        <v>14.300000190734799</v>
      </c>
      <c r="I87">
        <v>315.804713535308</v>
      </c>
      <c r="J87">
        <v>315.29992728233299</v>
      </c>
      <c r="K87">
        <v>319.21045570373502</v>
      </c>
      <c r="L87">
        <v>318.99054031371998</v>
      </c>
      <c r="M87">
        <v>317.89739971160799</v>
      </c>
      <c r="N87">
        <v>313.96210913658098</v>
      </c>
      <c r="O87">
        <v>316.62879066467201</v>
      </c>
      <c r="P87">
        <v>315.935888338089</v>
      </c>
      <c r="Q87">
        <f t="shared" si="4"/>
        <v>317.10967364992359</v>
      </c>
      <c r="R87">
        <f>IF((Q87-E87)*(D87-E87)&gt;0, 1,0)</f>
        <v>1</v>
      </c>
      <c r="S87">
        <v>7.2219246679999998</v>
      </c>
      <c r="T87" s="1">
        <v>43035</v>
      </c>
      <c r="U87">
        <f>D87+1.65*S87</f>
        <v>338.76617589293403</v>
      </c>
      <c r="V87">
        <f>D87-1.65*S87</f>
        <v>314.93382448853401</v>
      </c>
      <c r="W87">
        <f t="shared" si="5"/>
        <v>317.10967364992359</v>
      </c>
      <c r="X87">
        <f t="shared" si="6"/>
        <v>1</v>
      </c>
      <c r="Y87">
        <f>IF(AND(C87&lt;U87, C87&gt;V87),1,0)</f>
        <v>1</v>
      </c>
      <c r="Z87">
        <f t="shared" si="7"/>
        <v>1</v>
      </c>
      <c r="AA87">
        <f>IF(AND(Y87=1,F87&gt;0), 1, 0)</f>
        <v>1</v>
      </c>
    </row>
    <row r="88" spans="1:27" x14ac:dyDescent="0.3">
      <c r="A88" s="1">
        <v>42947</v>
      </c>
      <c r="B88" s="1">
        <v>43038</v>
      </c>
      <c r="C88">
        <v>324.99300365447999</v>
      </c>
      <c r="D88">
        <v>327.44999961853</v>
      </c>
      <c r="E88">
        <v>313.55</v>
      </c>
      <c r="F88">
        <v>13.899999618530201</v>
      </c>
      <c r="G88">
        <v>11.443003654479901</v>
      </c>
      <c r="H88">
        <v>13.899999618530201</v>
      </c>
      <c r="I88">
        <v>312.84347121715501</v>
      </c>
      <c r="J88">
        <v>311.44218878746</v>
      </c>
      <c r="K88">
        <v>313.90026824474302</v>
      </c>
      <c r="L88">
        <v>314.37612699270198</v>
      </c>
      <c r="M88">
        <v>316.67401366233798</v>
      </c>
      <c r="N88">
        <v>313.92678682804097</v>
      </c>
      <c r="O88">
        <v>317.28038697242698</v>
      </c>
      <c r="P88">
        <v>313.94978551864602</v>
      </c>
      <c r="Q88">
        <f t="shared" si="4"/>
        <v>314.35232019935302</v>
      </c>
      <c r="R88">
        <f>IF((Q88-E88)*(D88-E88)&gt;0, 1,0)</f>
        <v>1</v>
      </c>
      <c r="S88">
        <v>7.4264424099999999</v>
      </c>
      <c r="T88" s="1">
        <v>43038</v>
      </c>
      <c r="U88">
        <f>D88+1.65*S88</f>
        <v>339.70362959503001</v>
      </c>
      <c r="V88">
        <f>D88-1.65*S88</f>
        <v>315.19636964202999</v>
      </c>
      <c r="W88">
        <f t="shared" si="5"/>
        <v>314.35232019935302</v>
      </c>
      <c r="X88">
        <f t="shared" si="6"/>
        <v>0</v>
      </c>
      <c r="Y88">
        <f>IF(AND(C88&lt;U88, C88&gt;V88),1,0)</f>
        <v>1</v>
      </c>
      <c r="Z88">
        <f t="shared" si="7"/>
        <v>0</v>
      </c>
      <c r="AA88">
        <f>IF(AND(Y88=1,F88&gt;0), 1, 0)</f>
        <v>1</v>
      </c>
    </row>
    <row r="89" spans="1:27" x14ac:dyDescent="0.3">
      <c r="A89" s="1">
        <v>42948</v>
      </c>
      <c r="B89" s="1">
        <v>43039</v>
      </c>
      <c r="C89">
        <v>323.87455968856801</v>
      </c>
      <c r="D89">
        <v>331.05</v>
      </c>
      <c r="E89">
        <v>316.55</v>
      </c>
      <c r="F89">
        <v>14.5</v>
      </c>
      <c r="G89">
        <v>7.3245596885681099</v>
      </c>
      <c r="H89">
        <v>14.5</v>
      </c>
      <c r="I89">
        <v>315.884567189216</v>
      </c>
      <c r="J89">
        <v>313.74687199592501</v>
      </c>
      <c r="K89">
        <v>317.29388581514303</v>
      </c>
      <c r="L89">
        <v>317.55538241863201</v>
      </c>
      <c r="M89">
        <v>318.12697463035499</v>
      </c>
      <c r="N89">
        <v>315.30500988960199</v>
      </c>
      <c r="O89">
        <v>317.10002337694101</v>
      </c>
      <c r="P89">
        <v>317.80954198837202</v>
      </c>
      <c r="Q89">
        <f t="shared" si="4"/>
        <v>316.78817820208349</v>
      </c>
      <c r="R89">
        <f>IF((Q89-E89)*(D89-E89)&gt;0, 1,0)</f>
        <v>1</v>
      </c>
      <c r="S89">
        <v>7.7248648700000002</v>
      </c>
      <c r="T89" s="1">
        <v>43039</v>
      </c>
      <c r="U89">
        <f>D89+1.65*S89</f>
        <v>343.7960270355</v>
      </c>
      <c r="V89">
        <f>D89-1.65*S89</f>
        <v>318.30397296450002</v>
      </c>
      <c r="W89">
        <f t="shared" si="5"/>
        <v>316.78817820208349</v>
      </c>
      <c r="X89">
        <f t="shared" si="6"/>
        <v>0</v>
      </c>
      <c r="Y89">
        <f>IF(AND(C89&lt;U89, C89&gt;V89),1,0)</f>
        <v>1</v>
      </c>
      <c r="Z89">
        <f t="shared" si="7"/>
        <v>0</v>
      </c>
      <c r="AA89">
        <f>IF(AND(Y89=1,F89&gt;0), 1, 0)</f>
        <v>1</v>
      </c>
    </row>
    <row r="90" spans="1:27" x14ac:dyDescent="0.3">
      <c r="A90" s="1">
        <v>42949</v>
      </c>
      <c r="B90" s="1">
        <v>43040</v>
      </c>
      <c r="C90">
        <v>322.16657915115297</v>
      </c>
      <c r="D90">
        <v>336.54999961853002</v>
      </c>
      <c r="E90">
        <v>317.14999999999998</v>
      </c>
      <c r="F90">
        <v>19.399999618530199</v>
      </c>
      <c r="G90">
        <v>5.01657915115356</v>
      </c>
      <c r="H90">
        <v>19.399999618530199</v>
      </c>
      <c r="I90">
        <v>315.187799954414</v>
      </c>
      <c r="J90">
        <v>316.07712831497099</v>
      </c>
      <c r="K90">
        <v>318.02319451570497</v>
      </c>
      <c r="L90">
        <v>318.18138291835697</v>
      </c>
      <c r="M90">
        <v>317.72995712757103</v>
      </c>
      <c r="N90">
        <v>313.12674658298403</v>
      </c>
      <c r="O90">
        <v>312.92866172790502</v>
      </c>
      <c r="P90">
        <v>318.24168410301201</v>
      </c>
      <c r="Q90">
        <f t="shared" si="4"/>
        <v>316.62425838027644</v>
      </c>
      <c r="R90">
        <f>IF((Q90-E90)*(D90-E90)&gt;0, 1,0)</f>
        <v>0</v>
      </c>
      <c r="S90">
        <v>8.2105999000000001</v>
      </c>
      <c r="T90" s="1">
        <v>43040</v>
      </c>
      <c r="U90">
        <f>D90+1.65*S90</f>
        <v>350.09748945353005</v>
      </c>
      <c r="V90">
        <f>D90-1.65*S90</f>
        <v>323.00250978353</v>
      </c>
      <c r="W90">
        <f t="shared" si="5"/>
        <v>316.62425838027644</v>
      </c>
      <c r="X90">
        <f t="shared" si="6"/>
        <v>0</v>
      </c>
      <c r="Y90">
        <f>IF(AND(C90&lt;U90, C90&gt;V90),1,0)</f>
        <v>0</v>
      </c>
      <c r="Z90">
        <f t="shared" si="7"/>
        <v>0</v>
      </c>
      <c r="AA90">
        <f>IF(AND(Y90=1,F90&gt;0), 1, 0)</f>
        <v>0</v>
      </c>
    </row>
    <row r="91" spans="1:27" x14ac:dyDescent="0.3">
      <c r="A91" s="1">
        <v>42950</v>
      </c>
      <c r="B91" s="1">
        <v>43041</v>
      </c>
      <c r="C91">
        <v>321.60063495635899</v>
      </c>
      <c r="D91">
        <v>335.04999961853002</v>
      </c>
      <c r="E91">
        <v>311.64999999999998</v>
      </c>
      <c r="F91">
        <v>23.399999618530199</v>
      </c>
      <c r="G91">
        <v>9.9506349563598597</v>
      </c>
      <c r="H91">
        <v>23.399999618530199</v>
      </c>
      <c r="I91">
        <v>315.74327697753898</v>
      </c>
      <c r="J91">
        <v>312.05420234203302</v>
      </c>
      <c r="K91">
        <v>314.589909219741</v>
      </c>
      <c r="L91">
        <v>317.48442401885899</v>
      </c>
      <c r="M91">
        <v>315.27565517425501</v>
      </c>
      <c r="N91">
        <v>314.166692587733</v>
      </c>
      <c r="O91">
        <v>313.08468749523098</v>
      </c>
      <c r="P91">
        <v>317.59404458999597</v>
      </c>
      <c r="Q91">
        <f t="shared" si="4"/>
        <v>315.11802854537916</v>
      </c>
      <c r="R91">
        <f>IF((Q91-E91)*(D91-E91)&gt;0, 1,0)</f>
        <v>1</v>
      </c>
      <c r="S91">
        <v>8.5994302559999998</v>
      </c>
      <c r="T91" s="1">
        <v>43041</v>
      </c>
      <c r="U91">
        <f>D91+1.65*S91</f>
        <v>349.23905954093004</v>
      </c>
      <c r="V91">
        <f>D91-1.65*S91</f>
        <v>320.86093969613</v>
      </c>
      <c r="W91">
        <f t="shared" si="5"/>
        <v>315.11802854537916</v>
      </c>
      <c r="X91">
        <f t="shared" si="6"/>
        <v>0</v>
      </c>
      <c r="Y91">
        <f>IF(AND(C91&lt;U91, C91&gt;V91),1,0)</f>
        <v>1</v>
      </c>
      <c r="Z91">
        <f t="shared" si="7"/>
        <v>0</v>
      </c>
      <c r="AA91">
        <f>IF(AND(Y91=1,F91&gt;0), 1, 0)</f>
        <v>1</v>
      </c>
    </row>
    <row r="92" spans="1:27" x14ac:dyDescent="0.3">
      <c r="A92" s="1">
        <v>42951</v>
      </c>
      <c r="B92" s="1">
        <v>43042</v>
      </c>
      <c r="C92">
        <v>319.33500013351397</v>
      </c>
      <c r="D92">
        <v>336.35</v>
      </c>
      <c r="E92">
        <v>312.85000000000002</v>
      </c>
      <c r="F92">
        <v>23.5</v>
      </c>
      <c r="G92">
        <v>6.4850001335143999</v>
      </c>
      <c r="H92">
        <v>23.5</v>
      </c>
      <c r="I92">
        <v>313.57667789459202</v>
      </c>
      <c r="J92">
        <v>312.71212787032101</v>
      </c>
      <c r="K92">
        <v>314.57579073905902</v>
      </c>
      <c r="L92">
        <v>316.426470375061</v>
      </c>
      <c r="M92">
        <v>312.27359507083798</v>
      </c>
      <c r="N92">
        <v>316.185228514671</v>
      </c>
      <c r="O92">
        <v>310.07512269019998</v>
      </c>
      <c r="P92">
        <v>316.05870995521502</v>
      </c>
      <c r="Q92">
        <f t="shared" si="4"/>
        <v>313.67121351361226</v>
      </c>
      <c r="R92">
        <f>IF((Q92-E92)*(D92-E92)&gt;0, 1,0)</f>
        <v>1</v>
      </c>
      <c r="S92">
        <v>9.0092958799999998</v>
      </c>
      <c r="T92" s="1">
        <v>43042</v>
      </c>
      <c r="U92">
        <f>D92+1.65*S92</f>
        <v>351.215338202</v>
      </c>
      <c r="V92">
        <f>D92-1.65*S92</f>
        <v>321.48466179800005</v>
      </c>
      <c r="W92">
        <f t="shared" si="5"/>
        <v>313.67121351361226</v>
      </c>
      <c r="X92">
        <f t="shared" si="6"/>
        <v>0</v>
      </c>
      <c r="Y92">
        <f>IF(AND(C92&lt;U92, C92&gt;V92),1,0)</f>
        <v>0</v>
      </c>
      <c r="Z92">
        <f t="shared" si="7"/>
        <v>0</v>
      </c>
      <c r="AA92">
        <f>IF(AND(Y92=1,F92&gt;0), 1, 0)</f>
        <v>0</v>
      </c>
    </row>
    <row r="93" spans="1:27" x14ac:dyDescent="0.3">
      <c r="A93" s="1">
        <v>42954</v>
      </c>
      <c r="B93" s="1">
        <v>43045</v>
      </c>
      <c r="C93">
        <v>318.73884239196701</v>
      </c>
      <c r="D93">
        <v>334.15</v>
      </c>
      <c r="E93">
        <v>312.89999999999998</v>
      </c>
      <c r="F93">
        <v>21.25</v>
      </c>
      <c r="G93">
        <v>5.8388423919677699</v>
      </c>
      <c r="H93">
        <v>21.25</v>
      </c>
      <c r="I93">
        <v>313.76905986070602</v>
      </c>
      <c r="J93">
        <v>312.88107766546301</v>
      </c>
      <c r="K93">
        <v>314.38657763004301</v>
      </c>
      <c r="L93">
        <v>315.20841302871702</v>
      </c>
      <c r="M93">
        <v>312.86300954371598</v>
      </c>
      <c r="N93">
        <v>314.57011704444801</v>
      </c>
      <c r="O93">
        <v>311.71527507305098</v>
      </c>
      <c r="P93">
        <v>314.06033196449198</v>
      </c>
      <c r="Q93">
        <f t="shared" si="4"/>
        <v>313.55482068088401</v>
      </c>
      <c r="R93">
        <f>IF((Q93-E93)*(D93-E93)&gt;0, 1,0)</f>
        <v>1</v>
      </c>
      <c r="S93">
        <v>9.3140300759999999</v>
      </c>
      <c r="T93" s="1">
        <v>43045</v>
      </c>
      <c r="U93">
        <f>D93+1.65*S93</f>
        <v>349.51814962539999</v>
      </c>
      <c r="V93">
        <f>D93-1.65*S93</f>
        <v>318.78185037459997</v>
      </c>
      <c r="W93">
        <f t="shared" si="5"/>
        <v>313.55482068088401</v>
      </c>
      <c r="X93">
        <f t="shared" si="6"/>
        <v>0</v>
      </c>
      <c r="Y93">
        <f>IF(AND(C93&lt;U93, C93&gt;V93),1,0)</f>
        <v>0</v>
      </c>
      <c r="Z93">
        <f t="shared" si="7"/>
        <v>0</v>
      </c>
      <c r="AA93">
        <f>IF(AND(Y93=1,F93&gt;0), 1, 0)</f>
        <v>0</v>
      </c>
    </row>
    <row r="94" spans="1:27" x14ac:dyDescent="0.3">
      <c r="A94" s="1">
        <v>42955</v>
      </c>
      <c r="B94" s="1">
        <v>43046</v>
      </c>
      <c r="C94">
        <v>318.39710912704402</v>
      </c>
      <c r="D94">
        <v>333.74999961853001</v>
      </c>
      <c r="E94">
        <v>312.85000000000002</v>
      </c>
      <c r="F94">
        <v>20.899999618530199</v>
      </c>
      <c r="G94">
        <v>5.5471091270446697</v>
      </c>
      <c r="H94">
        <v>20.899999618530199</v>
      </c>
      <c r="I94">
        <v>314.86467561721798</v>
      </c>
      <c r="J94">
        <v>314.850482082366</v>
      </c>
      <c r="K94">
        <v>316.46364483833298</v>
      </c>
      <c r="L94">
        <v>316.12484607696501</v>
      </c>
      <c r="M94">
        <v>314.38931844234401</v>
      </c>
      <c r="N94">
        <v>318.60426356792402</v>
      </c>
      <c r="O94">
        <v>314.55474851131402</v>
      </c>
      <c r="P94">
        <v>316.25332770347597</v>
      </c>
      <c r="Q94">
        <f t="shared" si="4"/>
        <v>315.35729189600227</v>
      </c>
      <c r="R94">
        <f>IF((Q94-E94)*(D94-E94)&gt;0, 1,0)</f>
        <v>1</v>
      </c>
      <c r="S94">
        <v>9.5856255059999995</v>
      </c>
      <c r="T94" s="1">
        <v>43046</v>
      </c>
      <c r="U94">
        <f>D94+1.65*S94</f>
        <v>349.56628170343004</v>
      </c>
      <c r="V94">
        <f>D94-1.65*S94</f>
        <v>317.93371753362999</v>
      </c>
      <c r="W94">
        <f t="shared" si="5"/>
        <v>315.35729189600227</v>
      </c>
      <c r="X94">
        <f t="shared" si="6"/>
        <v>0</v>
      </c>
      <c r="Y94">
        <f>IF(AND(C94&lt;U94, C94&gt;V94),1,0)</f>
        <v>1</v>
      </c>
      <c r="Z94">
        <f t="shared" si="7"/>
        <v>0</v>
      </c>
      <c r="AA94">
        <f>IF(AND(Y94=1,F94&gt;0), 1, 0)</f>
        <v>1</v>
      </c>
    </row>
    <row r="95" spans="1:27" x14ac:dyDescent="0.3">
      <c r="A95" s="1">
        <v>42956</v>
      </c>
      <c r="B95" s="1">
        <v>43047</v>
      </c>
      <c r="C95">
        <v>316.963487052917</v>
      </c>
      <c r="D95">
        <v>335.25000038146902</v>
      </c>
      <c r="E95">
        <v>308.64999999999998</v>
      </c>
      <c r="F95">
        <v>26.600000381469702</v>
      </c>
      <c r="G95">
        <v>8.3134870529174805</v>
      </c>
      <c r="H95">
        <v>26.600000381469702</v>
      </c>
      <c r="I95">
        <v>311.21275129318201</v>
      </c>
      <c r="J95">
        <v>312.45138254165602</v>
      </c>
      <c r="K95">
        <v>316.73893489837599</v>
      </c>
      <c r="L95">
        <v>313.61704769134502</v>
      </c>
      <c r="M95">
        <v>313.34322729110698</v>
      </c>
      <c r="N95">
        <v>320.05893135070801</v>
      </c>
      <c r="O95">
        <v>312.76671829223602</v>
      </c>
      <c r="P95">
        <v>318.29655685424802</v>
      </c>
      <c r="Q95">
        <f t="shared" si="4"/>
        <v>314.0609455517357</v>
      </c>
      <c r="R95">
        <f>IF((Q95-E95)*(D95-E95)&gt;0, 1,0)</f>
        <v>1</v>
      </c>
      <c r="S95">
        <v>9.8484155310000006</v>
      </c>
      <c r="T95" s="1">
        <v>43047</v>
      </c>
      <c r="U95">
        <f>D95+1.65*S95</f>
        <v>351.49988600761901</v>
      </c>
      <c r="V95">
        <f>D95-1.65*S95</f>
        <v>319.00011475531903</v>
      </c>
      <c r="W95">
        <f t="shared" si="5"/>
        <v>314.0609455517357</v>
      </c>
      <c r="X95">
        <f t="shared" si="6"/>
        <v>0</v>
      </c>
      <c r="Y95">
        <f>IF(AND(C95&lt;U95, C95&gt;V95),1,0)</f>
        <v>0</v>
      </c>
      <c r="Z95">
        <f t="shared" si="7"/>
        <v>0</v>
      </c>
      <c r="AA95">
        <f>IF(AND(Y95=1,F95&gt;0), 1, 0)</f>
        <v>0</v>
      </c>
    </row>
    <row r="96" spans="1:27" x14ac:dyDescent="0.3">
      <c r="A96" s="1">
        <v>42957</v>
      </c>
      <c r="B96" s="1">
        <v>43048</v>
      </c>
      <c r="C96">
        <v>317.05883312225302</v>
      </c>
      <c r="D96">
        <v>333.64999961852999</v>
      </c>
      <c r="E96">
        <v>307.25</v>
      </c>
      <c r="F96">
        <v>26.399999618530199</v>
      </c>
      <c r="G96">
        <v>9.8088331222534109</v>
      </c>
      <c r="H96">
        <v>26.399999618530199</v>
      </c>
      <c r="I96">
        <v>309.14238941669402</v>
      </c>
      <c r="J96">
        <v>310.53665089607199</v>
      </c>
      <c r="K96">
        <v>317.81205081939697</v>
      </c>
      <c r="L96">
        <v>313.49093246459898</v>
      </c>
      <c r="M96">
        <v>312.47905921936001</v>
      </c>
      <c r="N96">
        <v>319.601779842376</v>
      </c>
      <c r="O96">
        <v>315.952081680297</v>
      </c>
      <c r="P96">
        <v>317.83168983459399</v>
      </c>
      <c r="Q96">
        <f t="shared" si="4"/>
        <v>313.89212204728756</v>
      </c>
      <c r="R96">
        <f>IF((Q96-E96)*(D96-E96)&gt;0, 1,0)</f>
        <v>1</v>
      </c>
      <c r="S96">
        <v>10.0242763</v>
      </c>
      <c r="T96" s="1">
        <v>43048</v>
      </c>
      <c r="U96">
        <f>D96+1.65*S96</f>
        <v>350.19005551353001</v>
      </c>
      <c r="V96">
        <f>D96-1.65*S96</f>
        <v>317.10994372352997</v>
      </c>
      <c r="W96">
        <f t="shared" si="5"/>
        <v>313.89212204728756</v>
      </c>
      <c r="X96">
        <f t="shared" si="6"/>
        <v>0</v>
      </c>
      <c r="Y96">
        <f>IF(AND(C96&lt;U96, C96&gt;V96),1,0)</f>
        <v>0</v>
      </c>
      <c r="Z96">
        <f t="shared" si="7"/>
        <v>0</v>
      </c>
      <c r="AA96">
        <f>IF(AND(Y96=1,F96&gt;0), 1, 0)</f>
        <v>0</v>
      </c>
    </row>
    <row r="97" spans="1:27" x14ac:dyDescent="0.3">
      <c r="A97" s="1">
        <v>42958</v>
      </c>
      <c r="B97" s="1">
        <v>43049</v>
      </c>
      <c r="C97">
        <v>315.68065452575598</v>
      </c>
      <c r="D97">
        <v>332.89999961852999</v>
      </c>
      <c r="E97">
        <v>301.5</v>
      </c>
      <c r="F97">
        <v>31.399999618530199</v>
      </c>
      <c r="G97">
        <v>14.1806545257568</v>
      </c>
      <c r="H97">
        <v>31.399999618530199</v>
      </c>
      <c r="I97">
        <v>305.47123098373402</v>
      </c>
      <c r="J97">
        <v>304.54080176353398</v>
      </c>
      <c r="K97">
        <v>311.556089401245</v>
      </c>
      <c r="L97">
        <v>309.20518159866299</v>
      </c>
      <c r="M97">
        <v>313.27202796936001</v>
      </c>
      <c r="N97">
        <v>324.07931976318298</v>
      </c>
      <c r="O97">
        <v>318.82069969177201</v>
      </c>
      <c r="P97">
        <v>315.01326847076399</v>
      </c>
      <c r="Q97">
        <f t="shared" si="4"/>
        <v>311.12561426843888</v>
      </c>
      <c r="R97">
        <f>IF((Q97-E97)*(D97-E97)&gt;0, 1,0)</f>
        <v>1</v>
      </c>
      <c r="S97">
        <v>10.05074624</v>
      </c>
      <c r="T97" s="1">
        <v>43049</v>
      </c>
      <c r="U97">
        <f>D97+1.65*S97</f>
        <v>349.48373091452999</v>
      </c>
      <c r="V97">
        <f>D97-1.65*S97</f>
        <v>316.31626832252999</v>
      </c>
      <c r="W97">
        <f t="shared" si="5"/>
        <v>311.12561426843888</v>
      </c>
      <c r="X97">
        <f t="shared" si="6"/>
        <v>0</v>
      </c>
      <c r="Y97">
        <f>IF(AND(C97&lt;U97, C97&gt;V97),1,0)</f>
        <v>0</v>
      </c>
      <c r="Z97">
        <f t="shared" si="7"/>
        <v>0</v>
      </c>
      <c r="AA97">
        <f>IF(AND(Y97=1,F97&gt;0), 1, 0)</f>
        <v>0</v>
      </c>
    </row>
    <row r="98" spans="1:27" x14ac:dyDescent="0.3">
      <c r="A98" s="1">
        <v>42961</v>
      </c>
      <c r="B98" s="1">
        <v>43052</v>
      </c>
      <c r="C98">
        <v>320.655727005004</v>
      </c>
      <c r="D98">
        <v>331.55000076293902</v>
      </c>
      <c r="E98">
        <v>304.60000000000002</v>
      </c>
      <c r="F98">
        <v>26.9500007629394</v>
      </c>
      <c r="G98">
        <v>16.055727005004801</v>
      </c>
      <c r="H98">
        <v>26.9500007629394</v>
      </c>
      <c r="I98">
        <v>306.75288686752299</v>
      </c>
      <c r="J98">
        <v>309.30028638839701</v>
      </c>
      <c r="K98">
        <v>315.963847732543</v>
      </c>
      <c r="L98">
        <v>308.54904804229699</v>
      </c>
      <c r="M98">
        <v>311.57139358520499</v>
      </c>
      <c r="N98">
        <v>321.13851690292302</v>
      </c>
      <c r="O98">
        <v>321.672845458984</v>
      </c>
      <c r="P98">
        <v>317.99034271240203</v>
      </c>
      <c r="Q98">
        <f t="shared" si="4"/>
        <v>313.11437868390732</v>
      </c>
      <c r="R98">
        <f>IF((Q98-E98)*(D98-E98)&gt;0, 1,0)</f>
        <v>1</v>
      </c>
      <c r="S98">
        <v>10.091207969999999</v>
      </c>
      <c r="T98" s="1">
        <v>43052</v>
      </c>
      <c r="U98">
        <f>D98+1.65*S98</f>
        <v>348.200493913439</v>
      </c>
      <c r="V98">
        <f>D98-1.65*S98</f>
        <v>314.89950761243904</v>
      </c>
      <c r="W98">
        <f t="shared" si="5"/>
        <v>313.11437868390732</v>
      </c>
      <c r="X98">
        <f t="shared" si="6"/>
        <v>0</v>
      </c>
      <c r="Y98">
        <f>IF(AND(C98&lt;U98, C98&gt;V98),1,0)</f>
        <v>1</v>
      </c>
      <c r="Z98">
        <f t="shared" si="7"/>
        <v>0</v>
      </c>
      <c r="AA98">
        <f>IF(AND(Y98=1,F98&gt;0), 1, 0)</f>
        <v>1</v>
      </c>
    </row>
    <row r="99" spans="1:27" x14ac:dyDescent="0.3">
      <c r="A99" s="1">
        <v>42962</v>
      </c>
      <c r="B99" s="1">
        <v>43053</v>
      </c>
      <c r="C99">
        <v>322.42109069824198</v>
      </c>
      <c r="D99">
        <v>331.30000076293902</v>
      </c>
      <c r="E99">
        <v>304.60000000000002</v>
      </c>
      <c r="F99">
        <v>26.7000007629394</v>
      </c>
      <c r="G99">
        <v>17.821090698242099</v>
      </c>
      <c r="H99">
        <v>26.7000007629394</v>
      </c>
      <c r="I99">
        <v>307.63943157196002</v>
      </c>
      <c r="J99">
        <v>310.06470022201501</v>
      </c>
      <c r="K99">
        <v>315.30806694030701</v>
      </c>
      <c r="L99">
        <v>309.35296974182103</v>
      </c>
      <c r="M99">
        <v>312.21730957031201</v>
      </c>
      <c r="N99">
        <v>326.82004837989803</v>
      </c>
      <c r="O99">
        <v>317.26780567169101</v>
      </c>
      <c r="P99">
        <v>318.675387001037</v>
      </c>
      <c r="Q99">
        <f t="shared" si="4"/>
        <v>312.93223867416327</v>
      </c>
      <c r="R99">
        <f>IF((Q99-E99)*(D99-E99)&gt;0, 1,0)</f>
        <v>1</v>
      </c>
      <c r="S99">
        <v>10.108969269999999</v>
      </c>
      <c r="T99" s="1">
        <v>43053</v>
      </c>
      <c r="U99">
        <f>D99+1.65*S99</f>
        <v>347.97980005843903</v>
      </c>
      <c r="V99">
        <f>D99-1.65*S99</f>
        <v>314.62020146743902</v>
      </c>
      <c r="W99">
        <f t="shared" si="5"/>
        <v>312.93223867416327</v>
      </c>
      <c r="X99">
        <f t="shared" si="6"/>
        <v>0</v>
      </c>
      <c r="Y99">
        <f>IF(AND(C99&lt;U99, C99&gt;V99),1,0)</f>
        <v>1</v>
      </c>
      <c r="Z99">
        <f t="shared" si="7"/>
        <v>0</v>
      </c>
      <c r="AA99">
        <f>IF(AND(Y99=1,F99&gt;0), 1, 0)</f>
        <v>1</v>
      </c>
    </row>
    <row r="100" spans="1:27" x14ac:dyDescent="0.3">
      <c r="A100" s="1">
        <v>42963</v>
      </c>
      <c r="B100" s="1">
        <v>43054</v>
      </c>
      <c r="C100">
        <v>322.132761955261</v>
      </c>
      <c r="D100">
        <v>329.14999961852999</v>
      </c>
      <c r="E100">
        <v>306.25</v>
      </c>
      <c r="F100">
        <v>22.899999618530199</v>
      </c>
      <c r="G100">
        <v>15.8827619552612</v>
      </c>
      <c r="H100">
        <v>22.899999618530199</v>
      </c>
      <c r="I100">
        <v>310.97911977767899</v>
      </c>
      <c r="J100">
        <v>310.43065118789599</v>
      </c>
      <c r="K100">
        <v>316.20427131652798</v>
      </c>
      <c r="L100">
        <v>310.40711307525601</v>
      </c>
      <c r="M100">
        <v>315.500409126281</v>
      </c>
      <c r="N100">
        <v>329.86481103897</v>
      </c>
      <c r="O100">
        <v>321.84942340850802</v>
      </c>
      <c r="P100">
        <v>323.130689620971</v>
      </c>
      <c r="Q100">
        <f t="shared" si="4"/>
        <v>315.50023964473127</v>
      </c>
      <c r="R100">
        <f>IF((Q100-E100)*(D100-E100)&gt;0, 1,0)</f>
        <v>1</v>
      </c>
      <c r="S100">
        <v>10.10183318</v>
      </c>
      <c r="T100" s="1">
        <v>43054</v>
      </c>
      <c r="U100">
        <f>D100+1.65*S100</f>
        <v>345.81802436552999</v>
      </c>
      <c r="V100">
        <f>D100-1.65*S100</f>
        <v>312.48197487152999</v>
      </c>
      <c r="W100">
        <f t="shared" si="5"/>
        <v>315.50023964473127</v>
      </c>
      <c r="X100">
        <f t="shared" si="6"/>
        <v>1</v>
      </c>
      <c r="Y100">
        <f>IF(AND(C100&lt;U100, C100&gt;V100),1,0)</f>
        <v>1</v>
      </c>
      <c r="Z100">
        <f t="shared" si="7"/>
        <v>1</v>
      </c>
      <c r="AA100">
        <f>IF(AND(Y100=1,F100&gt;0), 1, 0)</f>
        <v>1</v>
      </c>
    </row>
    <row r="101" spans="1:27" x14ac:dyDescent="0.3">
      <c r="A101" s="1">
        <v>42964</v>
      </c>
      <c r="B101" s="1">
        <v>43055</v>
      </c>
      <c r="C101">
        <v>327.02306404113699</v>
      </c>
      <c r="D101">
        <v>331.29999961853002</v>
      </c>
      <c r="E101">
        <v>307.89999999999998</v>
      </c>
      <c r="F101">
        <v>23.399999618530199</v>
      </c>
      <c r="G101">
        <v>19.123064041137599</v>
      </c>
      <c r="H101">
        <v>23.399999618530199</v>
      </c>
      <c r="I101">
        <v>311.45308485031097</v>
      </c>
      <c r="J101">
        <v>310.63493552207899</v>
      </c>
      <c r="K101">
        <v>317.10212936401302</v>
      </c>
      <c r="L101">
        <v>314.13518276214597</v>
      </c>
      <c r="M101">
        <v>318.796184921264</v>
      </c>
      <c r="N101">
        <v>329.40915832519499</v>
      </c>
      <c r="O101">
        <v>320.64067020416201</v>
      </c>
      <c r="P101">
        <v>321.883459472656</v>
      </c>
      <c r="Q101">
        <f t="shared" si="4"/>
        <v>316.37794958523301</v>
      </c>
      <c r="R101">
        <f>IF((Q101-E101)*(D101-E101)&gt;0, 1,0)</f>
        <v>1</v>
      </c>
      <c r="S101">
        <v>10.1503003</v>
      </c>
      <c r="T101" s="1">
        <v>43055</v>
      </c>
      <c r="U101">
        <f>D101+1.65*S101</f>
        <v>348.04799511353002</v>
      </c>
      <c r="V101">
        <f>D101-1.65*S101</f>
        <v>314.55200412353003</v>
      </c>
      <c r="W101">
        <f t="shared" si="5"/>
        <v>316.37794958523301</v>
      </c>
      <c r="X101">
        <f t="shared" si="6"/>
        <v>1</v>
      </c>
      <c r="Y101">
        <f>IF(AND(C101&lt;U101, C101&gt;V101),1,0)</f>
        <v>1</v>
      </c>
      <c r="Z101">
        <f t="shared" si="7"/>
        <v>1</v>
      </c>
      <c r="AA101">
        <f>IF(AND(Y101=1,F101&gt;0), 1, 0)</f>
        <v>1</v>
      </c>
    </row>
    <row r="102" spans="1:27" x14ac:dyDescent="0.3">
      <c r="A102" s="1">
        <v>42965</v>
      </c>
      <c r="B102" s="1">
        <v>43056</v>
      </c>
      <c r="C102">
        <v>325.67613029479901</v>
      </c>
      <c r="D102">
        <v>330.950000762939</v>
      </c>
      <c r="E102">
        <v>307.75</v>
      </c>
      <c r="F102">
        <v>23.2000007629394</v>
      </c>
      <c r="G102">
        <v>17.926130294799801</v>
      </c>
      <c r="H102">
        <v>23.2000007629394</v>
      </c>
      <c r="I102">
        <v>310.87405252456603</v>
      </c>
      <c r="J102">
        <v>311.18472266197199</v>
      </c>
      <c r="K102">
        <v>315.29203271865799</v>
      </c>
      <c r="L102">
        <v>311.94345188140801</v>
      </c>
      <c r="M102">
        <v>317.57485294342001</v>
      </c>
      <c r="N102">
        <v>331.08974695205598</v>
      </c>
      <c r="O102">
        <v>316.687830924987</v>
      </c>
      <c r="P102">
        <v>319.37958145141602</v>
      </c>
      <c r="Q102">
        <f t="shared" si="4"/>
        <v>314.70521787234668</v>
      </c>
      <c r="R102">
        <f>IF((Q102-E102)*(D102-E102)&gt;0, 1,0)</f>
        <v>1</v>
      </c>
      <c r="S102">
        <v>10.17647457</v>
      </c>
      <c r="T102" s="1">
        <v>43056</v>
      </c>
      <c r="U102">
        <f>D102+1.65*S102</f>
        <v>347.74118380343901</v>
      </c>
      <c r="V102">
        <f>D102-1.65*S102</f>
        <v>314.15881772243898</v>
      </c>
      <c r="W102">
        <f t="shared" si="5"/>
        <v>314.70521787234668</v>
      </c>
      <c r="X102">
        <f t="shared" si="6"/>
        <v>1</v>
      </c>
      <c r="Y102">
        <f>IF(AND(C102&lt;U102, C102&gt;V102),1,0)</f>
        <v>1</v>
      </c>
      <c r="Z102">
        <f t="shared" si="7"/>
        <v>1</v>
      </c>
      <c r="AA102">
        <f>IF(AND(Y102=1,F102&gt;0), 1, 0)</f>
        <v>1</v>
      </c>
    </row>
    <row r="103" spans="1:27" x14ac:dyDescent="0.3">
      <c r="A103" s="1">
        <v>42968</v>
      </c>
      <c r="B103" s="1">
        <v>43059</v>
      </c>
      <c r="C103">
        <v>330.754570770263</v>
      </c>
      <c r="D103">
        <v>329.44999961853</v>
      </c>
      <c r="E103">
        <v>307.05</v>
      </c>
      <c r="F103">
        <v>22.399999618530199</v>
      </c>
      <c r="G103">
        <v>23.704570770263601</v>
      </c>
      <c r="H103">
        <v>22.399999618530199</v>
      </c>
      <c r="I103">
        <v>309.50495271682701</v>
      </c>
      <c r="J103">
        <v>309.97026209831199</v>
      </c>
      <c r="K103">
        <v>318.034807014465</v>
      </c>
      <c r="L103">
        <v>312.89248638152998</v>
      </c>
      <c r="M103">
        <v>315.65208606719898</v>
      </c>
      <c r="N103">
        <v>325.31955521106698</v>
      </c>
      <c r="O103">
        <v>316.32641677856401</v>
      </c>
      <c r="P103">
        <v>322.524666595459</v>
      </c>
      <c r="Q103">
        <f t="shared" si="4"/>
        <v>314.98652537890803</v>
      </c>
      <c r="R103">
        <f>IF((Q103-E103)*(D103-E103)&gt;0, 1,0)</f>
        <v>1</v>
      </c>
      <c r="S103">
        <v>10.15178745</v>
      </c>
      <c r="T103" s="1">
        <v>43059</v>
      </c>
      <c r="U103">
        <f>D103+1.65*S103</f>
        <v>346.20044891102998</v>
      </c>
      <c r="V103">
        <f>D103-1.65*S103</f>
        <v>312.69955032603002</v>
      </c>
      <c r="W103">
        <f t="shared" si="5"/>
        <v>314.98652537890803</v>
      </c>
      <c r="X103">
        <f t="shared" si="6"/>
        <v>1</v>
      </c>
      <c r="Y103">
        <f>IF(AND(C103&lt;U103, C103&gt;V103),1,0)</f>
        <v>1</v>
      </c>
      <c r="Z103">
        <f t="shared" si="7"/>
        <v>1</v>
      </c>
      <c r="AA103">
        <f>IF(AND(Y103=1,F103&gt;0), 1, 0)</f>
        <v>1</v>
      </c>
    </row>
    <row r="104" spans="1:27" x14ac:dyDescent="0.3">
      <c r="A104" s="1">
        <v>42969</v>
      </c>
      <c r="B104" s="1">
        <v>43060</v>
      </c>
      <c r="C104">
        <v>328.68062515258703</v>
      </c>
      <c r="D104">
        <v>330.84999961852998</v>
      </c>
      <c r="E104">
        <v>308.7</v>
      </c>
      <c r="F104">
        <v>22.149999618530199</v>
      </c>
      <c r="G104">
        <v>19.980625152587798</v>
      </c>
      <c r="H104">
        <v>22.149999618530199</v>
      </c>
      <c r="I104">
        <v>311.53242988586402</v>
      </c>
      <c r="J104">
        <v>311.94586629867501</v>
      </c>
      <c r="K104">
        <v>321.30996246337799</v>
      </c>
      <c r="L104">
        <v>316.75320358276298</v>
      </c>
      <c r="M104">
        <v>318.959243965148</v>
      </c>
      <c r="N104">
        <v>327.43178157806398</v>
      </c>
      <c r="O104">
        <v>314.21911783218297</v>
      </c>
      <c r="P104">
        <v>322.77853507995599</v>
      </c>
      <c r="Q104">
        <f t="shared" si="4"/>
        <v>316.78547987256673</v>
      </c>
      <c r="R104">
        <f>IF((Q104-E104)*(D104-E104)&gt;0, 1,0)</f>
        <v>1</v>
      </c>
      <c r="S104">
        <v>10.16764092</v>
      </c>
      <c r="T104" s="1">
        <v>43060</v>
      </c>
      <c r="U104">
        <f>D104+1.65*S104</f>
        <v>347.62660713652997</v>
      </c>
      <c r="V104">
        <f>D104-1.65*S104</f>
        <v>314.07339210052999</v>
      </c>
      <c r="W104">
        <f t="shared" si="5"/>
        <v>316.78547987256673</v>
      </c>
      <c r="X104">
        <f t="shared" si="6"/>
        <v>1</v>
      </c>
      <c r="Y104">
        <f>IF(AND(C104&lt;U104, C104&gt;V104),1,0)</f>
        <v>1</v>
      </c>
      <c r="Z104">
        <f t="shared" si="7"/>
        <v>1</v>
      </c>
      <c r="AA104">
        <f>IF(AND(Y104=1,F104&gt;0), 1, 0)</f>
        <v>1</v>
      </c>
    </row>
    <row r="105" spans="1:27" x14ac:dyDescent="0.3">
      <c r="A105" s="1">
        <v>42970</v>
      </c>
      <c r="B105" s="1">
        <v>43061</v>
      </c>
      <c r="C105">
        <v>331.72743186950601</v>
      </c>
      <c r="D105">
        <v>332.55000076293902</v>
      </c>
      <c r="E105">
        <v>308.60000000000002</v>
      </c>
      <c r="F105">
        <v>23.9500007629394</v>
      </c>
      <c r="G105">
        <v>23.1274318695068</v>
      </c>
      <c r="H105">
        <v>23.9500007629394</v>
      </c>
      <c r="I105">
        <v>313.57342157363797</v>
      </c>
      <c r="J105">
        <v>313.16033182144099</v>
      </c>
      <c r="K105">
        <v>319.11231002807602</v>
      </c>
      <c r="L105">
        <v>318.70338592529299</v>
      </c>
      <c r="M105">
        <v>319.25366649627603</v>
      </c>
      <c r="N105">
        <v>324.27700328826899</v>
      </c>
      <c r="O105">
        <v>314.10617599487301</v>
      </c>
      <c r="P105">
        <v>322.31852016448897</v>
      </c>
      <c r="Q105">
        <f t="shared" si="4"/>
        <v>317.17540171486945</v>
      </c>
      <c r="R105">
        <f>IF((Q105-E105)*(D105-E105)&gt;0, 1,0)</f>
        <v>1</v>
      </c>
      <c r="S105">
        <v>10.20110659</v>
      </c>
      <c r="T105" s="1">
        <v>43061</v>
      </c>
      <c r="U105">
        <f>D105+1.65*S105</f>
        <v>349.38182663643903</v>
      </c>
      <c r="V105">
        <f>D105-1.65*S105</f>
        <v>315.71817488943901</v>
      </c>
      <c r="W105">
        <f t="shared" si="5"/>
        <v>317.17540171486945</v>
      </c>
      <c r="X105">
        <f t="shared" si="6"/>
        <v>1</v>
      </c>
      <c r="Y105">
        <f>IF(AND(C105&lt;U105, C105&gt;V105),1,0)</f>
        <v>1</v>
      </c>
      <c r="Z105">
        <f t="shared" si="7"/>
        <v>1</v>
      </c>
      <c r="AA105">
        <f>IF(AND(Y105=1,F105&gt;0), 1, 0)</f>
        <v>1</v>
      </c>
    </row>
    <row r="106" spans="1:27" x14ac:dyDescent="0.3">
      <c r="A106" s="1">
        <v>42971</v>
      </c>
      <c r="B106" s="1">
        <v>43062</v>
      </c>
      <c r="C106">
        <v>333.88582572937003</v>
      </c>
      <c r="D106">
        <v>331.45000038146901</v>
      </c>
      <c r="E106">
        <v>310.10000000000002</v>
      </c>
      <c r="F106">
        <v>21.350000381469702</v>
      </c>
      <c r="G106">
        <v>23.785825729370099</v>
      </c>
      <c r="H106">
        <v>21.350000381469702</v>
      </c>
      <c r="I106">
        <v>311.473557448387</v>
      </c>
      <c r="J106">
        <v>314.68072042465201</v>
      </c>
      <c r="K106">
        <v>320.78476676940898</v>
      </c>
      <c r="L106">
        <v>320.32202301025302</v>
      </c>
      <c r="M106">
        <v>320.83376941680899</v>
      </c>
      <c r="N106">
        <v>325.23247516155197</v>
      </c>
      <c r="O106">
        <v>315.92183122634799</v>
      </c>
      <c r="P106">
        <v>318.08728561401301</v>
      </c>
      <c r="Q106">
        <f t="shared" si="4"/>
        <v>317.44342198712445</v>
      </c>
      <c r="R106">
        <f>IF((Q106-E106)*(D106-E106)&gt;0, 1,0)</f>
        <v>1</v>
      </c>
      <c r="S106">
        <v>10.226004980000001</v>
      </c>
      <c r="T106" s="1">
        <v>43062</v>
      </c>
      <c r="U106">
        <f>D106+1.65*S106</f>
        <v>348.32290859846898</v>
      </c>
      <c r="V106">
        <f>D106-1.65*S106</f>
        <v>314.57709216446904</v>
      </c>
      <c r="W106">
        <f t="shared" si="5"/>
        <v>317.44342198712445</v>
      </c>
      <c r="X106">
        <f t="shared" si="6"/>
        <v>1</v>
      </c>
      <c r="Y106">
        <f>IF(AND(C106&lt;U106, C106&gt;V106),1,0)</f>
        <v>1</v>
      </c>
      <c r="Z106">
        <f t="shared" si="7"/>
        <v>1</v>
      </c>
      <c r="AA106">
        <f>IF(AND(Y106=1,F106&gt;0), 1, 0)</f>
        <v>1</v>
      </c>
    </row>
    <row r="107" spans="1:27" x14ac:dyDescent="0.3">
      <c r="A107" s="1">
        <v>42972</v>
      </c>
      <c r="B107" s="1">
        <v>43063</v>
      </c>
      <c r="C107">
        <v>327.19859886169399</v>
      </c>
      <c r="D107">
        <v>332.25</v>
      </c>
      <c r="E107">
        <v>310.25</v>
      </c>
      <c r="F107">
        <v>22</v>
      </c>
      <c r="G107">
        <v>16.9485988616943</v>
      </c>
      <c r="H107">
        <v>22</v>
      </c>
      <c r="I107">
        <v>311.547571063041</v>
      </c>
      <c r="J107">
        <v>312.72261404991099</v>
      </c>
      <c r="K107">
        <v>320.33316707610999</v>
      </c>
      <c r="L107">
        <v>317.32369947433398</v>
      </c>
      <c r="M107">
        <v>317.95787048339798</v>
      </c>
      <c r="N107">
        <v>329.14473614692599</v>
      </c>
      <c r="O107">
        <v>314.42940807342501</v>
      </c>
      <c r="P107">
        <v>316.61053848266602</v>
      </c>
      <c r="Q107">
        <f t="shared" si="4"/>
        <v>315.84640981469784</v>
      </c>
      <c r="R107">
        <f>IF((Q107-E107)*(D107-E107)&gt;0, 1,0)</f>
        <v>1</v>
      </c>
      <c r="S107">
        <v>10.256343019999999</v>
      </c>
      <c r="T107" s="1">
        <v>43063</v>
      </c>
      <c r="U107">
        <f>D107+1.65*S107</f>
        <v>349.17296598299998</v>
      </c>
      <c r="V107">
        <f>D107-1.65*S107</f>
        <v>315.32703401700002</v>
      </c>
      <c r="W107">
        <f t="shared" si="5"/>
        <v>315.84640981469784</v>
      </c>
      <c r="X107">
        <f t="shared" si="6"/>
        <v>1</v>
      </c>
      <c r="Y107">
        <f>IF(AND(C107&lt;U107, C107&gt;V107),1,0)</f>
        <v>1</v>
      </c>
      <c r="Z107">
        <f t="shared" si="7"/>
        <v>1</v>
      </c>
      <c r="AA107">
        <f>IF(AND(Y107=1,F107&gt;0), 1, 0)</f>
        <v>1</v>
      </c>
    </row>
    <row r="108" spans="1:27" x14ac:dyDescent="0.3">
      <c r="A108" s="1">
        <v>42975</v>
      </c>
      <c r="B108" s="1">
        <v>43066</v>
      </c>
      <c r="C108">
        <v>326.34667320251401</v>
      </c>
      <c r="D108">
        <v>325.90000076293899</v>
      </c>
      <c r="E108">
        <v>308.2</v>
      </c>
      <c r="F108">
        <v>17.7000007629394</v>
      </c>
      <c r="G108">
        <v>18.146673202514599</v>
      </c>
      <c r="H108">
        <v>17.7000007629394</v>
      </c>
      <c r="I108">
        <v>308.64732785224902</v>
      </c>
      <c r="J108">
        <v>311.10882539749099</v>
      </c>
      <c r="K108">
        <v>316.91468544006301</v>
      </c>
      <c r="L108">
        <v>312.93693609237602</v>
      </c>
      <c r="M108">
        <v>315.33901996612502</v>
      </c>
      <c r="N108">
        <v>324.87329263687099</v>
      </c>
      <c r="O108">
        <v>314.54074497222899</v>
      </c>
      <c r="P108">
        <v>311.09965438842698</v>
      </c>
      <c r="Q108">
        <f t="shared" si="4"/>
        <v>312.9410277298515</v>
      </c>
      <c r="R108">
        <f>IF((Q108-E108)*(D108-E108)&gt;0, 1,0)</f>
        <v>1</v>
      </c>
      <c r="S108">
        <v>10.15876327</v>
      </c>
      <c r="T108" s="1">
        <v>43066</v>
      </c>
      <c r="U108">
        <f>D108+1.65*S108</f>
        <v>342.661960158439</v>
      </c>
      <c r="V108">
        <f>D108-1.65*S108</f>
        <v>309.13804136743897</v>
      </c>
      <c r="W108">
        <f t="shared" si="5"/>
        <v>312.9410277298515</v>
      </c>
      <c r="X108">
        <f t="shared" si="6"/>
        <v>1</v>
      </c>
      <c r="Y108">
        <f>IF(AND(C108&lt;U108, C108&gt;V108),1,0)</f>
        <v>1</v>
      </c>
      <c r="Z108">
        <f t="shared" si="7"/>
        <v>1</v>
      </c>
      <c r="AA108">
        <f>IF(AND(Y108=1,F108&gt;0), 1, 0)</f>
        <v>1</v>
      </c>
    </row>
    <row r="109" spans="1:27" x14ac:dyDescent="0.3">
      <c r="A109" s="1">
        <v>42976</v>
      </c>
      <c r="B109" s="1">
        <v>43067</v>
      </c>
      <c r="C109">
        <v>323.611793899536</v>
      </c>
      <c r="D109">
        <v>327.69999923706001</v>
      </c>
      <c r="E109">
        <v>307.14999999999998</v>
      </c>
      <c r="F109">
        <v>20.549999237060501</v>
      </c>
      <c r="G109">
        <v>16.461793899536101</v>
      </c>
      <c r="H109">
        <v>20.549999237060501</v>
      </c>
      <c r="I109">
        <v>304.77199449539103</v>
      </c>
      <c r="J109">
        <v>304.52898349761898</v>
      </c>
      <c r="K109">
        <v>310.59715714454597</v>
      </c>
      <c r="L109">
        <v>315.57103004455502</v>
      </c>
      <c r="M109">
        <v>313.43847599029499</v>
      </c>
      <c r="N109">
        <v>328.76579742431602</v>
      </c>
      <c r="O109">
        <v>317.67396488189598</v>
      </c>
      <c r="P109">
        <v>308.72208466529798</v>
      </c>
      <c r="Q109">
        <f t="shared" si="4"/>
        <v>310.75767010280003</v>
      </c>
      <c r="R109">
        <f>IF((Q109-E109)*(D109-E109)&gt;0, 1,0)</f>
        <v>1</v>
      </c>
      <c r="S109">
        <v>10.04686405</v>
      </c>
      <c r="T109" s="1">
        <v>43067</v>
      </c>
      <c r="U109">
        <f>D109+1.65*S109</f>
        <v>344.27732491955999</v>
      </c>
      <c r="V109">
        <f>D109-1.65*S109</f>
        <v>311.12267355456004</v>
      </c>
      <c r="W109">
        <f t="shared" si="5"/>
        <v>310.75767010280003</v>
      </c>
      <c r="X109">
        <f t="shared" si="6"/>
        <v>0</v>
      </c>
      <c r="Y109">
        <f>IF(AND(C109&lt;U109, C109&gt;V109),1,0)</f>
        <v>1</v>
      </c>
      <c r="Z109">
        <f t="shared" si="7"/>
        <v>0</v>
      </c>
      <c r="AA109">
        <f>IF(AND(Y109=1,F109&gt;0), 1, 0)</f>
        <v>1</v>
      </c>
    </row>
    <row r="110" spans="1:27" x14ac:dyDescent="0.3">
      <c r="A110" s="1">
        <v>42977</v>
      </c>
      <c r="B110" s="1">
        <v>43068</v>
      </c>
      <c r="C110">
        <v>323.74515056610102</v>
      </c>
      <c r="D110">
        <v>327.700000762939</v>
      </c>
      <c r="E110">
        <v>309</v>
      </c>
      <c r="F110">
        <v>18.7000007629394</v>
      </c>
      <c r="G110">
        <v>14.745150566101</v>
      </c>
      <c r="H110">
        <v>18.7000007629394</v>
      </c>
      <c r="I110">
        <v>304.47836446762</v>
      </c>
      <c r="J110">
        <v>307.72744870185801</v>
      </c>
      <c r="K110">
        <v>317.22481632232598</v>
      </c>
      <c r="L110">
        <v>314.98494243621798</v>
      </c>
      <c r="M110">
        <v>313.77307510375903</v>
      </c>
      <c r="N110">
        <v>335.13129680156698</v>
      </c>
      <c r="O110">
        <v>315.99307918548499</v>
      </c>
      <c r="P110">
        <v>313.51777219772299</v>
      </c>
      <c r="Q110">
        <f t="shared" si="4"/>
        <v>312.52849977356988</v>
      </c>
      <c r="R110">
        <f>IF((Q110-E110)*(D110-E110)&gt;0, 1,0)</f>
        <v>1</v>
      </c>
      <c r="S110">
        <v>9.962235604</v>
      </c>
      <c r="T110" s="1">
        <v>43068</v>
      </c>
      <c r="U110">
        <f>D110+1.65*S110</f>
        <v>344.13768950953897</v>
      </c>
      <c r="V110">
        <f>D110-1.65*S110</f>
        <v>311.26231201633902</v>
      </c>
      <c r="W110">
        <f t="shared" si="5"/>
        <v>312.52849977356988</v>
      </c>
      <c r="X110">
        <f t="shared" si="6"/>
        <v>1</v>
      </c>
      <c r="Y110">
        <f>IF(AND(C110&lt;U110, C110&gt;V110),1,0)</f>
        <v>1</v>
      </c>
      <c r="Z110">
        <f t="shared" si="7"/>
        <v>1</v>
      </c>
      <c r="AA110">
        <f>IF(AND(Y110=1,F110&gt;0), 1, 0)</f>
        <v>1</v>
      </c>
    </row>
    <row r="111" spans="1:27" x14ac:dyDescent="0.3">
      <c r="A111" s="1">
        <v>42978</v>
      </c>
      <c r="B111" s="1">
        <v>43069</v>
      </c>
      <c r="C111">
        <v>332.21617164611803</v>
      </c>
      <c r="D111">
        <v>322.25000038146902</v>
      </c>
      <c r="E111">
        <v>306.64999999999998</v>
      </c>
      <c r="F111">
        <v>15.6000003814697</v>
      </c>
      <c r="G111">
        <v>25.5661716461181</v>
      </c>
      <c r="H111">
        <v>15.6000003814697</v>
      </c>
      <c r="I111">
        <v>306.96775644421501</v>
      </c>
      <c r="J111">
        <v>308.74518122672998</v>
      </c>
      <c r="K111">
        <v>311.00807561874302</v>
      </c>
      <c r="L111">
        <v>311.34927501678402</v>
      </c>
      <c r="M111">
        <v>310.62268557548498</v>
      </c>
      <c r="N111">
        <v>334.03096740245797</v>
      </c>
      <c r="O111">
        <v>315.30801143646198</v>
      </c>
      <c r="P111">
        <v>311.440479183197</v>
      </c>
      <c r="Q111">
        <f t="shared" si="4"/>
        <v>310.77735207165949</v>
      </c>
      <c r="R111">
        <f>IF((Q111-E111)*(D111-E111)&gt;0, 1,0)</f>
        <v>1</v>
      </c>
      <c r="S111">
        <v>9.7879332970000004</v>
      </c>
      <c r="T111" s="1">
        <v>43069</v>
      </c>
      <c r="U111">
        <f>D111+1.65*S111</f>
        <v>338.40009032151903</v>
      </c>
      <c r="V111">
        <f>D111-1.65*S111</f>
        <v>306.09991044141901</v>
      </c>
      <c r="W111">
        <f t="shared" si="5"/>
        <v>310.77735207165949</v>
      </c>
      <c r="X111">
        <f t="shared" si="6"/>
        <v>1</v>
      </c>
      <c r="Y111">
        <f>IF(AND(C111&lt;U111, C111&gt;V111),1,0)</f>
        <v>1</v>
      </c>
      <c r="Z111">
        <f t="shared" si="7"/>
        <v>1</v>
      </c>
      <c r="AA111">
        <f>IF(AND(Y111=1,F111&gt;0), 1, 0)</f>
        <v>1</v>
      </c>
    </row>
    <row r="112" spans="1:27" x14ac:dyDescent="0.3">
      <c r="A112" s="1">
        <v>42979</v>
      </c>
      <c r="B112" s="1">
        <v>43070</v>
      </c>
      <c r="C112">
        <v>325.27090148925703</v>
      </c>
      <c r="D112">
        <v>321.85000019073402</v>
      </c>
      <c r="E112">
        <v>306.3</v>
      </c>
      <c r="F112">
        <v>15.550000190734799</v>
      </c>
      <c r="G112">
        <v>18.970901489257798</v>
      </c>
      <c r="H112">
        <v>15.550000190734799</v>
      </c>
      <c r="I112">
        <v>307.350257086753</v>
      </c>
      <c r="J112">
        <v>308.43838982582002</v>
      </c>
      <c r="K112">
        <v>310.01139025688099</v>
      </c>
      <c r="L112">
        <v>311.77043752670198</v>
      </c>
      <c r="M112">
        <v>311.29442911147999</v>
      </c>
      <c r="N112">
        <v>336.767881011962</v>
      </c>
      <c r="O112">
        <v>311.59194927215498</v>
      </c>
      <c r="P112">
        <v>310.50166015625001</v>
      </c>
      <c r="Q112">
        <f t="shared" si="4"/>
        <v>310.13693046229162</v>
      </c>
      <c r="R112">
        <f>IF((Q112-E112)*(D112-E112)&gt;0, 1,0)</f>
        <v>1</v>
      </c>
      <c r="S112">
        <v>9.5954941100000006</v>
      </c>
      <c r="T112" s="1">
        <v>43070</v>
      </c>
      <c r="U112">
        <f>D112+1.65*S112</f>
        <v>337.68256547223405</v>
      </c>
      <c r="V112">
        <f>D112-1.65*S112</f>
        <v>306.017434909234</v>
      </c>
      <c r="W112">
        <f t="shared" si="5"/>
        <v>310.13693046229162</v>
      </c>
      <c r="X112">
        <f t="shared" si="6"/>
        <v>1</v>
      </c>
      <c r="Y112">
        <f>IF(AND(C112&lt;U112, C112&gt;V112),1,0)</f>
        <v>1</v>
      </c>
      <c r="Z112">
        <f t="shared" si="7"/>
        <v>1</v>
      </c>
      <c r="AA112">
        <f>IF(AND(Y112=1,F112&gt;0), 1, 0)</f>
        <v>1</v>
      </c>
    </row>
    <row r="113" spans="1:27" x14ac:dyDescent="0.3">
      <c r="A113" s="1">
        <v>42982</v>
      </c>
      <c r="B113" s="1">
        <v>43073</v>
      </c>
      <c r="C113">
        <v>323.81306838989201</v>
      </c>
      <c r="D113">
        <v>325</v>
      </c>
      <c r="E113">
        <v>303.5</v>
      </c>
      <c r="F113">
        <v>21.5</v>
      </c>
      <c r="G113">
        <v>20.3130683898925</v>
      </c>
      <c r="H113">
        <v>21.5</v>
      </c>
      <c r="I113">
        <v>304.59040319919501</v>
      </c>
      <c r="J113">
        <v>306.39581537246698</v>
      </c>
      <c r="K113">
        <v>311.02185726165698</v>
      </c>
      <c r="L113">
        <v>308.17222166061401</v>
      </c>
      <c r="M113">
        <v>307.95229625701899</v>
      </c>
      <c r="N113">
        <v>334.06394184529699</v>
      </c>
      <c r="O113">
        <v>310.51126718521101</v>
      </c>
      <c r="P113">
        <v>311.213669300079</v>
      </c>
      <c r="Q113">
        <f t="shared" si="4"/>
        <v>308.55107574803458</v>
      </c>
      <c r="R113">
        <f>IF((Q113-E113)*(D113-E113)&gt;0, 1,0)</f>
        <v>1</v>
      </c>
      <c r="S113">
        <v>9.3189154460000001</v>
      </c>
      <c r="T113" s="1">
        <v>43073</v>
      </c>
      <c r="U113">
        <f>D113+1.65*S113</f>
        <v>340.3762104859</v>
      </c>
      <c r="V113">
        <f>D113-1.65*S113</f>
        <v>309.6237895141</v>
      </c>
      <c r="W113">
        <f t="shared" si="5"/>
        <v>308.55107574803458</v>
      </c>
      <c r="X113">
        <f t="shared" si="6"/>
        <v>0</v>
      </c>
      <c r="Y113">
        <f>IF(AND(C113&lt;U113, C113&gt;V113),1,0)</f>
        <v>1</v>
      </c>
      <c r="Z113">
        <f t="shared" si="7"/>
        <v>0</v>
      </c>
      <c r="AA113">
        <f>IF(AND(Y113=1,F113&gt;0), 1, 0)</f>
        <v>1</v>
      </c>
    </row>
    <row r="114" spans="1:27" x14ac:dyDescent="0.3">
      <c r="A114" s="1">
        <v>42983</v>
      </c>
      <c r="B114" s="1">
        <v>43074</v>
      </c>
      <c r="C114">
        <v>323.01440162658599</v>
      </c>
      <c r="D114">
        <v>326.59999961852998</v>
      </c>
      <c r="E114">
        <v>302.7</v>
      </c>
      <c r="F114">
        <v>23.899999618530199</v>
      </c>
      <c r="G114">
        <v>20.3144016265869</v>
      </c>
      <c r="H114">
        <v>23.899999618530199</v>
      </c>
      <c r="I114">
        <v>304.49786980152101</v>
      </c>
      <c r="J114">
        <v>302.70931632704998</v>
      </c>
      <c r="K114">
        <v>308.58312768936099</v>
      </c>
      <c r="L114">
        <v>307.131261062622</v>
      </c>
      <c r="M114">
        <v>308.96398754119798</v>
      </c>
      <c r="N114">
        <v>329.51838445663401</v>
      </c>
      <c r="O114">
        <v>311.321533393859</v>
      </c>
      <c r="P114">
        <v>308.01279802322301</v>
      </c>
      <c r="Q114">
        <f t="shared" si="4"/>
        <v>307.31712769126204</v>
      </c>
      <c r="R114">
        <f>IF((Q114-E114)*(D114-E114)&gt;0, 1,0)</f>
        <v>1</v>
      </c>
      <c r="S114">
        <v>9.0036003749999995</v>
      </c>
      <c r="T114" s="1">
        <v>43074</v>
      </c>
      <c r="U114">
        <f>D114+1.65*S114</f>
        <v>341.45594023728</v>
      </c>
      <c r="V114">
        <f>D114-1.65*S114</f>
        <v>311.74405899977995</v>
      </c>
      <c r="W114">
        <f t="shared" si="5"/>
        <v>307.31712769126204</v>
      </c>
      <c r="X114">
        <f t="shared" si="6"/>
        <v>0</v>
      </c>
      <c r="Y114">
        <f>IF(AND(C114&lt;U114, C114&gt;V114),1,0)</f>
        <v>1</v>
      </c>
      <c r="Z114">
        <f t="shared" si="7"/>
        <v>0</v>
      </c>
      <c r="AA114">
        <f>IF(AND(Y114=1,F114&gt;0), 1, 0)</f>
        <v>1</v>
      </c>
    </row>
    <row r="115" spans="1:27" x14ac:dyDescent="0.3">
      <c r="A115" s="1">
        <v>42984</v>
      </c>
      <c r="B115" s="1">
        <v>43075</v>
      </c>
      <c r="C115">
        <v>321.27784805297802</v>
      </c>
      <c r="D115">
        <v>321.650000381469</v>
      </c>
      <c r="E115">
        <v>302.3</v>
      </c>
      <c r="F115">
        <v>19.350000381469702</v>
      </c>
      <c r="G115">
        <v>18.977848052978501</v>
      </c>
      <c r="H115">
        <v>19.350000381469702</v>
      </c>
      <c r="I115">
        <v>304.51657133102401</v>
      </c>
      <c r="J115">
        <v>304.04115562438898</v>
      </c>
      <c r="K115">
        <v>307.93678073883001</v>
      </c>
      <c r="L115">
        <v>306.24625568389803</v>
      </c>
      <c r="M115">
        <v>308.44249372482301</v>
      </c>
      <c r="N115">
        <v>335.85486173629698</v>
      </c>
      <c r="O115">
        <v>309.34687976837102</v>
      </c>
      <c r="P115">
        <v>310.21139984130798</v>
      </c>
      <c r="Q115">
        <f t="shared" si="4"/>
        <v>307.24879095894903</v>
      </c>
      <c r="R115">
        <f>IF((Q115-E115)*(D115-E115)&gt;0, 1,0)</f>
        <v>1</v>
      </c>
      <c r="S115">
        <v>8.635312119</v>
      </c>
      <c r="T115" s="1">
        <v>43075</v>
      </c>
      <c r="U115">
        <f>D115+1.65*S115</f>
        <v>335.89826537781897</v>
      </c>
      <c r="V115">
        <f>D115-1.65*S115</f>
        <v>307.40173538511903</v>
      </c>
      <c r="W115">
        <f t="shared" si="5"/>
        <v>307.24879095894903</v>
      </c>
      <c r="X115">
        <f t="shared" si="6"/>
        <v>0</v>
      </c>
      <c r="Y115">
        <f>IF(AND(C115&lt;U115, C115&gt;V115),1,0)</f>
        <v>1</v>
      </c>
      <c r="Z115">
        <f t="shared" si="7"/>
        <v>0</v>
      </c>
      <c r="AA115">
        <f>IF(AND(Y115=1,F115&gt;0), 1, 0)</f>
        <v>1</v>
      </c>
    </row>
    <row r="116" spans="1:27" x14ac:dyDescent="0.3">
      <c r="A116" s="1">
        <v>42985</v>
      </c>
      <c r="B116" s="1">
        <v>43076</v>
      </c>
      <c r="C116">
        <v>320.46250362396199</v>
      </c>
      <c r="D116">
        <v>320.7</v>
      </c>
      <c r="E116">
        <v>306.2</v>
      </c>
      <c r="F116">
        <v>14.5</v>
      </c>
      <c r="G116">
        <v>14.262503623962401</v>
      </c>
      <c r="H116">
        <v>14.5</v>
      </c>
      <c r="I116">
        <v>304.701584291458</v>
      </c>
      <c r="J116">
        <v>303.63252444267198</v>
      </c>
      <c r="K116">
        <v>307.04834516048402</v>
      </c>
      <c r="L116">
        <v>307.173139643669</v>
      </c>
      <c r="M116">
        <v>309.34969182014402</v>
      </c>
      <c r="N116">
        <v>334.81395890712702</v>
      </c>
      <c r="O116">
        <v>310.78684825897199</v>
      </c>
      <c r="P116">
        <v>306.98135561943002</v>
      </c>
      <c r="Q116">
        <f t="shared" si="4"/>
        <v>307.09621274811843</v>
      </c>
      <c r="R116">
        <f>IF((Q116-E116)*(D116-E116)&gt;0, 1,0)</f>
        <v>1</v>
      </c>
      <c r="S116">
        <v>8.3815888259999998</v>
      </c>
      <c r="T116" s="1">
        <v>43076</v>
      </c>
      <c r="U116">
        <f>D116+1.65*S116</f>
        <v>334.52962156289999</v>
      </c>
      <c r="V116">
        <f>D116-1.65*S116</f>
        <v>306.87037843709999</v>
      </c>
      <c r="W116">
        <f t="shared" si="5"/>
        <v>307.09621274811843</v>
      </c>
      <c r="X116">
        <f t="shared" si="6"/>
        <v>1</v>
      </c>
      <c r="Y116">
        <f>IF(AND(C116&lt;U116, C116&gt;V116),1,0)</f>
        <v>1</v>
      </c>
      <c r="Z116">
        <f t="shared" si="7"/>
        <v>1</v>
      </c>
      <c r="AA116">
        <f>IF(AND(Y116=1,F116&gt;0), 1, 0)</f>
        <v>1</v>
      </c>
    </row>
    <row r="117" spans="1:27" x14ac:dyDescent="0.3">
      <c r="A117" s="1">
        <v>42986</v>
      </c>
      <c r="B117" s="1">
        <v>43077</v>
      </c>
      <c r="C117">
        <v>324.89603996276799</v>
      </c>
      <c r="D117">
        <v>321.39999961852999</v>
      </c>
      <c r="E117">
        <v>306.25</v>
      </c>
      <c r="F117">
        <v>15.149999618530201</v>
      </c>
      <c r="G117">
        <v>18.646039962768501</v>
      </c>
      <c r="H117">
        <v>15.149999618530201</v>
      </c>
      <c r="I117">
        <v>306.91748034954003</v>
      </c>
      <c r="J117">
        <v>306.13086073100499</v>
      </c>
      <c r="K117">
        <v>310.78814506530699</v>
      </c>
      <c r="L117">
        <v>311.80248117446899</v>
      </c>
      <c r="M117">
        <v>311.04366207122803</v>
      </c>
      <c r="N117">
        <v>323.516027832031</v>
      </c>
      <c r="O117">
        <v>312.77498531341502</v>
      </c>
      <c r="P117">
        <v>317.68853187561001</v>
      </c>
      <c r="Q117">
        <f t="shared" si="4"/>
        <v>311.02087808293919</v>
      </c>
      <c r="R117">
        <f>IF((Q117-E117)*(D117-E117)&gt;0, 1,0)</f>
        <v>1</v>
      </c>
      <c r="S117">
        <v>8.112302949</v>
      </c>
      <c r="T117" s="1">
        <v>43077</v>
      </c>
      <c r="U117">
        <f>D117+1.65*S117</f>
        <v>334.78529948438</v>
      </c>
      <c r="V117">
        <f>D117-1.65*S117</f>
        <v>308.01469975267997</v>
      </c>
      <c r="W117">
        <f t="shared" si="5"/>
        <v>311.02087808293919</v>
      </c>
      <c r="X117">
        <f t="shared" si="6"/>
        <v>1</v>
      </c>
      <c r="Y117">
        <f>IF(AND(C117&lt;U117, C117&gt;V117),1,0)</f>
        <v>1</v>
      </c>
      <c r="Z117">
        <f t="shared" si="7"/>
        <v>1</v>
      </c>
      <c r="AA117">
        <f>IF(AND(Y117=1,F117&gt;0), 1, 0)</f>
        <v>1</v>
      </c>
    </row>
    <row r="118" spans="1:27" x14ac:dyDescent="0.3">
      <c r="A118" s="1">
        <v>42989</v>
      </c>
      <c r="B118" s="1">
        <v>43080</v>
      </c>
      <c r="C118">
        <v>316.90409803390497</v>
      </c>
      <c r="D118">
        <v>321.5</v>
      </c>
      <c r="E118">
        <v>309.25</v>
      </c>
      <c r="F118">
        <v>12.25</v>
      </c>
      <c r="G118">
        <v>7.6540980339050204</v>
      </c>
      <c r="H118">
        <v>12.25</v>
      </c>
      <c r="I118">
        <v>305.22022533416703</v>
      </c>
      <c r="J118">
        <v>306.021182537078</v>
      </c>
      <c r="K118">
        <v>309.74686741828901</v>
      </c>
      <c r="L118">
        <v>308.78145855665201</v>
      </c>
      <c r="M118">
        <v>311.33473420143099</v>
      </c>
      <c r="N118">
        <v>322.65264205932601</v>
      </c>
      <c r="O118">
        <v>310.24715262651398</v>
      </c>
      <c r="P118">
        <v>311.68106460571198</v>
      </c>
      <c r="Q118">
        <f t="shared" si="4"/>
        <v>309.00466932569185</v>
      </c>
      <c r="R118">
        <f>IF((Q118-E118)*(D118-E118)&gt;0, 1,0)</f>
        <v>0</v>
      </c>
      <c r="S118">
        <v>7.9202754510000002</v>
      </c>
      <c r="T118" s="1">
        <v>43080</v>
      </c>
      <c r="U118">
        <f>D118+1.65*S118</f>
        <v>334.56845449414999</v>
      </c>
      <c r="V118">
        <f>D118-1.65*S118</f>
        <v>308.43154550585001</v>
      </c>
      <c r="W118">
        <f t="shared" si="5"/>
        <v>309.00466932569185</v>
      </c>
      <c r="X118">
        <f t="shared" si="6"/>
        <v>1</v>
      </c>
      <c r="Y118">
        <f>IF(AND(C118&lt;U118, C118&gt;V118),1,0)</f>
        <v>1</v>
      </c>
      <c r="Z118">
        <f t="shared" si="7"/>
        <v>0</v>
      </c>
      <c r="AA118">
        <f>IF(AND(Y118=1,F118&gt;0), 1, 0)</f>
        <v>1</v>
      </c>
    </row>
    <row r="119" spans="1:27" x14ac:dyDescent="0.3">
      <c r="A119" s="1">
        <v>42990</v>
      </c>
      <c r="B119" s="1">
        <v>43081</v>
      </c>
      <c r="C119">
        <v>313.54047222137399</v>
      </c>
      <c r="D119">
        <v>320.45</v>
      </c>
      <c r="E119">
        <v>309.2</v>
      </c>
      <c r="F119">
        <v>11.25</v>
      </c>
      <c r="G119">
        <v>4.3404722213745099</v>
      </c>
      <c r="H119">
        <v>11.25</v>
      </c>
      <c r="I119">
        <v>308.37765682935702</v>
      </c>
      <c r="J119">
        <v>306.98312397003099</v>
      </c>
      <c r="K119">
        <v>311.07551927566499</v>
      </c>
      <c r="L119">
        <v>311.57418031692498</v>
      </c>
      <c r="M119">
        <v>310.47670586109098</v>
      </c>
      <c r="N119">
        <v>320.99568729400602</v>
      </c>
      <c r="O119">
        <v>305.326966714859</v>
      </c>
      <c r="P119">
        <v>310.285817813873</v>
      </c>
      <c r="Q119">
        <f t="shared" si="4"/>
        <v>309.1571386831144</v>
      </c>
      <c r="R119">
        <f>IF((Q119-E119)*(D119-E119)&gt;0, 1,0)</f>
        <v>0</v>
      </c>
      <c r="S119">
        <v>7.7231132560000004</v>
      </c>
      <c r="T119" s="1">
        <v>43081</v>
      </c>
      <c r="U119">
        <f>D119+1.65*S119</f>
        <v>333.19313687239998</v>
      </c>
      <c r="V119">
        <f>D119-1.65*S119</f>
        <v>307.7068631276</v>
      </c>
      <c r="W119">
        <f t="shared" si="5"/>
        <v>309.1571386831144</v>
      </c>
      <c r="X119">
        <f t="shared" si="6"/>
        <v>1</v>
      </c>
      <c r="Y119">
        <f>IF(AND(C119&lt;U119, C119&gt;V119),1,0)</f>
        <v>1</v>
      </c>
      <c r="Z119">
        <f t="shared" si="7"/>
        <v>0</v>
      </c>
      <c r="AA119">
        <f>IF(AND(Y119=1,F119&gt;0), 1, 0)</f>
        <v>1</v>
      </c>
    </row>
    <row r="120" spans="1:27" x14ac:dyDescent="0.3">
      <c r="A120" s="1">
        <v>42991</v>
      </c>
      <c r="B120" s="1">
        <v>43082</v>
      </c>
      <c r="C120">
        <v>304.953382062912</v>
      </c>
      <c r="D120">
        <v>322.85000019073402</v>
      </c>
      <c r="E120">
        <v>308.55</v>
      </c>
      <c r="F120">
        <v>-14.300000190734799</v>
      </c>
      <c r="G120">
        <v>-3.59661793708801</v>
      </c>
      <c r="H120">
        <v>14.300000190734799</v>
      </c>
      <c r="I120">
        <v>306.27083234786897</v>
      </c>
      <c r="J120">
        <v>304.57444148063598</v>
      </c>
      <c r="K120">
        <v>309.05485289096799</v>
      </c>
      <c r="L120">
        <v>308.06021564006801</v>
      </c>
      <c r="M120">
        <v>305.17681627273498</v>
      </c>
      <c r="N120">
        <v>318.02480640411301</v>
      </c>
      <c r="O120">
        <v>304.31488351821901</v>
      </c>
      <c r="P120">
        <v>307.01660387516</v>
      </c>
      <c r="Q120">
        <f t="shared" si="4"/>
        <v>306.35266371795075</v>
      </c>
      <c r="R120">
        <f>IF((Q120-E120)*(D120-E120)&gt;0, 1,0)</f>
        <v>0</v>
      </c>
      <c r="S120">
        <v>7.4852653340000002</v>
      </c>
      <c r="T120" s="1">
        <v>43082</v>
      </c>
      <c r="U120">
        <f>D120+1.65*S120</f>
        <v>335.200687991834</v>
      </c>
      <c r="V120">
        <f>D120-1.65*S120</f>
        <v>310.49931238963404</v>
      </c>
      <c r="W120">
        <f t="shared" si="5"/>
        <v>306.35266371795075</v>
      </c>
      <c r="X120">
        <f t="shared" si="6"/>
        <v>0</v>
      </c>
      <c r="Y120">
        <f>IF(AND(C120&lt;U120, C120&gt;V120),1,0)</f>
        <v>0</v>
      </c>
      <c r="Z120">
        <f t="shared" si="7"/>
        <v>0</v>
      </c>
      <c r="AA120">
        <f>IF(AND(Y120=1,F120&gt;0), 1, 0)</f>
        <v>0</v>
      </c>
    </row>
    <row r="121" spans="1:27" x14ac:dyDescent="0.3">
      <c r="A121" s="1">
        <v>42992</v>
      </c>
      <c r="B121" s="1">
        <v>43083</v>
      </c>
      <c r="C121">
        <v>304.35037851333601</v>
      </c>
      <c r="D121">
        <v>324.30000019073401</v>
      </c>
      <c r="E121">
        <v>310.25</v>
      </c>
      <c r="F121">
        <v>-14.050000190734799</v>
      </c>
      <c r="G121">
        <v>-5.8996214866638104</v>
      </c>
      <c r="H121">
        <v>14.050000190734799</v>
      </c>
      <c r="I121">
        <v>310.72281798720297</v>
      </c>
      <c r="J121">
        <v>308.10731554031298</v>
      </c>
      <c r="K121">
        <v>313.66016721725401</v>
      </c>
      <c r="L121">
        <v>310.66952562332102</v>
      </c>
      <c r="M121">
        <v>308.79751574993099</v>
      </c>
      <c r="N121">
        <v>320.93417243957498</v>
      </c>
      <c r="O121">
        <v>304.74861812591502</v>
      </c>
      <c r="P121">
        <v>308.35111832618702</v>
      </c>
      <c r="Q121">
        <f t="shared" si="4"/>
        <v>309.2938683671606</v>
      </c>
      <c r="R121">
        <f>IF((Q121-E121)*(D121-E121)&gt;0, 1,0)</f>
        <v>0</v>
      </c>
      <c r="S121">
        <v>7.2849796900000001</v>
      </c>
      <c r="T121" s="1">
        <v>43083</v>
      </c>
      <c r="U121">
        <f>D121+1.65*S121</f>
        <v>336.32021667923402</v>
      </c>
      <c r="V121">
        <f>D121-1.65*S121</f>
        <v>312.279783702234</v>
      </c>
      <c r="W121">
        <f t="shared" si="5"/>
        <v>309.2938683671606</v>
      </c>
      <c r="X121">
        <f t="shared" si="6"/>
        <v>0</v>
      </c>
      <c r="Y121">
        <f>IF(AND(C121&lt;U121, C121&gt;V121),1,0)</f>
        <v>0</v>
      </c>
      <c r="Z121">
        <f t="shared" si="7"/>
        <v>0</v>
      </c>
      <c r="AA121">
        <f>IF(AND(Y121=1,F121&gt;0), 1, 0)</f>
        <v>0</v>
      </c>
    </row>
    <row r="122" spans="1:27" x14ac:dyDescent="0.3">
      <c r="A122" s="1">
        <v>42993</v>
      </c>
      <c r="B122" s="1">
        <v>43084</v>
      </c>
      <c r="C122">
        <v>309.26423079967498</v>
      </c>
      <c r="D122">
        <v>322.750000190734</v>
      </c>
      <c r="E122">
        <v>311.2</v>
      </c>
      <c r="F122">
        <v>-11.550000190734799</v>
      </c>
      <c r="G122">
        <v>-1.93576920032501</v>
      </c>
      <c r="H122">
        <v>11.550000190734799</v>
      </c>
      <c r="I122">
        <v>310.12459309101098</v>
      </c>
      <c r="J122">
        <v>309.43264825343999</v>
      </c>
      <c r="K122">
        <v>310.96570183038699</v>
      </c>
      <c r="L122">
        <v>310.54594702720601</v>
      </c>
      <c r="M122">
        <v>308.0403570652</v>
      </c>
      <c r="N122">
        <v>320.66775150298997</v>
      </c>
      <c r="O122">
        <v>307.05171127319301</v>
      </c>
      <c r="P122">
        <v>314.33136458396899</v>
      </c>
      <c r="Q122">
        <f t="shared" si="4"/>
        <v>310.07033187491515</v>
      </c>
      <c r="R122">
        <f>IF((Q122-E122)*(D122-E122)&gt;0, 1,0)</f>
        <v>0</v>
      </c>
      <c r="S122">
        <v>7.1034980890000003</v>
      </c>
      <c r="T122" s="1">
        <v>43084</v>
      </c>
      <c r="U122">
        <f>D122+1.65*S122</f>
        <v>334.47077203758397</v>
      </c>
      <c r="V122">
        <f>D122-1.65*S122</f>
        <v>311.02922834388403</v>
      </c>
      <c r="W122">
        <f t="shared" si="5"/>
        <v>310.07033187491515</v>
      </c>
      <c r="X122">
        <f t="shared" si="6"/>
        <v>0</v>
      </c>
      <c r="Y122">
        <f>IF(AND(C122&lt;U122, C122&gt;V122),1,0)</f>
        <v>0</v>
      </c>
      <c r="Z122">
        <f t="shared" si="7"/>
        <v>0</v>
      </c>
      <c r="AA122">
        <f>IF(AND(Y122=1,F122&gt;0), 1, 0)</f>
        <v>0</v>
      </c>
    </row>
    <row r="123" spans="1:27" x14ac:dyDescent="0.3">
      <c r="A123" s="1">
        <v>42996</v>
      </c>
      <c r="B123" s="1">
        <v>43087</v>
      </c>
      <c r="C123">
        <v>314.23018641471799</v>
      </c>
      <c r="D123">
        <v>324.14999980926501</v>
      </c>
      <c r="E123">
        <v>316.7</v>
      </c>
      <c r="F123">
        <v>-7.4499998092651296</v>
      </c>
      <c r="G123">
        <v>-2.4698135852813698</v>
      </c>
      <c r="H123">
        <v>7.4499998092651296</v>
      </c>
      <c r="I123">
        <v>312.82511062622001</v>
      </c>
      <c r="J123">
        <v>312.03362102508498</v>
      </c>
      <c r="K123">
        <v>314.52684230804402</v>
      </c>
      <c r="L123">
        <v>311.530841064453</v>
      </c>
      <c r="M123">
        <v>312.90783519744798</v>
      </c>
      <c r="N123">
        <v>321.46604223251302</v>
      </c>
      <c r="O123">
        <v>309.22461433410598</v>
      </c>
      <c r="P123">
        <v>314.24424428939801</v>
      </c>
      <c r="Q123">
        <f t="shared" si="4"/>
        <v>312.47044412067913</v>
      </c>
      <c r="R123">
        <f>IF((Q123-E123)*(D123-E123)&gt;0, 1,0)</f>
        <v>0</v>
      </c>
      <c r="S123">
        <v>7.0387891629999997</v>
      </c>
      <c r="T123" s="1">
        <v>43087</v>
      </c>
      <c r="U123">
        <f>D123+1.65*S123</f>
        <v>335.76400192821501</v>
      </c>
      <c r="V123">
        <f>D123-1.65*S123</f>
        <v>312.53599769031501</v>
      </c>
      <c r="W123">
        <f t="shared" si="5"/>
        <v>312.47044412067913</v>
      </c>
      <c r="X123">
        <f t="shared" si="6"/>
        <v>0</v>
      </c>
      <c r="Y123">
        <f>IF(AND(C123&lt;U123, C123&gt;V123),1,0)</f>
        <v>1</v>
      </c>
      <c r="Z123">
        <f t="shared" si="7"/>
        <v>0</v>
      </c>
      <c r="AA123">
        <f>IF(AND(Y123=1,F123&gt;0), 1, 0)</f>
        <v>0</v>
      </c>
    </row>
    <row r="124" spans="1:27" x14ac:dyDescent="0.3">
      <c r="A124" s="1">
        <v>42997</v>
      </c>
      <c r="B124" s="1">
        <v>43088</v>
      </c>
      <c r="C124">
        <v>314.17581527233102</v>
      </c>
      <c r="D124">
        <v>323.85000019073402</v>
      </c>
      <c r="E124">
        <v>316.05</v>
      </c>
      <c r="F124">
        <v>-7.8000001907348597</v>
      </c>
      <c r="G124">
        <v>-1.87418472766876</v>
      </c>
      <c r="H124">
        <v>7.8000001907348597</v>
      </c>
      <c r="I124">
        <v>316.23016934394798</v>
      </c>
      <c r="J124">
        <v>314.03175883293102</v>
      </c>
      <c r="K124">
        <v>314.04658703804</v>
      </c>
      <c r="L124">
        <v>314.95253102779299</v>
      </c>
      <c r="M124">
        <v>314.83520238399501</v>
      </c>
      <c r="N124">
        <v>321.97901496887198</v>
      </c>
      <c r="O124">
        <v>306.90678291320802</v>
      </c>
      <c r="P124">
        <v>317.742559957504</v>
      </c>
      <c r="Q124">
        <f t="shared" si="4"/>
        <v>314.10651307105985</v>
      </c>
      <c r="R124">
        <f>IF((Q124-E124)*(D124-E124)&gt;0, 1,0)</f>
        <v>0</v>
      </c>
      <c r="S124">
        <v>6.9600325349999999</v>
      </c>
      <c r="T124" s="1">
        <v>43088</v>
      </c>
      <c r="U124">
        <f>D124+1.65*S124</f>
        <v>335.33405387348404</v>
      </c>
      <c r="V124">
        <f>D124-1.65*S124</f>
        <v>312.36594650798401</v>
      </c>
      <c r="W124">
        <f t="shared" si="5"/>
        <v>314.10651307105985</v>
      </c>
      <c r="X124">
        <f t="shared" si="6"/>
        <v>1</v>
      </c>
      <c r="Y124">
        <f>IF(AND(C124&lt;U124, C124&gt;V124),1,0)</f>
        <v>1</v>
      </c>
      <c r="Z124">
        <f t="shared" si="7"/>
        <v>0</v>
      </c>
      <c r="AA124">
        <f>IF(AND(Y124=1,F124&gt;0), 1, 0)</f>
        <v>0</v>
      </c>
    </row>
    <row r="125" spans="1:27" x14ac:dyDescent="0.3">
      <c r="A125" s="1">
        <v>42998</v>
      </c>
      <c r="B125" s="1">
        <v>43089</v>
      </c>
      <c r="C125">
        <v>315.16667823791499</v>
      </c>
      <c r="D125">
        <v>323.55</v>
      </c>
      <c r="E125">
        <v>315.8</v>
      </c>
      <c r="F125">
        <v>-7.75</v>
      </c>
      <c r="G125">
        <v>-0.63332176208496005</v>
      </c>
      <c r="H125">
        <v>7.75</v>
      </c>
      <c r="I125">
        <v>314.76992957592</v>
      </c>
      <c r="J125">
        <v>314.26901965141298</v>
      </c>
      <c r="K125">
        <v>312.61319284439003</v>
      </c>
      <c r="L125">
        <v>311.95815401077198</v>
      </c>
      <c r="M125">
        <v>311.68306140899602</v>
      </c>
      <c r="N125">
        <v>317.41031913757303</v>
      </c>
      <c r="O125">
        <v>307.659907150268</v>
      </c>
      <c r="P125">
        <v>314.32598738670299</v>
      </c>
      <c r="Q125">
        <f t="shared" si="4"/>
        <v>312.46846457549458</v>
      </c>
      <c r="R125">
        <f>IF((Q125-E125)*(D125-E125)&gt;0, 1,0)</f>
        <v>0</v>
      </c>
      <c r="S125">
        <v>6.8739398659999997</v>
      </c>
      <c r="T125" s="1">
        <v>43089</v>
      </c>
      <c r="U125">
        <f>D125+1.65*S125</f>
        <v>334.89200077890001</v>
      </c>
      <c r="V125">
        <f>D125-1.65*S125</f>
        <v>312.20799922110001</v>
      </c>
      <c r="W125">
        <f t="shared" si="5"/>
        <v>312.46846457549458</v>
      </c>
      <c r="X125">
        <f t="shared" si="6"/>
        <v>1</v>
      </c>
      <c r="Y125">
        <f>IF(AND(C125&lt;U125, C125&gt;V125),1,0)</f>
        <v>1</v>
      </c>
      <c r="Z125">
        <f t="shared" si="7"/>
        <v>0</v>
      </c>
      <c r="AA125">
        <f>IF(AND(Y125=1,F125&gt;0), 1, 0)</f>
        <v>0</v>
      </c>
    </row>
    <row r="126" spans="1:27" x14ac:dyDescent="0.3">
      <c r="A126" s="1">
        <v>42999</v>
      </c>
      <c r="B126" s="1">
        <v>43090</v>
      </c>
      <c r="C126">
        <v>320.79306631088201</v>
      </c>
      <c r="D126">
        <v>316.85000001191997</v>
      </c>
      <c r="E126">
        <v>316.05</v>
      </c>
      <c r="F126">
        <v>0.80000001192092896</v>
      </c>
      <c r="G126">
        <v>4.7430663108825604</v>
      </c>
      <c r="H126">
        <v>0.80000001192092896</v>
      </c>
      <c r="I126">
        <v>317.008710134029</v>
      </c>
      <c r="J126">
        <v>316.50581319928102</v>
      </c>
      <c r="K126">
        <v>315.33162956237697</v>
      </c>
      <c r="L126">
        <v>314.67397134304002</v>
      </c>
      <c r="M126">
        <v>313.33718137740999</v>
      </c>
      <c r="N126">
        <v>326.150090885162</v>
      </c>
      <c r="O126">
        <v>310.92329816818199</v>
      </c>
      <c r="P126">
        <v>321.138184833526</v>
      </c>
      <c r="Q126">
        <f t="shared" si="4"/>
        <v>315.55982694540637</v>
      </c>
      <c r="R126">
        <f>IF((Q126-E126)*(D126-E126)&gt;0, 1,0)</f>
        <v>0</v>
      </c>
      <c r="S126">
        <v>6.8589968470000002</v>
      </c>
      <c r="T126" s="1">
        <v>43090</v>
      </c>
      <c r="U126">
        <f>D126+1.65*S126</f>
        <v>328.16734480946997</v>
      </c>
      <c r="V126">
        <f>D126-1.65*S126</f>
        <v>305.53265521436998</v>
      </c>
      <c r="W126">
        <f t="shared" si="5"/>
        <v>315.55982694540637</v>
      </c>
      <c r="X126">
        <f t="shared" si="6"/>
        <v>1</v>
      </c>
      <c r="Y126">
        <f>IF(AND(C126&lt;U126, C126&gt;V126),1,0)</f>
        <v>1</v>
      </c>
      <c r="Z126">
        <f t="shared" si="7"/>
        <v>0</v>
      </c>
      <c r="AA126">
        <f>IF(AND(Y126=1,F126&gt;0), 1, 0)</f>
        <v>1</v>
      </c>
    </row>
    <row r="127" spans="1:27" x14ac:dyDescent="0.3">
      <c r="A127" s="1">
        <v>43000</v>
      </c>
      <c r="B127" s="1">
        <v>43091</v>
      </c>
      <c r="C127">
        <v>322.014750480651</v>
      </c>
      <c r="D127">
        <v>318.5</v>
      </c>
      <c r="E127">
        <v>313.75</v>
      </c>
      <c r="F127">
        <v>4.75</v>
      </c>
      <c r="G127">
        <v>8.2647504806518501</v>
      </c>
      <c r="H127">
        <v>4.75</v>
      </c>
      <c r="I127">
        <v>314.297002792358</v>
      </c>
      <c r="J127">
        <v>313.24957108497603</v>
      </c>
      <c r="K127">
        <v>320.88230419158901</v>
      </c>
      <c r="L127">
        <v>315.17279350757599</v>
      </c>
      <c r="M127">
        <v>313.40380054712199</v>
      </c>
      <c r="N127">
        <v>327.672459125518</v>
      </c>
      <c r="O127">
        <v>310.41188597679098</v>
      </c>
      <c r="P127">
        <v>318.70461273193303</v>
      </c>
      <c r="Q127">
        <f t="shared" si="4"/>
        <v>315.16028154747789</v>
      </c>
      <c r="R127">
        <f>IF((Q127-E127)*(D127-E127)&gt;0, 1,0)</f>
        <v>1</v>
      </c>
      <c r="S127">
        <v>6.7655609449999998</v>
      </c>
      <c r="T127" s="1">
        <v>43091</v>
      </c>
      <c r="U127">
        <f>D127+1.65*S127</f>
        <v>329.66317555925002</v>
      </c>
      <c r="V127">
        <f>D127-1.65*S127</f>
        <v>307.33682444074998</v>
      </c>
      <c r="W127">
        <f t="shared" si="5"/>
        <v>315.16028154747789</v>
      </c>
      <c r="X127">
        <f t="shared" si="6"/>
        <v>1</v>
      </c>
      <c r="Y127">
        <f>IF(AND(C127&lt;U127, C127&gt;V127),1,0)</f>
        <v>1</v>
      </c>
      <c r="Z127">
        <f t="shared" si="7"/>
        <v>1</v>
      </c>
      <c r="AA127">
        <f>IF(AND(Y127=1,F127&gt;0), 1, 0)</f>
        <v>1</v>
      </c>
    </row>
    <row r="128" spans="1:27" x14ac:dyDescent="0.3">
      <c r="A128" s="1">
        <v>43003</v>
      </c>
      <c r="B128" s="1">
        <v>43094</v>
      </c>
      <c r="C128">
        <v>323.71027259826599</v>
      </c>
      <c r="D128">
        <v>318.49999980926498</v>
      </c>
      <c r="E128">
        <v>313.8</v>
      </c>
      <c r="F128">
        <v>4.6999998092651296</v>
      </c>
      <c r="G128">
        <v>9.9102725982665998</v>
      </c>
      <c r="H128">
        <v>4.6999998092651296</v>
      </c>
      <c r="I128">
        <v>315.87429885864202</v>
      </c>
      <c r="J128">
        <v>314.247643607854</v>
      </c>
      <c r="K128">
        <v>315.38536779880502</v>
      </c>
      <c r="L128">
        <v>315.89243774414001</v>
      </c>
      <c r="M128">
        <v>315.90781884193399</v>
      </c>
      <c r="N128">
        <v>327.38268926143598</v>
      </c>
      <c r="O128">
        <v>310.096607255935</v>
      </c>
      <c r="P128">
        <v>313.04217504262903</v>
      </c>
      <c r="Q128">
        <f t="shared" si="4"/>
        <v>314.34947844999124</v>
      </c>
      <c r="R128">
        <f>IF((Q128-E128)*(D128-E128)&gt;0, 1,0)</f>
        <v>1</v>
      </c>
      <c r="S128">
        <v>6.6712957890000002</v>
      </c>
      <c r="T128" s="1">
        <v>43094</v>
      </c>
      <c r="U128">
        <f>D128+1.65*S128</f>
        <v>329.50763786111497</v>
      </c>
      <c r="V128">
        <f>D128-1.65*S128</f>
        <v>307.49236175741498</v>
      </c>
      <c r="W128">
        <f t="shared" si="5"/>
        <v>314.34947844999124</v>
      </c>
      <c r="X128">
        <f t="shared" si="6"/>
        <v>1</v>
      </c>
      <c r="Y128">
        <f>IF(AND(C128&lt;U128, C128&gt;V128),1,0)</f>
        <v>1</v>
      </c>
      <c r="Z128">
        <f t="shared" si="7"/>
        <v>1</v>
      </c>
      <c r="AA128">
        <f>IF(AND(Y128=1,F128&gt;0), 1, 0)</f>
        <v>1</v>
      </c>
    </row>
    <row r="129" spans="1:27" x14ac:dyDescent="0.3">
      <c r="A129" s="1">
        <v>43004</v>
      </c>
      <c r="B129" s="1">
        <v>43095</v>
      </c>
      <c r="C129">
        <v>319.98800354003902</v>
      </c>
      <c r="D129">
        <v>317.45000009536699</v>
      </c>
      <c r="E129">
        <v>311.8</v>
      </c>
      <c r="F129">
        <v>5.6500000953674299</v>
      </c>
      <c r="G129">
        <v>8.1880035400390607</v>
      </c>
      <c r="H129">
        <v>5.6500000953674299</v>
      </c>
      <c r="I129">
        <v>314.72019605636598</v>
      </c>
      <c r="J129">
        <v>311.90729433596101</v>
      </c>
      <c r="K129">
        <v>312.99634234905199</v>
      </c>
      <c r="L129">
        <v>313.29251019954597</v>
      </c>
      <c r="M129">
        <v>315.383745241165</v>
      </c>
      <c r="N129">
        <v>329.38141722679097</v>
      </c>
      <c r="O129">
        <v>315.55117349624601</v>
      </c>
      <c r="P129">
        <v>307.36024694442699</v>
      </c>
      <c r="Q129">
        <f t="shared" si="4"/>
        <v>313.03021551753761</v>
      </c>
      <c r="R129">
        <f>IF((Q129-E129)*(D129-E129)&gt;0, 1,0)</f>
        <v>1</v>
      </c>
      <c r="S129">
        <v>6.5345408989999996</v>
      </c>
      <c r="T129" s="1">
        <v>43095</v>
      </c>
      <c r="U129">
        <f>D129+1.65*S129</f>
        <v>328.23199257871698</v>
      </c>
      <c r="V129">
        <f>D129-1.65*S129</f>
        <v>306.66800761201699</v>
      </c>
      <c r="W129">
        <f t="shared" si="5"/>
        <v>313.03021551753761</v>
      </c>
      <c r="X129">
        <f t="shared" si="6"/>
        <v>1</v>
      </c>
      <c r="Y129">
        <f>IF(AND(C129&lt;U129, C129&gt;V129),1,0)</f>
        <v>1</v>
      </c>
      <c r="Z129">
        <f t="shared" si="7"/>
        <v>1</v>
      </c>
      <c r="AA129">
        <f>IF(AND(Y129=1,F129&gt;0), 1, 0)</f>
        <v>1</v>
      </c>
    </row>
    <row r="130" spans="1:27" x14ac:dyDescent="0.3">
      <c r="A130" s="1">
        <v>43005</v>
      </c>
      <c r="B130" s="1">
        <v>43096</v>
      </c>
      <c r="C130">
        <v>322.56346263885399</v>
      </c>
      <c r="D130">
        <v>321.20000019073399</v>
      </c>
      <c r="E130">
        <v>311.39999999999998</v>
      </c>
      <c r="F130">
        <v>9.8000001907348597</v>
      </c>
      <c r="G130">
        <v>11.163462638854901</v>
      </c>
      <c r="H130">
        <v>9.8000001907348597</v>
      </c>
      <c r="I130">
        <v>314.50654616355803</v>
      </c>
      <c r="J130">
        <v>312.69579389095298</v>
      </c>
      <c r="K130">
        <v>314.95599474906902</v>
      </c>
      <c r="L130">
        <v>311.47469929754698</v>
      </c>
      <c r="M130">
        <v>316.04591026306099</v>
      </c>
      <c r="N130">
        <v>328.65592796802503</v>
      </c>
      <c r="O130">
        <v>311.643523657321</v>
      </c>
      <c r="P130">
        <v>315.63571205139101</v>
      </c>
      <c r="Q130">
        <f t="shared" si="4"/>
        <v>313.8511685818429</v>
      </c>
      <c r="R130">
        <f>IF((Q130-E130)*(D130-E130)&gt;0, 1,0)</f>
        <v>1</v>
      </c>
      <c r="S130">
        <v>6.3280589860000003</v>
      </c>
      <c r="T130" s="1">
        <v>43096</v>
      </c>
      <c r="U130">
        <f>D130+1.65*S130</f>
        <v>331.64129751763397</v>
      </c>
      <c r="V130">
        <f>D130-1.65*S130</f>
        <v>310.758702863834</v>
      </c>
      <c r="W130">
        <f t="shared" si="5"/>
        <v>313.8511685818429</v>
      </c>
      <c r="X130">
        <f t="shared" si="6"/>
        <v>1</v>
      </c>
      <c r="Y130">
        <f>IF(AND(C130&lt;U130, C130&gt;V130),1,0)</f>
        <v>1</v>
      </c>
      <c r="Z130">
        <f t="shared" si="7"/>
        <v>1</v>
      </c>
      <c r="AA130">
        <f>IF(AND(Y130=1,F130&gt;0), 1, 0)</f>
        <v>1</v>
      </c>
    </row>
    <row r="131" spans="1:27" x14ac:dyDescent="0.3">
      <c r="A131" s="1">
        <v>43006</v>
      </c>
      <c r="B131" s="1">
        <v>43097</v>
      </c>
      <c r="C131">
        <v>321.06510028839102</v>
      </c>
      <c r="D131">
        <v>325.65000019073398</v>
      </c>
      <c r="E131">
        <v>311.60000000000002</v>
      </c>
      <c r="F131">
        <v>14.050000190734799</v>
      </c>
      <c r="G131">
        <v>9.4651002883911097</v>
      </c>
      <c r="H131">
        <v>14.050000190734799</v>
      </c>
      <c r="I131">
        <v>314.025997018814</v>
      </c>
      <c r="J131">
        <v>313.87923846244797</v>
      </c>
      <c r="K131">
        <v>317.06914958953797</v>
      </c>
      <c r="L131">
        <v>313.65283927917397</v>
      </c>
      <c r="M131">
        <v>315.82595834732001</v>
      </c>
      <c r="N131">
        <v>331.43350028991699</v>
      </c>
      <c r="O131">
        <v>317.69808158874503</v>
      </c>
      <c r="P131">
        <v>309.81109139919198</v>
      </c>
      <c r="Q131">
        <f t="shared" ref="Q131:Q194" si="8">AVERAGE(I131:M131, O131:P131)</f>
        <v>314.56605081217589</v>
      </c>
      <c r="R131">
        <f>IF((Q131-E131)*(D131-E131)&gt;0, 1,0)</f>
        <v>1</v>
      </c>
      <c r="S131">
        <v>6.0972874839999998</v>
      </c>
      <c r="T131" s="1">
        <v>43097</v>
      </c>
      <c r="U131">
        <f>D131+1.65*S131</f>
        <v>335.71052453933396</v>
      </c>
      <c r="V131">
        <f>D131-1.65*S131</f>
        <v>315.58947584213399</v>
      </c>
      <c r="W131">
        <f t="shared" ref="W131:W194" si="9">Q131</f>
        <v>314.56605081217589</v>
      </c>
      <c r="X131">
        <f t="shared" ref="X131:X194" si="10">IF(AND(W131&lt;U131, W131&gt;V131),1,0)</f>
        <v>0</v>
      </c>
      <c r="Y131">
        <f>IF(AND(C131&lt;U131, C131&gt;V131),1,0)</f>
        <v>1</v>
      </c>
      <c r="Z131">
        <f t="shared" ref="Z131:Z194" si="11">IF(AND(X131=1,R131=1), 1, 0)</f>
        <v>0</v>
      </c>
      <c r="AA131">
        <f>IF(AND(Y131=1,F131&gt;0), 1, 0)</f>
        <v>1</v>
      </c>
    </row>
    <row r="132" spans="1:27" x14ac:dyDescent="0.3">
      <c r="A132" s="1">
        <v>43007</v>
      </c>
      <c r="B132" s="1">
        <v>43098</v>
      </c>
      <c r="C132">
        <v>320.30584697723299</v>
      </c>
      <c r="D132">
        <v>325.650000381469</v>
      </c>
      <c r="E132">
        <v>314.3</v>
      </c>
      <c r="F132">
        <v>11.3500003814697</v>
      </c>
      <c r="G132">
        <v>6.0058469772338796</v>
      </c>
      <c r="H132">
        <v>11.3500003814697</v>
      </c>
      <c r="I132">
        <v>315.50861899852703</v>
      </c>
      <c r="J132">
        <v>315.80951540470102</v>
      </c>
      <c r="K132">
        <v>315.33665912151298</v>
      </c>
      <c r="L132">
        <v>313.66754357814699</v>
      </c>
      <c r="M132">
        <v>317.76129631996099</v>
      </c>
      <c r="N132">
        <v>325.32899937629702</v>
      </c>
      <c r="O132">
        <v>316.172500538826</v>
      </c>
      <c r="P132">
        <v>305.755034255981</v>
      </c>
      <c r="Q132">
        <f t="shared" si="8"/>
        <v>314.28730974537945</v>
      </c>
      <c r="R132">
        <f>IF((Q132-E132)*(D132-E132)&gt;0, 1,0)</f>
        <v>0</v>
      </c>
      <c r="S132">
        <v>5.9388601679999997</v>
      </c>
      <c r="T132" s="1">
        <v>43098</v>
      </c>
      <c r="U132">
        <f>D132+1.65*S132</f>
        <v>335.44911965866902</v>
      </c>
      <c r="V132">
        <f>D132-1.65*S132</f>
        <v>315.85088110426898</v>
      </c>
      <c r="W132">
        <f t="shared" si="9"/>
        <v>314.28730974537945</v>
      </c>
      <c r="X132">
        <f t="shared" si="10"/>
        <v>0</v>
      </c>
      <c r="Y132">
        <f>IF(AND(C132&lt;U132, C132&gt;V132),1,0)</f>
        <v>1</v>
      </c>
      <c r="Z132">
        <f t="shared" si="11"/>
        <v>0</v>
      </c>
      <c r="AA132">
        <f>IF(AND(Y132=1,F132&gt;0), 1, 0)</f>
        <v>1</v>
      </c>
    </row>
    <row r="133" spans="1:27" x14ac:dyDescent="0.3">
      <c r="A133" s="1">
        <v>43010</v>
      </c>
      <c r="B133" s="1">
        <v>43101</v>
      </c>
      <c r="C133">
        <v>332.01461486816402</v>
      </c>
      <c r="D133">
        <v>325.650000381469</v>
      </c>
      <c r="E133">
        <v>314.3</v>
      </c>
      <c r="F133">
        <v>11.3500003814697</v>
      </c>
      <c r="G133">
        <v>17.714614868163999</v>
      </c>
      <c r="H133">
        <v>11.3500003814697</v>
      </c>
      <c r="I133">
        <v>314.571722793579</v>
      </c>
      <c r="J133">
        <v>315.408739852905</v>
      </c>
      <c r="K133">
        <v>309.57477169036798</v>
      </c>
      <c r="L133">
        <v>310.98309020995998</v>
      </c>
      <c r="M133">
        <v>312.87740151882099</v>
      </c>
      <c r="N133">
        <v>327.53379988670298</v>
      </c>
      <c r="O133">
        <v>317.73111848831098</v>
      </c>
      <c r="P133">
        <v>316.35052185058498</v>
      </c>
      <c r="Q133">
        <f t="shared" si="8"/>
        <v>313.92819520064705</v>
      </c>
      <c r="R133">
        <f>IF((Q133-E133)*(D133-E133)&gt;0, 1,0)</f>
        <v>0</v>
      </c>
      <c r="S133">
        <v>5.7707253989999998</v>
      </c>
      <c r="T133" s="1">
        <v>43101</v>
      </c>
      <c r="U133">
        <f>D133+1.65*S133</f>
        <v>335.17169728981901</v>
      </c>
      <c r="V133">
        <f>D133-1.65*S133</f>
        <v>316.12830347311899</v>
      </c>
      <c r="W133">
        <f t="shared" si="9"/>
        <v>313.92819520064705</v>
      </c>
      <c r="X133">
        <f t="shared" si="10"/>
        <v>0</v>
      </c>
      <c r="Y133">
        <f>IF(AND(C133&lt;U133, C133&gt;V133),1,0)</f>
        <v>1</v>
      </c>
      <c r="Z133">
        <f t="shared" si="11"/>
        <v>0</v>
      </c>
      <c r="AA133">
        <f>IF(AND(Y133=1,F133&gt;0), 1, 0)</f>
        <v>1</v>
      </c>
    </row>
    <row r="134" spans="1:27" x14ac:dyDescent="0.3">
      <c r="A134" s="1">
        <v>43011</v>
      </c>
      <c r="B134" s="1">
        <v>43102</v>
      </c>
      <c r="C134">
        <v>332.08050231933498</v>
      </c>
      <c r="D134">
        <v>326.49999980926498</v>
      </c>
      <c r="E134">
        <v>314.3</v>
      </c>
      <c r="F134">
        <v>12.199999809265099</v>
      </c>
      <c r="G134">
        <v>17.780502319335898</v>
      </c>
      <c r="H134">
        <v>12.199999809265099</v>
      </c>
      <c r="I134">
        <v>312.09171085357599</v>
      </c>
      <c r="J134">
        <v>315.923318076133</v>
      </c>
      <c r="K134">
        <v>307.28464012145997</v>
      </c>
      <c r="L134">
        <v>314.11985126435701</v>
      </c>
      <c r="M134">
        <v>312.42479853629999</v>
      </c>
      <c r="N134">
        <v>322.74731669425898</v>
      </c>
      <c r="O134">
        <v>321.80748872756902</v>
      </c>
      <c r="P134">
        <v>312.98533003330198</v>
      </c>
      <c r="Q134">
        <f t="shared" si="8"/>
        <v>313.80530537324239</v>
      </c>
      <c r="R134">
        <f>IF((Q134-E134)*(D134-E134)&gt;0, 1,0)</f>
        <v>0</v>
      </c>
      <c r="S134">
        <v>5.5926744240000001</v>
      </c>
      <c r="T134" s="1">
        <v>43102</v>
      </c>
      <c r="U134">
        <f>D134+1.65*S134</f>
        <v>335.72791260886498</v>
      </c>
      <c r="V134">
        <f>D134-1.65*S134</f>
        <v>317.27208700966497</v>
      </c>
      <c r="W134">
        <f t="shared" si="9"/>
        <v>313.80530537324239</v>
      </c>
      <c r="X134">
        <f t="shared" si="10"/>
        <v>0</v>
      </c>
      <c r="Y134">
        <f>IF(AND(C134&lt;U134, C134&gt;V134),1,0)</f>
        <v>1</v>
      </c>
      <c r="Z134">
        <f t="shared" si="11"/>
        <v>0</v>
      </c>
      <c r="AA134">
        <f>IF(AND(Y134=1,F134&gt;0), 1, 0)</f>
        <v>1</v>
      </c>
    </row>
    <row r="135" spans="1:27" x14ac:dyDescent="0.3">
      <c r="A135" s="1">
        <v>43012</v>
      </c>
      <c r="B135" s="1">
        <v>43103</v>
      </c>
      <c r="C135">
        <v>332.69867973327598</v>
      </c>
      <c r="D135">
        <v>327.69999961853</v>
      </c>
      <c r="E135">
        <v>314.3</v>
      </c>
      <c r="F135">
        <v>13.399999618530201</v>
      </c>
      <c r="G135">
        <v>18.3986797332763</v>
      </c>
      <c r="H135">
        <v>13.399999618530201</v>
      </c>
      <c r="I135">
        <v>311.83485155105501</v>
      </c>
      <c r="J135">
        <v>315.90932183265602</v>
      </c>
      <c r="K135">
        <v>306.17879562377902</v>
      </c>
      <c r="L135">
        <v>313.53615419864599</v>
      </c>
      <c r="M135">
        <v>312.73373334407802</v>
      </c>
      <c r="N135">
        <v>321.83456082046001</v>
      </c>
      <c r="O135">
        <v>322.38267116546598</v>
      </c>
      <c r="P135">
        <v>310.68700604438698</v>
      </c>
      <c r="Q135">
        <f t="shared" si="8"/>
        <v>313.32321910858099</v>
      </c>
      <c r="R135">
        <f>IF((Q135-E135)*(D135-E135)&gt;0, 1,0)</f>
        <v>0</v>
      </c>
      <c r="S135">
        <v>5.405970924</v>
      </c>
      <c r="T135" s="1">
        <v>43103</v>
      </c>
      <c r="U135">
        <f>D135+1.65*S135</f>
        <v>336.61985164313</v>
      </c>
      <c r="V135">
        <f>D135-1.65*S135</f>
        <v>318.78014759393</v>
      </c>
      <c r="W135">
        <f t="shared" si="9"/>
        <v>313.32321910858099</v>
      </c>
      <c r="X135">
        <f t="shared" si="10"/>
        <v>0</v>
      </c>
      <c r="Y135">
        <f>IF(AND(C135&lt;U135, C135&gt;V135),1,0)</f>
        <v>1</v>
      </c>
      <c r="Z135">
        <f t="shared" si="11"/>
        <v>0</v>
      </c>
      <c r="AA135">
        <f>IF(AND(Y135=1,F135&gt;0), 1, 0)</f>
        <v>1</v>
      </c>
    </row>
    <row r="136" spans="1:27" x14ac:dyDescent="0.3">
      <c r="A136" s="1">
        <v>43013</v>
      </c>
      <c r="B136" s="1">
        <v>43104</v>
      </c>
      <c r="C136">
        <v>331.455023574829</v>
      </c>
      <c r="D136">
        <v>324.99999980926498</v>
      </c>
      <c r="E136">
        <v>314.3</v>
      </c>
      <c r="F136">
        <v>10.699999809265099</v>
      </c>
      <c r="G136">
        <v>17.155023574829102</v>
      </c>
      <c r="H136">
        <v>10.699999809265099</v>
      </c>
      <c r="I136">
        <v>312.43930881023402</v>
      </c>
      <c r="J136">
        <v>315.84358196258501</v>
      </c>
      <c r="K136">
        <v>308.72823410034101</v>
      </c>
      <c r="L136">
        <v>314.02281214594802</v>
      </c>
      <c r="M136">
        <v>312.67492561340299</v>
      </c>
      <c r="N136">
        <v>324.74261636734002</v>
      </c>
      <c r="O136">
        <v>323.46952419281001</v>
      </c>
      <c r="P136">
        <v>310.46139554977401</v>
      </c>
      <c r="Q136">
        <f t="shared" si="8"/>
        <v>313.94854033929931</v>
      </c>
      <c r="R136">
        <f>IF((Q136-E136)*(D136-E136)&gt;0, 1,0)</f>
        <v>0</v>
      </c>
      <c r="S136">
        <v>5.2030187239999997</v>
      </c>
      <c r="T136" s="1">
        <v>43104</v>
      </c>
      <c r="U136">
        <f>D136+1.65*S136</f>
        <v>333.58498070386497</v>
      </c>
      <c r="V136">
        <f>D136-1.65*S136</f>
        <v>316.41501891466498</v>
      </c>
      <c r="W136">
        <f t="shared" si="9"/>
        <v>313.94854033929931</v>
      </c>
      <c r="X136">
        <f t="shared" si="10"/>
        <v>0</v>
      </c>
      <c r="Y136">
        <f>IF(AND(C136&lt;U136, C136&gt;V136),1,0)</f>
        <v>1</v>
      </c>
      <c r="Z136">
        <f t="shared" si="11"/>
        <v>0</v>
      </c>
      <c r="AA136">
        <f>IF(AND(Y136=1,F136&gt;0), 1, 0)</f>
        <v>1</v>
      </c>
    </row>
    <row r="137" spans="1:27" x14ac:dyDescent="0.3">
      <c r="A137" s="1">
        <v>43014</v>
      </c>
      <c r="B137" s="1">
        <v>43105</v>
      </c>
      <c r="C137">
        <v>330.26298885345398</v>
      </c>
      <c r="D137">
        <v>328.94999961853</v>
      </c>
      <c r="E137">
        <v>314.3</v>
      </c>
      <c r="F137">
        <v>14.649999618530201</v>
      </c>
      <c r="G137">
        <v>15.962988853454499</v>
      </c>
      <c r="H137">
        <v>14.649999618530201</v>
      </c>
      <c r="I137">
        <v>312.29950361251798</v>
      </c>
      <c r="J137">
        <v>315.580561566352</v>
      </c>
      <c r="K137">
        <v>312.74347560405698</v>
      </c>
      <c r="L137">
        <v>313.67953871488498</v>
      </c>
      <c r="M137">
        <v>313.53801147937702</v>
      </c>
      <c r="N137">
        <v>319.21791758537199</v>
      </c>
      <c r="O137">
        <v>320.53650550842201</v>
      </c>
      <c r="P137">
        <v>314.43846504688202</v>
      </c>
      <c r="Q137">
        <f t="shared" si="8"/>
        <v>314.68800879035609</v>
      </c>
      <c r="R137">
        <f>IF((Q137-E137)*(D137-E137)&gt;0, 1,0)</f>
        <v>1</v>
      </c>
      <c r="S137">
        <v>4.9938311710000001</v>
      </c>
      <c r="T137" s="1">
        <v>43105</v>
      </c>
      <c r="U137">
        <f>D137+1.65*S137</f>
        <v>337.18982105068</v>
      </c>
      <c r="V137">
        <f>D137-1.65*S137</f>
        <v>320.71017818638001</v>
      </c>
      <c r="W137">
        <f t="shared" si="9"/>
        <v>314.68800879035609</v>
      </c>
      <c r="X137">
        <f t="shared" si="10"/>
        <v>0</v>
      </c>
      <c r="Y137">
        <f>IF(AND(C137&lt;U137, C137&gt;V137),1,0)</f>
        <v>1</v>
      </c>
      <c r="Z137">
        <f t="shared" si="11"/>
        <v>0</v>
      </c>
      <c r="AA137">
        <f>IF(AND(Y137=1,F137&gt;0), 1, 0)</f>
        <v>1</v>
      </c>
    </row>
    <row r="138" spans="1:27" x14ac:dyDescent="0.3">
      <c r="A138" s="1">
        <v>43017</v>
      </c>
      <c r="B138" s="1">
        <v>43108</v>
      </c>
      <c r="C138">
        <v>329.10200195312501</v>
      </c>
      <c r="D138">
        <v>331.25000076293901</v>
      </c>
      <c r="E138">
        <v>314.3</v>
      </c>
      <c r="F138">
        <v>16.9500007629394</v>
      </c>
      <c r="G138">
        <v>14.802001953125</v>
      </c>
      <c r="H138">
        <v>16.9500007629394</v>
      </c>
      <c r="I138">
        <v>311.36216144561701</v>
      </c>
      <c r="J138">
        <v>315.186049866676</v>
      </c>
      <c r="K138">
        <v>311.46573262214599</v>
      </c>
      <c r="L138">
        <v>313.64307378530498</v>
      </c>
      <c r="M138">
        <v>313.905523049831</v>
      </c>
      <c r="N138">
        <v>322.89625394344301</v>
      </c>
      <c r="O138">
        <v>321.74649314880298</v>
      </c>
      <c r="P138">
        <v>311.01861577033998</v>
      </c>
      <c r="Q138">
        <f t="shared" si="8"/>
        <v>314.04680709838834</v>
      </c>
      <c r="R138">
        <f>IF((Q138-E138)*(D138-E138)&gt;0, 1,0)</f>
        <v>0</v>
      </c>
      <c r="S138">
        <v>4.790699247</v>
      </c>
      <c r="T138" s="1">
        <v>43108</v>
      </c>
      <c r="U138">
        <f>D138+1.65*S138</f>
        <v>339.15465452048903</v>
      </c>
      <c r="V138">
        <f>D138-1.65*S138</f>
        <v>323.34534700538899</v>
      </c>
      <c r="W138">
        <f t="shared" si="9"/>
        <v>314.04680709838834</v>
      </c>
      <c r="X138">
        <f t="shared" si="10"/>
        <v>0</v>
      </c>
      <c r="Y138">
        <f>IF(AND(C138&lt;U138, C138&gt;V138),1,0)</f>
        <v>1</v>
      </c>
      <c r="Z138">
        <f t="shared" si="11"/>
        <v>0</v>
      </c>
      <c r="AA138">
        <f>IF(AND(Y138=1,F138&gt;0), 1, 0)</f>
        <v>1</v>
      </c>
    </row>
    <row r="139" spans="1:27" x14ac:dyDescent="0.3">
      <c r="A139" s="1">
        <v>43018</v>
      </c>
      <c r="B139" s="1">
        <v>43109</v>
      </c>
      <c r="C139">
        <v>331.401578330993</v>
      </c>
      <c r="D139">
        <v>330.45000019073399</v>
      </c>
      <c r="E139">
        <v>320.14999999999998</v>
      </c>
      <c r="F139">
        <v>10.300000190734799</v>
      </c>
      <c r="G139">
        <v>11.251578330993601</v>
      </c>
      <c r="H139">
        <v>10.300000190734799</v>
      </c>
      <c r="I139">
        <v>318.59249570369701</v>
      </c>
      <c r="J139">
        <v>320.654294157028</v>
      </c>
      <c r="K139">
        <v>317.74243369102402</v>
      </c>
      <c r="L139">
        <v>320.33201869726099</v>
      </c>
      <c r="M139">
        <v>316.31117453575098</v>
      </c>
      <c r="N139">
        <v>320.55483257472503</v>
      </c>
      <c r="O139">
        <v>322.50698819160402</v>
      </c>
      <c r="P139">
        <v>316.17277207374502</v>
      </c>
      <c r="Q139">
        <f t="shared" si="8"/>
        <v>318.90173957858718</v>
      </c>
      <c r="R139">
        <f>IF((Q139-E139)*(D139-E139)&gt;0, 1,0)</f>
        <v>0</v>
      </c>
      <c r="S139">
        <v>4.7421819520000001</v>
      </c>
      <c r="T139" s="1">
        <v>43109</v>
      </c>
      <c r="U139">
        <f>D139+1.65*S139</f>
        <v>338.27460041153398</v>
      </c>
      <c r="V139">
        <f>D139-1.65*S139</f>
        <v>322.62539996993399</v>
      </c>
      <c r="W139">
        <f t="shared" si="9"/>
        <v>318.90173957858718</v>
      </c>
      <c r="X139">
        <f t="shared" si="10"/>
        <v>0</v>
      </c>
      <c r="Y139">
        <f>IF(AND(C139&lt;U139, C139&gt;V139),1,0)</f>
        <v>1</v>
      </c>
      <c r="Z139">
        <f t="shared" si="11"/>
        <v>0</v>
      </c>
      <c r="AA139">
        <f>IF(AND(Y139=1,F139&gt;0), 1, 0)</f>
        <v>1</v>
      </c>
    </row>
    <row r="140" spans="1:27" x14ac:dyDescent="0.3">
      <c r="A140" s="1">
        <v>43019</v>
      </c>
      <c r="B140" s="1">
        <v>43110</v>
      </c>
      <c r="C140">
        <v>335.93806743621798</v>
      </c>
      <c r="D140">
        <v>327.849999904632</v>
      </c>
      <c r="E140">
        <v>323.25</v>
      </c>
      <c r="F140">
        <v>4.5999999046325604</v>
      </c>
      <c r="G140">
        <v>12.6880674362182</v>
      </c>
      <c r="H140">
        <v>4.5999999046325604</v>
      </c>
      <c r="I140">
        <v>321.502436041831</v>
      </c>
      <c r="J140">
        <v>322.61164826154697</v>
      </c>
      <c r="K140">
        <v>321.08751368522599</v>
      </c>
      <c r="L140">
        <v>320.80730247497502</v>
      </c>
      <c r="M140">
        <v>319.048824310302</v>
      </c>
      <c r="N140">
        <v>319.63889608383101</v>
      </c>
      <c r="O140">
        <v>326.04870963096602</v>
      </c>
      <c r="P140">
        <v>319.72825169563203</v>
      </c>
      <c r="Q140">
        <f t="shared" si="8"/>
        <v>321.54781230006841</v>
      </c>
      <c r="R140">
        <f>IF((Q140-E140)*(D140-E140)&gt;0, 1,0)</f>
        <v>0</v>
      </c>
      <c r="S140">
        <v>4.7224139489999999</v>
      </c>
      <c r="T140" s="1">
        <v>43110</v>
      </c>
      <c r="U140">
        <f>D140+1.65*S140</f>
        <v>335.64198292048201</v>
      </c>
      <c r="V140">
        <f>D140-1.65*S140</f>
        <v>320.05801688878199</v>
      </c>
      <c r="W140">
        <f t="shared" si="9"/>
        <v>321.54781230006841</v>
      </c>
      <c r="X140">
        <f t="shared" si="10"/>
        <v>1</v>
      </c>
      <c r="Y140">
        <f>IF(AND(C140&lt;U140, C140&gt;V140),1,0)</f>
        <v>0</v>
      </c>
      <c r="Z140">
        <f t="shared" si="11"/>
        <v>0</v>
      </c>
      <c r="AA140">
        <f>IF(AND(Y140=1,F140&gt;0), 1, 0)</f>
        <v>0</v>
      </c>
    </row>
    <row r="141" spans="1:27" x14ac:dyDescent="0.3">
      <c r="A141" s="1">
        <v>43020</v>
      </c>
      <c r="B141" s="1">
        <v>43111</v>
      </c>
      <c r="C141">
        <v>339.90955295562702</v>
      </c>
      <c r="D141">
        <v>326.50000002384098</v>
      </c>
      <c r="E141">
        <v>325.64999999999998</v>
      </c>
      <c r="F141">
        <v>0.85000002384185702</v>
      </c>
      <c r="G141">
        <v>14.259552955627401</v>
      </c>
      <c r="H141">
        <v>0.85000002384185702</v>
      </c>
      <c r="I141">
        <v>323.84086897373197</v>
      </c>
      <c r="J141">
        <v>326.07385083436901</v>
      </c>
      <c r="K141">
        <v>324.14586200714098</v>
      </c>
      <c r="L141">
        <v>318.72512331008897</v>
      </c>
      <c r="M141">
        <v>316.637709999084</v>
      </c>
      <c r="N141">
        <v>323.675812768936</v>
      </c>
      <c r="O141">
        <v>324.24526610374397</v>
      </c>
      <c r="P141">
        <v>319.562652492523</v>
      </c>
      <c r="Q141">
        <f t="shared" si="8"/>
        <v>321.890190531526</v>
      </c>
      <c r="R141">
        <f>IF((Q141-E141)*(D141-E141)&gt;0, 1,0)</f>
        <v>0</v>
      </c>
      <c r="S141">
        <v>4.7201115590000002</v>
      </c>
      <c r="T141" s="1">
        <v>43111</v>
      </c>
      <c r="U141">
        <f>D141+1.65*S141</f>
        <v>334.288184096191</v>
      </c>
      <c r="V141">
        <f>D141-1.65*S141</f>
        <v>318.71181595149096</v>
      </c>
      <c r="W141">
        <f t="shared" si="9"/>
        <v>321.890190531526</v>
      </c>
      <c r="X141">
        <f t="shared" si="10"/>
        <v>1</v>
      </c>
      <c r="Y141">
        <f>IF(AND(C141&lt;U141, C141&gt;V141),1,0)</f>
        <v>0</v>
      </c>
      <c r="Z141">
        <f t="shared" si="11"/>
        <v>0</v>
      </c>
      <c r="AA141">
        <f>IF(AND(Y141=1,F141&gt;0), 1, 0)</f>
        <v>0</v>
      </c>
    </row>
    <row r="142" spans="1:27" x14ac:dyDescent="0.3">
      <c r="A142" s="1">
        <v>43021</v>
      </c>
      <c r="B142" s="1">
        <v>43112</v>
      </c>
      <c r="C142">
        <v>333.690542984008</v>
      </c>
      <c r="D142">
        <v>326.84999995231601</v>
      </c>
      <c r="E142">
        <v>325.3</v>
      </c>
      <c r="F142">
        <v>1.54999995231628</v>
      </c>
      <c r="G142">
        <v>8.3905429840087802</v>
      </c>
      <c r="H142">
        <v>1.54999995231628</v>
      </c>
      <c r="I142">
        <v>320.85043506622299</v>
      </c>
      <c r="J142">
        <v>325.25382925868001</v>
      </c>
      <c r="K142">
        <v>322.75545649528499</v>
      </c>
      <c r="L142">
        <v>323.09657983779903</v>
      </c>
      <c r="M142">
        <v>318.55197410583497</v>
      </c>
      <c r="N142">
        <v>322.76901255548</v>
      </c>
      <c r="O142">
        <v>323.38684897422701</v>
      </c>
      <c r="P142">
        <v>322.62533049583402</v>
      </c>
      <c r="Q142">
        <f t="shared" si="8"/>
        <v>322.36006489055472</v>
      </c>
      <c r="R142">
        <f>IF((Q142-E142)*(D142-E142)&gt;0, 1,0)</f>
        <v>0</v>
      </c>
      <c r="S142">
        <v>4.7158153760000001</v>
      </c>
      <c r="T142" s="1">
        <v>43112</v>
      </c>
      <c r="U142">
        <f>D142+1.65*S142</f>
        <v>334.63109532271602</v>
      </c>
      <c r="V142">
        <f>D142-1.65*S142</f>
        <v>319.068904581916</v>
      </c>
      <c r="W142">
        <f t="shared" si="9"/>
        <v>322.36006489055472</v>
      </c>
      <c r="X142">
        <f t="shared" si="10"/>
        <v>1</v>
      </c>
      <c r="Y142">
        <f>IF(AND(C142&lt;U142, C142&gt;V142),1,0)</f>
        <v>1</v>
      </c>
      <c r="Z142">
        <f t="shared" si="11"/>
        <v>0</v>
      </c>
      <c r="AA142">
        <f>IF(AND(Y142=1,F142&gt;0), 1, 0)</f>
        <v>1</v>
      </c>
    </row>
    <row r="143" spans="1:27" x14ac:dyDescent="0.3">
      <c r="A143" s="1">
        <v>43024</v>
      </c>
      <c r="B143" s="1">
        <v>43115</v>
      </c>
      <c r="C143">
        <v>329.51969194412197</v>
      </c>
      <c r="D143">
        <v>327.299999952316</v>
      </c>
      <c r="E143">
        <v>325.5</v>
      </c>
      <c r="F143">
        <v>1.79999995231628</v>
      </c>
      <c r="G143">
        <v>4.01969194412231</v>
      </c>
      <c r="H143">
        <v>1.79999995231628</v>
      </c>
      <c r="I143">
        <v>321.84319400787302</v>
      </c>
      <c r="J143">
        <v>323.93363356590203</v>
      </c>
      <c r="K143">
        <v>322.43626356124798</v>
      </c>
      <c r="L143">
        <v>324.398141860961</v>
      </c>
      <c r="M143">
        <v>320.90051984786902</v>
      </c>
      <c r="N143">
        <v>328.52905359268101</v>
      </c>
      <c r="O143">
        <v>322.023930311203</v>
      </c>
      <c r="P143">
        <v>324.86840462684597</v>
      </c>
      <c r="Q143">
        <f t="shared" si="8"/>
        <v>322.91486968312887</v>
      </c>
      <c r="R143">
        <f>IF((Q143-E143)*(D143-E143)&gt;0, 1,0)</f>
        <v>0</v>
      </c>
      <c r="S143">
        <v>4.712607502</v>
      </c>
      <c r="T143" s="1">
        <v>43115</v>
      </c>
      <c r="U143">
        <f>D143+1.65*S143</f>
        <v>335.075802330616</v>
      </c>
      <c r="V143">
        <f>D143-1.65*S143</f>
        <v>319.524197574016</v>
      </c>
      <c r="W143">
        <f t="shared" si="9"/>
        <v>322.91486968312887</v>
      </c>
      <c r="X143">
        <f t="shared" si="10"/>
        <v>1</v>
      </c>
      <c r="Y143">
        <f>IF(AND(C143&lt;U143, C143&gt;V143),1,0)</f>
        <v>1</v>
      </c>
      <c r="Z143">
        <f t="shared" si="11"/>
        <v>0</v>
      </c>
      <c r="AA143">
        <f>IF(AND(Y143=1,F143&gt;0), 1, 0)</f>
        <v>1</v>
      </c>
    </row>
    <row r="144" spans="1:27" x14ac:dyDescent="0.3">
      <c r="A144" s="1">
        <v>43025</v>
      </c>
      <c r="B144" s="1">
        <v>43116</v>
      </c>
      <c r="C144">
        <v>324.39057962894401</v>
      </c>
      <c r="D144">
        <v>330.49999980926498</v>
      </c>
      <c r="E144">
        <v>325.8</v>
      </c>
      <c r="F144">
        <v>-4.6999998092651296</v>
      </c>
      <c r="G144">
        <v>-1.4094203710555999</v>
      </c>
      <c r="H144">
        <v>4.6999998092651296</v>
      </c>
      <c r="I144">
        <v>324.94998048543903</v>
      </c>
      <c r="J144">
        <v>325.99093427062002</v>
      </c>
      <c r="K144">
        <v>324.60763399600899</v>
      </c>
      <c r="L144">
        <v>326.536641705036</v>
      </c>
      <c r="M144">
        <v>323.61903004646302</v>
      </c>
      <c r="N144">
        <v>330.486976242065</v>
      </c>
      <c r="O144">
        <v>323.67503647804199</v>
      </c>
      <c r="P144">
        <v>323.73426752090398</v>
      </c>
      <c r="Q144">
        <f t="shared" si="8"/>
        <v>324.73050350035902</v>
      </c>
      <c r="R144">
        <f>IF((Q144-E144)*(D144-E144)&gt;0, 1,0)</f>
        <v>0</v>
      </c>
      <c r="S144">
        <v>4.7306853010000003</v>
      </c>
      <c r="T144" s="1">
        <v>43116</v>
      </c>
      <c r="U144">
        <f>D144+1.65*S144</f>
        <v>338.305630555915</v>
      </c>
      <c r="V144">
        <f>D144-1.65*S144</f>
        <v>322.69436906261495</v>
      </c>
      <c r="W144">
        <f t="shared" si="9"/>
        <v>324.73050350035902</v>
      </c>
      <c r="X144">
        <f t="shared" si="10"/>
        <v>1</v>
      </c>
      <c r="Y144">
        <f>IF(AND(C144&lt;U144, C144&gt;V144),1,0)</f>
        <v>1</v>
      </c>
      <c r="Z144">
        <f t="shared" si="11"/>
        <v>0</v>
      </c>
      <c r="AA144">
        <f>IF(AND(Y144=1,F144&gt;0), 1, 0)</f>
        <v>0</v>
      </c>
    </row>
    <row r="145" spans="1:27" x14ac:dyDescent="0.3">
      <c r="A145" s="1">
        <v>43026</v>
      </c>
      <c r="B145" s="1">
        <v>43117</v>
      </c>
      <c r="C145">
        <v>324.55561373233797</v>
      </c>
      <c r="D145">
        <v>329.19999990463202</v>
      </c>
      <c r="E145">
        <v>325.85000000000002</v>
      </c>
      <c r="F145">
        <v>-3.3499999046325599</v>
      </c>
      <c r="G145">
        <v>-1.2943862676620399</v>
      </c>
      <c r="H145">
        <v>3.3499999046325599</v>
      </c>
      <c r="I145">
        <v>324.648201441764</v>
      </c>
      <c r="J145">
        <v>326.58780637979498</v>
      </c>
      <c r="K145">
        <v>324.36358723640399</v>
      </c>
      <c r="L145">
        <v>326.80590770244601</v>
      </c>
      <c r="M145">
        <v>323.69462237357999</v>
      </c>
      <c r="N145">
        <v>329.09522466659502</v>
      </c>
      <c r="O145">
        <v>323.29273042678801</v>
      </c>
      <c r="P145">
        <v>323.69991955757098</v>
      </c>
      <c r="Q145">
        <f t="shared" si="8"/>
        <v>324.72753930262115</v>
      </c>
      <c r="R145">
        <f>IF((Q145-E145)*(D145-E145)&gt;0, 1,0)</f>
        <v>0</v>
      </c>
      <c r="S145">
        <v>4.7359423810000001</v>
      </c>
      <c r="T145" s="1">
        <v>43117</v>
      </c>
      <c r="U145">
        <f>D145+1.65*S145</f>
        <v>337.01430483328204</v>
      </c>
      <c r="V145">
        <f>D145-1.65*S145</f>
        <v>321.38569497598201</v>
      </c>
      <c r="W145">
        <f t="shared" si="9"/>
        <v>324.72753930262115</v>
      </c>
      <c r="X145">
        <f t="shared" si="10"/>
        <v>1</v>
      </c>
      <c r="Y145">
        <f>IF(AND(C145&lt;U145, C145&gt;V145),1,0)</f>
        <v>1</v>
      </c>
      <c r="Z145">
        <f t="shared" si="11"/>
        <v>0</v>
      </c>
      <c r="AA145">
        <f>IF(AND(Y145=1,F145&gt;0), 1, 0)</f>
        <v>0</v>
      </c>
    </row>
    <row r="146" spans="1:27" x14ac:dyDescent="0.3">
      <c r="A146" s="1">
        <v>43027</v>
      </c>
      <c r="B146" s="1">
        <v>43118</v>
      </c>
      <c r="C146">
        <v>327.30818257331799</v>
      </c>
      <c r="D146">
        <v>329.40000019073398</v>
      </c>
      <c r="E146">
        <v>324.10000000000002</v>
      </c>
      <c r="F146">
        <v>5.3000001907348597</v>
      </c>
      <c r="G146">
        <v>3.2081825733184801</v>
      </c>
      <c r="H146">
        <v>5.3000001907348597</v>
      </c>
      <c r="I146">
        <v>324.62403634786602</v>
      </c>
      <c r="J146">
        <v>325.00677154064101</v>
      </c>
      <c r="K146">
        <v>326.266259050369</v>
      </c>
      <c r="L146">
        <v>323.43973324298798</v>
      </c>
      <c r="M146">
        <v>325.053219294548</v>
      </c>
      <c r="N146">
        <v>324.908259010314</v>
      </c>
      <c r="O146">
        <v>324.95038942098603</v>
      </c>
      <c r="P146">
        <v>321.29758749008101</v>
      </c>
      <c r="Q146">
        <f t="shared" si="8"/>
        <v>324.37685662678268</v>
      </c>
      <c r="R146">
        <f>IF((Q146-E146)*(D146-E146)&gt;0, 1,0)</f>
        <v>1</v>
      </c>
      <c r="S146">
        <v>4.7295354959999996</v>
      </c>
      <c r="T146" s="1">
        <v>43118</v>
      </c>
      <c r="U146">
        <f>D146+1.65*S146</f>
        <v>337.20373375913397</v>
      </c>
      <c r="V146">
        <f>D146-1.65*S146</f>
        <v>321.59626662233399</v>
      </c>
      <c r="W146">
        <f t="shared" si="9"/>
        <v>324.37685662678268</v>
      </c>
      <c r="X146">
        <f t="shared" si="10"/>
        <v>1</v>
      </c>
      <c r="Y146">
        <f>IF(AND(C146&lt;U146, C146&gt;V146),1,0)</f>
        <v>1</v>
      </c>
      <c r="Z146">
        <f t="shared" si="11"/>
        <v>1</v>
      </c>
      <c r="AA146">
        <f>IF(AND(Y146=1,F146&gt;0), 1, 0)</f>
        <v>1</v>
      </c>
    </row>
    <row r="147" spans="1:27" x14ac:dyDescent="0.3">
      <c r="A147" s="1">
        <v>43028</v>
      </c>
      <c r="B147" s="1">
        <v>43119</v>
      </c>
      <c r="C147">
        <v>328.86288380622801</v>
      </c>
      <c r="D147">
        <v>329.599999904632</v>
      </c>
      <c r="E147">
        <v>326.25</v>
      </c>
      <c r="F147">
        <v>3.3499999046325599</v>
      </c>
      <c r="G147">
        <v>2.6128838062286301</v>
      </c>
      <c r="H147">
        <v>3.3499999046325599</v>
      </c>
      <c r="I147">
        <v>329.67673921584998</v>
      </c>
      <c r="J147">
        <v>328.098121523857</v>
      </c>
      <c r="K147">
        <v>325.01986694335898</v>
      </c>
      <c r="L147">
        <v>327.22664129734</v>
      </c>
      <c r="M147">
        <v>323.72057938575699</v>
      </c>
      <c r="N147">
        <v>321.91257858276299</v>
      </c>
      <c r="O147">
        <v>322.08162069320599</v>
      </c>
      <c r="P147">
        <v>325.20483613014198</v>
      </c>
      <c r="Q147">
        <f t="shared" si="8"/>
        <v>325.86120074135863</v>
      </c>
      <c r="R147">
        <f>IF((Q147-E147)*(D147-E147)&gt;0, 1,0)</f>
        <v>0</v>
      </c>
      <c r="S147">
        <v>4.7377438029999999</v>
      </c>
      <c r="T147" s="1">
        <v>43119</v>
      </c>
      <c r="U147">
        <f>D147+1.65*S147</f>
        <v>337.41727717958202</v>
      </c>
      <c r="V147">
        <f>D147-1.65*S147</f>
        <v>321.78272262968198</v>
      </c>
      <c r="W147">
        <f t="shared" si="9"/>
        <v>325.86120074135863</v>
      </c>
      <c r="X147">
        <f t="shared" si="10"/>
        <v>1</v>
      </c>
      <c r="Y147">
        <f>IF(AND(C147&lt;U147, C147&gt;V147),1,0)</f>
        <v>1</v>
      </c>
      <c r="Z147">
        <f t="shared" si="11"/>
        <v>0</v>
      </c>
      <c r="AA147">
        <f>IF(AND(Y147=1,F147&gt;0), 1, 0)</f>
        <v>1</v>
      </c>
    </row>
    <row r="148" spans="1:27" x14ac:dyDescent="0.3">
      <c r="A148" s="1">
        <v>43031</v>
      </c>
      <c r="B148" s="1">
        <v>43122</v>
      </c>
      <c r="C148">
        <v>324.07864193916299</v>
      </c>
      <c r="D148">
        <v>326.24999998807903</v>
      </c>
      <c r="E148">
        <v>327.05</v>
      </c>
      <c r="F148">
        <v>0.80000001192092896</v>
      </c>
      <c r="G148">
        <v>-2.9713580608367902</v>
      </c>
      <c r="H148">
        <v>-0.80000001192092896</v>
      </c>
      <c r="I148">
        <v>328.32435910701702</v>
      </c>
      <c r="J148">
        <v>329.82770328521701</v>
      </c>
      <c r="K148">
        <v>324.02026181220998</v>
      </c>
      <c r="L148">
        <v>327.361092197895</v>
      </c>
      <c r="M148">
        <v>326.68341853022503</v>
      </c>
      <c r="N148">
        <v>322.251794099807</v>
      </c>
      <c r="O148">
        <v>321.17660217285101</v>
      </c>
      <c r="P148">
        <v>324.315368938446</v>
      </c>
      <c r="Q148">
        <f t="shared" si="8"/>
        <v>325.95840086340871</v>
      </c>
      <c r="R148">
        <f>IF((Q148-E148)*(D148-E148)&gt;0, 1,0)</f>
        <v>1</v>
      </c>
      <c r="S148">
        <v>4.7392007810000001</v>
      </c>
      <c r="T148" s="1">
        <v>43122</v>
      </c>
      <c r="U148">
        <f>D148+1.65*S148</f>
        <v>334.069681276729</v>
      </c>
      <c r="V148">
        <f>D148-1.65*S148</f>
        <v>318.43031869942905</v>
      </c>
      <c r="W148">
        <f t="shared" si="9"/>
        <v>325.95840086340871</v>
      </c>
      <c r="X148">
        <f t="shared" si="10"/>
        <v>1</v>
      </c>
      <c r="Y148">
        <f>IF(AND(C148&lt;U148, C148&gt;V148),1,0)</f>
        <v>1</v>
      </c>
      <c r="Z148">
        <f t="shared" si="11"/>
        <v>1</v>
      </c>
      <c r="AA148">
        <f>IF(AND(Y148=1,F148&gt;0), 1, 0)</f>
        <v>1</v>
      </c>
    </row>
    <row r="149" spans="1:27" x14ac:dyDescent="0.3">
      <c r="A149" s="1">
        <v>43032</v>
      </c>
      <c r="B149" s="1">
        <v>43123</v>
      </c>
      <c r="C149">
        <v>328.16420416831897</v>
      </c>
      <c r="D149">
        <v>331.24999980926498</v>
      </c>
      <c r="E149">
        <v>326.55</v>
      </c>
      <c r="F149">
        <v>4.6999998092651296</v>
      </c>
      <c r="G149">
        <v>1.6142041683196999</v>
      </c>
      <c r="H149">
        <v>4.6999998092651296</v>
      </c>
      <c r="I149">
        <v>327.54084055423698</v>
      </c>
      <c r="J149">
        <v>328.12694447040502</v>
      </c>
      <c r="K149">
        <v>325.93280528783799</v>
      </c>
      <c r="L149">
        <v>329.25229148864702</v>
      </c>
      <c r="M149">
        <v>324.98950831890102</v>
      </c>
      <c r="N149">
        <v>321.71581907272298</v>
      </c>
      <c r="O149">
        <v>329.99650673866199</v>
      </c>
      <c r="P149">
        <v>322.14324836730901</v>
      </c>
      <c r="Q149">
        <f t="shared" si="8"/>
        <v>326.85459217514273</v>
      </c>
      <c r="R149">
        <f>IF((Q149-E149)*(D149-E149)&gt;0, 1,0)</f>
        <v>1</v>
      </c>
      <c r="S149">
        <v>4.7649728590000002</v>
      </c>
      <c r="T149" s="1">
        <v>43123</v>
      </c>
      <c r="U149">
        <f>D149+1.65*S149</f>
        <v>339.11220502661496</v>
      </c>
      <c r="V149">
        <f>D149-1.65*S149</f>
        <v>323.387794591915</v>
      </c>
      <c r="W149">
        <f t="shared" si="9"/>
        <v>326.85459217514273</v>
      </c>
      <c r="X149">
        <f t="shared" si="10"/>
        <v>1</v>
      </c>
      <c r="Y149">
        <f>IF(AND(C149&lt;U149, C149&gt;V149),1,0)</f>
        <v>1</v>
      </c>
      <c r="Z149">
        <f t="shared" si="11"/>
        <v>1</v>
      </c>
      <c r="AA149">
        <f>IF(AND(Y149=1,F149&gt;0), 1, 0)</f>
        <v>1</v>
      </c>
    </row>
    <row r="150" spans="1:27" x14ac:dyDescent="0.3">
      <c r="A150" s="1">
        <v>43033</v>
      </c>
      <c r="B150" s="1">
        <v>43124</v>
      </c>
      <c r="C150">
        <v>331.263512134552</v>
      </c>
      <c r="D150">
        <v>331.599999904632</v>
      </c>
      <c r="E150">
        <v>326.75</v>
      </c>
      <c r="F150">
        <v>4.8499999046325604</v>
      </c>
      <c r="G150">
        <v>4.5135121345520002</v>
      </c>
      <c r="H150">
        <v>4.8499999046325604</v>
      </c>
      <c r="I150">
        <v>328.03552734851797</v>
      </c>
      <c r="J150">
        <v>328.41009593009898</v>
      </c>
      <c r="K150">
        <v>322.40392351150501</v>
      </c>
      <c r="L150">
        <v>328.667214989662</v>
      </c>
      <c r="M150">
        <v>326.01672774553299</v>
      </c>
      <c r="N150">
        <v>325.22419233322103</v>
      </c>
      <c r="O150">
        <v>327.66055244207303</v>
      </c>
      <c r="P150">
        <v>324.32986497879</v>
      </c>
      <c r="Q150">
        <f t="shared" si="8"/>
        <v>326.50341527802573</v>
      </c>
      <c r="R150">
        <f>IF((Q150-E150)*(D150-E150)&gt;0, 1,0)</f>
        <v>0</v>
      </c>
      <c r="S150">
        <v>4.7946086010000002</v>
      </c>
      <c r="T150" s="1">
        <v>43124</v>
      </c>
      <c r="U150">
        <f>D150+1.65*S150</f>
        <v>339.511104096282</v>
      </c>
      <c r="V150">
        <f>D150-1.65*S150</f>
        <v>323.688895712982</v>
      </c>
      <c r="W150">
        <f t="shared" si="9"/>
        <v>326.50341527802573</v>
      </c>
      <c r="X150">
        <f t="shared" si="10"/>
        <v>1</v>
      </c>
      <c r="Y150">
        <f>IF(AND(C150&lt;U150, C150&gt;V150),1,0)</f>
        <v>1</v>
      </c>
      <c r="Z150">
        <f t="shared" si="11"/>
        <v>0</v>
      </c>
      <c r="AA150">
        <f>IF(AND(Y150=1,F150&gt;0), 1, 0)</f>
        <v>1</v>
      </c>
    </row>
    <row r="151" spans="1:27" x14ac:dyDescent="0.3">
      <c r="A151" s="1">
        <v>43034</v>
      </c>
      <c r="B151" s="1">
        <v>43125</v>
      </c>
      <c r="C151">
        <v>333.23170852661099</v>
      </c>
      <c r="D151">
        <v>334.30000019073401</v>
      </c>
      <c r="E151">
        <v>323.75</v>
      </c>
      <c r="F151">
        <v>10.550000190734799</v>
      </c>
      <c r="G151">
        <v>9.4817085266113192</v>
      </c>
      <c r="H151">
        <v>10.550000190734799</v>
      </c>
      <c r="I151">
        <v>326.55249905586197</v>
      </c>
      <c r="J151">
        <v>325.97950577735901</v>
      </c>
      <c r="K151">
        <v>323.41151148080797</v>
      </c>
      <c r="L151">
        <v>323.140152692794</v>
      </c>
      <c r="M151">
        <v>324.94814026355698</v>
      </c>
      <c r="N151">
        <v>323.25072207450802</v>
      </c>
      <c r="O151">
        <v>324.58063751459099</v>
      </c>
      <c r="P151">
        <v>322.719539999961</v>
      </c>
      <c r="Q151">
        <f t="shared" si="8"/>
        <v>324.4759981121332</v>
      </c>
      <c r="R151">
        <f>IF((Q151-E151)*(D151-E151)&gt;0, 1,0)</f>
        <v>1</v>
      </c>
      <c r="S151">
        <v>4.8493324529999997</v>
      </c>
      <c r="T151" s="1">
        <v>43125</v>
      </c>
      <c r="U151">
        <f>D151+1.65*S151</f>
        <v>342.30139873818399</v>
      </c>
      <c r="V151">
        <f>D151-1.65*S151</f>
        <v>326.29860164328403</v>
      </c>
      <c r="W151">
        <f t="shared" si="9"/>
        <v>324.4759981121332</v>
      </c>
      <c r="X151">
        <f t="shared" si="10"/>
        <v>0</v>
      </c>
      <c r="Y151">
        <f>IF(AND(C151&lt;U151, C151&gt;V151),1,0)</f>
        <v>1</v>
      </c>
      <c r="Z151">
        <f t="shared" si="11"/>
        <v>0</v>
      </c>
      <c r="AA151">
        <f>IF(AND(Y151=1,F151&gt;0), 1, 0)</f>
        <v>1</v>
      </c>
    </row>
    <row r="152" spans="1:27" x14ac:dyDescent="0.3">
      <c r="A152" s="1">
        <v>43035</v>
      </c>
      <c r="B152" s="1">
        <v>43126</v>
      </c>
      <c r="C152">
        <v>334.06197938919001</v>
      </c>
      <c r="D152">
        <v>335.95000038146901</v>
      </c>
      <c r="E152">
        <v>326.85000000000002</v>
      </c>
      <c r="F152">
        <v>9.1000003814697195</v>
      </c>
      <c r="G152">
        <v>7.2119793891906703</v>
      </c>
      <c r="H152">
        <v>9.1000003814697195</v>
      </c>
      <c r="I152">
        <v>325.91581449508601</v>
      </c>
      <c r="J152">
        <v>327.87094948291701</v>
      </c>
      <c r="K152">
        <v>325.99999723434399</v>
      </c>
      <c r="L152">
        <v>326.44358829259801</v>
      </c>
      <c r="M152">
        <v>323.84336838722197</v>
      </c>
      <c r="N152">
        <v>323.20717539787199</v>
      </c>
      <c r="O152">
        <v>322.65403804778998</v>
      </c>
      <c r="P152">
        <v>322.33384714126498</v>
      </c>
      <c r="Q152">
        <f t="shared" si="8"/>
        <v>325.00880044017458</v>
      </c>
      <c r="R152">
        <f>IF((Q152-E152)*(D152-E152)&gt;0, 1,0)</f>
        <v>0</v>
      </c>
      <c r="S152">
        <v>4.9602066730000001</v>
      </c>
      <c r="T152" s="1">
        <v>43126</v>
      </c>
      <c r="U152">
        <f>D152+1.65*S152</f>
        <v>344.13434139191901</v>
      </c>
      <c r="V152">
        <f>D152-1.65*S152</f>
        <v>327.76565937101901</v>
      </c>
      <c r="W152">
        <f t="shared" si="9"/>
        <v>325.00880044017458</v>
      </c>
      <c r="X152">
        <f t="shared" si="10"/>
        <v>0</v>
      </c>
      <c r="Y152">
        <f>IF(AND(C152&lt;U152, C152&gt;V152),1,0)</f>
        <v>1</v>
      </c>
      <c r="Z152">
        <f t="shared" si="11"/>
        <v>0</v>
      </c>
      <c r="AA152">
        <f>IF(AND(Y152=1,F152&gt;0), 1, 0)</f>
        <v>1</v>
      </c>
    </row>
    <row r="153" spans="1:27" x14ac:dyDescent="0.3">
      <c r="A153" s="1">
        <v>43038</v>
      </c>
      <c r="B153" s="1">
        <v>43129</v>
      </c>
      <c r="C153">
        <v>328.11326576471299</v>
      </c>
      <c r="D153">
        <v>338.500000190734</v>
      </c>
      <c r="E153">
        <v>327.45</v>
      </c>
      <c r="F153">
        <v>11.050000190734799</v>
      </c>
      <c r="G153">
        <v>0.66326576471328702</v>
      </c>
      <c r="H153">
        <v>11.050000190734799</v>
      </c>
      <c r="I153">
        <v>325.542457652091</v>
      </c>
      <c r="J153">
        <v>327.61860815882602</v>
      </c>
      <c r="K153">
        <v>327.04394079446701</v>
      </c>
      <c r="L153">
        <v>327.93288637399598</v>
      </c>
      <c r="M153">
        <v>325.87539298534301</v>
      </c>
      <c r="N153">
        <v>316.83264484405498</v>
      </c>
      <c r="O153">
        <v>322.93921394348098</v>
      </c>
      <c r="P153">
        <v>323.56771297454799</v>
      </c>
      <c r="Q153">
        <f t="shared" si="8"/>
        <v>325.7886018403932</v>
      </c>
      <c r="R153">
        <f>IF((Q153-E153)*(D153-E153)&gt;0, 1,0)</f>
        <v>0</v>
      </c>
      <c r="S153">
        <v>5.139521523</v>
      </c>
      <c r="T153" s="1">
        <v>43129</v>
      </c>
      <c r="U153">
        <f>D153+1.65*S153</f>
        <v>346.98021070368401</v>
      </c>
      <c r="V153">
        <f>D153-1.65*S153</f>
        <v>330.01978967778399</v>
      </c>
      <c r="W153">
        <f t="shared" si="9"/>
        <v>325.7886018403932</v>
      </c>
      <c r="X153">
        <f t="shared" si="10"/>
        <v>0</v>
      </c>
      <c r="Y153">
        <f>IF(AND(C153&lt;U153, C153&gt;V153),1,0)</f>
        <v>0</v>
      </c>
      <c r="Z153">
        <f t="shared" si="11"/>
        <v>0</v>
      </c>
      <c r="AA153">
        <f>IF(AND(Y153=1,F153&gt;0), 1, 0)</f>
        <v>0</v>
      </c>
    </row>
    <row r="154" spans="1:27" x14ac:dyDescent="0.3">
      <c r="A154" s="1">
        <v>43039</v>
      </c>
      <c r="B154" s="1">
        <v>43130</v>
      </c>
      <c r="C154">
        <v>338.290161895751</v>
      </c>
      <c r="D154">
        <v>333.89999990463201</v>
      </c>
      <c r="E154">
        <v>331.05</v>
      </c>
      <c r="F154">
        <v>2.8499999046325599</v>
      </c>
      <c r="G154">
        <v>7.2401618957519496</v>
      </c>
      <c r="H154">
        <v>2.8499999046325599</v>
      </c>
      <c r="I154">
        <v>330.75972535014103</v>
      </c>
      <c r="J154">
        <v>332.79022400379102</v>
      </c>
      <c r="K154">
        <v>331.44824086427599</v>
      </c>
      <c r="L154">
        <v>326.73969583511303</v>
      </c>
      <c r="M154">
        <v>330.350456047058</v>
      </c>
      <c r="N154">
        <v>321.18240213394103</v>
      </c>
      <c r="O154">
        <v>329.71390264034198</v>
      </c>
      <c r="P154">
        <v>327.862502145767</v>
      </c>
      <c r="Q154">
        <f t="shared" si="8"/>
        <v>329.95210669806971</v>
      </c>
      <c r="R154">
        <f>IF((Q154-E154)*(D154-E154)&gt;0, 1,0)</f>
        <v>0</v>
      </c>
      <c r="S154">
        <v>5.1795488179999998</v>
      </c>
      <c r="T154" s="1">
        <v>43130</v>
      </c>
      <c r="U154">
        <f>D154+1.65*S154</f>
        <v>342.446255454332</v>
      </c>
      <c r="V154">
        <f>D154-1.65*S154</f>
        <v>325.35374435493202</v>
      </c>
      <c r="W154">
        <f t="shared" si="9"/>
        <v>329.95210669806971</v>
      </c>
      <c r="X154">
        <f t="shared" si="10"/>
        <v>1</v>
      </c>
      <c r="Y154">
        <f>IF(AND(C154&lt;U154, C154&gt;V154),1,0)</f>
        <v>1</v>
      </c>
      <c r="Z154">
        <f t="shared" si="11"/>
        <v>0</v>
      </c>
      <c r="AA154">
        <f>IF(AND(Y154=1,F154&gt;0), 1, 0)</f>
        <v>1</v>
      </c>
    </row>
    <row r="155" spans="1:27" x14ac:dyDescent="0.3">
      <c r="A155" s="1">
        <v>43040</v>
      </c>
      <c r="B155" s="1">
        <v>43131</v>
      </c>
      <c r="C155">
        <v>346.06356410980197</v>
      </c>
      <c r="D155">
        <v>334.45000009536699</v>
      </c>
      <c r="E155">
        <v>336.55</v>
      </c>
      <c r="F155">
        <v>-2.0999999046325599</v>
      </c>
      <c r="G155">
        <v>9.5135641098022408</v>
      </c>
      <c r="H155">
        <v>-2.0999999046325599</v>
      </c>
      <c r="I155">
        <v>334.764543223381</v>
      </c>
      <c r="J155">
        <v>337.36700438260999</v>
      </c>
      <c r="K155">
        <v>334.90166192054699</v>
      </c>
      <c r="L155">
        <v>329.33431653976402</v>
      </c>
      <c r="M155">
        <v>333.13525490760799</v>
      </c>
      <c r="N155">
        <v>322.13117523193301</v>
      </c>
      <c r="O155">
        <v>334.96832339763603</v>
      </c>
      <c r="P155">
        <v>330.93626909255897</v>
      </c>
      <c r="Q155">
        <f t="shared" si="8"/>
        <v>333.62962478058643</v>
      </c>
      <c r="R155">
        <f>IF((Q155-E155)*(D155-E155)&gt;0, 1,0)</f>
        <v>1</v>
      </c>
      <c r="S155">
        <v>5.1308128389999998</v>
      </c>
      <c r="T155" s="1">
        <v>43131</v>
      </c>
      <c r="U155">
        <f>D155+1.65*S155</f>
        <v>342.91584127971697</v>
      </c>
      <c r="V155">
        <f>D155-1.65*S155</f>
        <v>325.984158911017</v>
      </c>
      <c r="W155">
        <f t="shared" si="9"/>
        <v>333.62962478058643</v>
      </c>
      <c r="X155">
        <f t="shared" si="10"/>
        <v>1</v>
      </c>
      <c r="Y155">
        <f>IF(AND(C155&lt;U155, C155&gt;V155),1,0)</f>
        <v>0</v>
      </c>
      <c r="Z155">
        <f t="shared" si="11"/>
        <v>1</v>
      </c>
      <c r="AA155">
        <f>IF(AND(Y155=1,F155&gt;0), 1, 0)</f>
        <v>0</v>
      </c>
    </row>
    <row r="156" spans="1:27" x14ac:dyDescent="0.3">
      <c r="A156" s="1">
        <v>43041</v>
      </c>
      <c r="B156" s="1">
        <v>43132</v>
      </c>
      <c r="C156">
        <v>343.66624717712398</v>
      </c>
      <c r="D156">
        <v>333.65000002384102</v>
      </c>
      <c r="E156">
        <v>335.05</v>
      </c>
      <c r="F156">
        <v>-1.3999999761581401</v>
      </c>
      <c r="G156">
        <v>8.6162471771240199</v>
      </c>
      <c r="H156">
        <v>-1.3999999761581401</v>
      </c>
      <c r="I156">
        <v>332.66313843727102</v>
      </c>
      <c r="J156">
        <v>334.19290040731403</v>
      </c>
      <c r="K156">
        <v>336.56625883579198</v>
      </c>
      <c r="L156">
        <v>329.52697544097902</v>
      </c>
      <c r="M156">
        <v>331.07538132667497</v>
      </c>
      <c r="N156">
        <v>326.36891090869898</v>
      </c>
      <c r="O156">
        <v>331.85781269073402</v>
      </c>
      <c r="P156">
        <v>327.486028480529</v>
      </c>
      <c r="Q156">
        <f t="shared" si="8"/>
        <v>331.90978508847058</v>
      </c>
      <c r="R156">
        <f>IF((Q156-E156)*(D156-E156)&gt;0, 1,0)</f>
        <v>1</v>
      </c>
      <c r="S156">
        <v>5.1028800309999998</v>
      </c>
      <c r="T156" s="1">
        <v>43132</v>
      </c>
      <c r="U156">
        <f>D156+1.65*S156</f>
        <v>342.06975207499102</v>
      </c>
      <c r="V156">
        <f>D156-1.65*S156</f>
        <v>325.23024797269102</v>
      </c>
      <c r="W156">
        <f t="shared" si="9"/>
        <v>331.90978508847058</v>
      </c>
      <c r="X156">
        <f t="shared" si="10"/>
        <v>1</v>
      </c>
      <c r="Y156">
        <f>IF(AND(C156&lt;U156, C156&gt;V156),1,0)</f>
        <v>0</v>
      </c>
      <c r="Z156">
        <f t="shared" si="11"/>
        <v>1</v>
      </c>
      <c r="AA156">
        <f>IF(AND(Y156=1,F156&gt;0), 1, 0)</f>
        <v>0</v>
      </c>
    </row>
    <row r="157" spans="1:27" x14ac:dyDescent="0.3">
      <c r="A157" s="1">
        <v>43042</v>
      </c>
      <c r="B157" s="1">
        <v>43133</v>
      </c>
      <c r="C157">
        <v>345.83364734649598</v>
      </c>
      <c r="D157">
        <v>327.40000019073398</v>
      </c>
      <c r="E157">
        <v>336.35</v>
      </c>
      <c r="F157">
        <v>-8.9499998092651296</v>
      </c>
      <c r="G157">
        <v>9.4836473464965803</v>
      </c>
      <c r="H157">
        <v>-8.9499998092651296</v>
      </c>
      <c r="I157">
        <v>335.66570875644601</v>
      </c>
      <c r="J157">
        <v>334.800878024101</v>
      </c>
      <c r="K157">
        <v>339.14487490653897</v>
      </c>
      <c r="L157">
        <v>332.544863319397</v>
      </c>
      <c r="M157">
        <v>333.28693184852602</v>
      </c>
      <c r="N157">
        <v>328.57354868650401</v>
      </c>
      <c r="O157">
        <v>329.77692327499301</v>
      </c>
      <c r="P157">
        <v>329.80485305786101</v>
      </c>
      <c r="Q157">
        <f t="shared" si="8"/>
        <v>333.57500474112322</v>
      </c>
      <c r="R157">
        <f>IF((Q157-E157)*(D157-E157)&gt;0, 1,0)</f>
        <v>1</v>
      </c>
      <c r="S157">
        <v>4.9881768869999998</v>
      </c>
      <c r="T157" s="1">
        <v>43133</v>
      </c>
      <c r="U157">
        <f>D157+1.65*S157</f>
        <v>335.63049205428399</v>
      </c>
      <c r="V157">
        <f>D157-1.65*S157</f>
        <v>319.16950832718396</v>
      </c>
      <c r="W157">
        <f t="shared" si="9"/>
        <v>333.57500474112322</v>
      </c>
      <c r="X157">
        <f t="shared" si="10"/>
        <v>1</v>
      </c>
      <c r="Y157">
        <f>IF(AND(C157&lt;U157, C157&gt;V157),1,0)</f>
        <v>0</v>
      </c>
      <c r="Z157">
        <f t="shared" si="11"/>
        <v>1</v>
      </c>
      <c r="AA157">
        <f>IF(AND(Y157=1,F157&gt;0), 1, 0)</f>
        <v>0</v>
      </c>
    </row>
    <row r="158" spans="1:27" x14ac:dyDescent="0.3">
      <c r="A158" s="1">
        <v>43045</v>
      </c>
      <c r="B158" s="1">
        <v>43136</v>
      </c>
      <c r="C158">
        <v>343.98612728118798</v>
      </c>
      <c r="D158">
        <v>323.00000038146902</v>
      </c>
      <c r="E158">
        <v>334.15</v>
      </c>
      <c r="F158">
        <v>-11.149999618530201</v>
      </c>
      <c r="G158">
        <v>9.8361272811889595</v>
      </c>
      <c r="H158">
        <v>-11.149999618530201</v>
      </c>
      <c r="I158">
        <v>332.20406105518299</v>
      </c>
      <c r="J158">
        <v>334.05452356636499</v>
      </c>
      <c r="K158">
        <v>336.83901371955801</v>
      </c>
      <c r="L158">
        <v>329.748339557647</v>
      </c>
      <c r="M158">
        <v>327.68325605392403</v>
      </c>
      <c r="N158">
        <v>332.22258913516998</v>
      </c>
      <c r="O158">
        <v>334.251345844566</v>
      </c>
      <c r="P158">
        <v>332.081195497512</v>
      </c>
      <c r="Q158">
        <f t="shared" si="8"/>
        <v>332.40881932782213</v>
      </c>
      <c r="R158">
        <f>IF((Q158-E158)*(D158-E158)&gt;0, 1,0)</f>
        <v>1</v>
      </c>
      <c r="S158">
        <v>4.9533709139999997</v>
      </c>
      <c r="T158" s="1">
        <v>43136</v>
      </c>
      <c r="U158">
        <f>D158+1.65*S158</f>
        <v>331.173062389569</v>
      </c>
      <c r="V158">
        <f>D158-1.65*S158</f>
        <v>314.82693837336905</v>
      </c>
      <c r="W158">
        <f t="shared" si="9"/>
        <v>332.40881932782213</v>
      </c>
      <c r="X158">
        <f t="shared" si="10"/>
        <v>0</v>
      </c>
      <c r="Y158">
        <f>IF(AND(C158&lt;U158, C158&gt;V158),1,0)</f>
        <v>0</v>
      </c>
      <c r="Z158">
        <f t="shared" si="11"/>
        <v>0</v>
      </c>
      <c r="AA158">
        <f>IF(AND(Y158=1,F158&gt;0), 1, 0)</f>
        <v>0</v>
      </c>
    </row>
    <row r="159" spans="1:27" x14ac:dyDescent="0.3">
      <c r="A159" s="1">
        <v>43046</v>
      </c>
      <c r="B159" s="1">
        <v>43137</v>
      </c>
      <c r="C159">
        <v>344.04867839813198</v>
      </c>
      <c r="D159">
        <v>317.64999961852999</v>
      </c>
      <c r="E159">
        <v>333.75</v>
      </c>
      <c r="F159">
        <v>-16.100000381469702</v>
      </c>
      <c r="G159">
        <v>10.298678398132299</v>
      </c>
      <c r="H159">
        <v>-16.100000381469702</v>
      </c>
      <c r="I159">
        <v>332.57937633991202</v>
      </c>
      <c r="J159">
        <v>332.565411806106</v>
      </c>
      <c r="K159">
        <v>332.21780073642702</v>
      </c>
      <c r="L159">
        <v>322.77043056487997</v>
      </c>
      <c r="M159">
        <v>325.19873523712101</v>
      </c>
      <c r="N159">
        <v>331.56775386333402</v>
      </c>
      <c r="O159">
        <v>327.82107782363801</v>
      </c>
      <c r="P159">
        <v>328.554145812988</v>
      </c>
      <c r="Q159">
        <f t="shared" si="8"/>
        <v>328.81528261729596</v>
      </c>
      <c r="R159">
        <f>IF((Q159-E159)*(D159-E159)&gt;0, 1,0)</f>
        <v>1</v>
      </c>
      <c r="S159">
        <v>5.0375850580000003</v>
      </c>
      <c r="T159" s="1">
        <v>43137</v>
      </c>
      <c r="U159">
        <f>D159+1.65*S159</f>
        <v>325.96201496422998</v>
      </c>
      <c r="V159">
        <f>D159-1.65*S159</f>
        <v>309.33798427283</v>
      </c>
      <c r="W159">
        <f t="shared" si="9"/>
        <v>328.81528261729596</v>
      </c>
      <c r="X159">
        <f t="shared" si="10"/>
        <v>0</v>
      </c>
      <c r="Y159">
        <f>IF(AND(C159&lt;U159, C159&gt;V159),1,0)</f>
        <v>0</v>
      </c>
      <c r="Z159">
        <f t="shared" si="11"/>
        <v>0</v>
      </c>
      <c r="AA159">
        <f>IF(AND(Y159=1,F159&gt;0), 1, 0)</f>
        <v>0</v>
      </c>
    </row>
    <row r="160" spans="1:27" x14ac:dyDescent="0.3">
      <c r="A160" s="1">
        <v>43047</v>
      </c>
      <c r="B160" s="1">
        <v>43138</v>
      </c>
      <c r="C160">
        <v>341.10685682296702</v>
      </c>
      <c r="D160">
        <v>309.5</v>
      </c>
      <c r="E160">
        <v>335.25</v>
      </c>
      <c r="F160">
        <v>-25.75</v>
      </c>
      <c r="G160">
        <v>5.8568568229675204</v>
      </c>
      <c r="H160">
        <v>-25.75</v>
      </c>
      <c r="I160">
        <v>333.13464879989601</v>
      </c>
      <c r="J160">
        <v>334.52608811855299</v>
      </c>
      <c r="K160">
        <v>335.48626871406998</v>
      </c>
      <c r="L160">
        <v>330.59732103347699</v>
      </c>
      <c r="M160">
        <v>325.849235534667</v>
      </c>
      <c r="N160">
        <v>327.29255375862101</v>
      </c>
      <c r="O160">
        <v>330.15287685394202</v>
      </c>
      <c r="P160">
        <v>330.27359533309902</v>
      </c>
      <c r="Q160">
        <f t="shared" si="8"/>
        <v>331.43143348395773</v>
      </c>
      <c r="R160">
        <f>IF((Q160-E160)*(D160-E160)&gt;0, 1,0)</f>
        <v>1</v>
      </c>
      <c r="S160">
        <v>5.3981002939999998</v>
      </c>
      <c r="T160" s="1">
        <v>43138</v>
      </c>
      <c r="U160">
        <f>D160+1.65*S160</f>
        <v>318.40686548510001</v>
      </c>
      <c r="V160">
        <f>D160-1.65*S160</f>
        <v>300.59313451489999</v>
      </c>
      <c r="W160">
        <f t="shared" si="9"/>
        <v>331.43143348395773</v>
      </c>
      <c r="X160">
        <f t="shared" si="10"/>
        <v>0</v>
      </c>
      <c r="Y160">
        <f>IF(AND(C160&lt;U160, C160&gt;V160),1,0)</f>
        <v>0</v>
      </c>
      <c r="Z160">
        <f t="shared" si="11"/>
        <v>0</v>
      </c>
      <c r="AA160">
        <f>IF(AND(Y160=1,F160&gt;0), 1, 0)</f>
        <v>0</v>
      </c>
    </row>
    <row r="161" spans="1:27" x14ac:dyDescent="0.3">
      <c r="A161" s="1">
        <v>43048</v>
      </c>
      <c r="B161" s="1">
        <v>43139</v>
      </c>
      <c r="C161">
        <v>339.15163412094103</v>
      </c>
      <c r="D161">
        <v>312.50000038146902</v>
      </c>
      <c r="E161">
        <v>333.65</v>
      </c>
      <c r="F161">
        <v>-21.149999618530199</v>
      </c>
      <c r="G161">
        <v>5.5016341209411603</v>
      </c>
      <c r="H161">
        <v>-21.149999618530199</v>
      </c>
      <c r="I161">
        <v>330.87875356674101</v>
      </c>
      <c r="J161">
        <v>331.61870899200397</v>
      </c>
      <c r="K161">
        <v>332.102401995658</v>
      </c>
      <c r="L161">
        <v>327.52166500091499</v>
      </c>
      <c r="M161">
        <v>330.78073277473402</v>
      </c>
      <c r="N161">
        <v>326.16363066434798</v>
      </c>
      <c r="O161">
        <v>319.45324077606199</v>
      </c>
      <c r="P161">
        <v>327.27826538085901</v>
      </c>
      <c r="Q161">
        <f t="shared" si="8"/>
        <v>328.51910978385331</v>
      </c>
      <c r="R161">
        <f>IF((Q161-E161)*(D161-E161)&gt;0, 1,0)</f>
        <v>1</v>
      </c>
      <c r="S161">
        <v>5.6150264139999999</v>
      </c>
      <c r="T161" s="1">
        <v>43139</v>
      </c>
      <c r="U161">
        <f>D161+1.65*S161</f>
        <v>321.76479396456904</v>
      </c>
      <c r="V161">
        <f>D161-1.65*S161</f>
        <v>303.23520679836901</v>
      </c>
      <c r="W161">
        <f t="shared" si="9"/>
        <v>328.51910978385331</v>
      </c>
      <c r="X161">
        <f t="shared" si="10"/>
        <v>0</v>
      </c>
      <c r="Y161">
        <f>IF(AND(C161&lt;U161, C161&gt;V161),1,0)</f>
        <v>0</v>
      </c>
      <c r="Z161">
        <f t="shared" si="11"/>
        <v>0</v>
      </c>
      <c r="AA161">
        <f>IF(AND(Y161=1,F161&gt;0), 1, 0)</f>
        <v>0</v>
      </c>
    </row>
    <row r="162" spans="1:27" x14ac:dyDescent="0.3">
      <c r="A162" s="1">
        <v>43049</v>
      </c>
      <c r="B162" s="1">
        <v>43140</v>
      </c>
      <c r="C162">
        <v>333.28738062977698</v>
      </c>
      <c r="D162">
        <v>303.85000076293898</v>
      </c>
      <c r="E162">
        <v>332.9</v>
      </c>
      <c r="F162">
        <v>-29.049999237060501</v>
      </c>
      <c r="G162">
        <v>0.38738062977790799</v>
      </c>
      <c r="H162">
        <v>-29.049999237060501</v>
      </c>
      <c r="I162">
        <v>330.24396648406901</v>
      </c>
      <c r="J162">
        <v>334.14393129348701</v>
      </c>
      <c r="K162">
        <v>325.19029417037899</v>
      </c>
      <c r="L162">
        <v>325.88816871643002</v>
      </c>
      <c r="M162">
        <v>324.37507381439201</v>
      </c>
      <c r="N162">
        <v>323.264421319961</v>
      </c>
      <c r="O162">
        <v>322.12993373870802</v>
      </c>
      <c r="P162">
        <v>325.78311815261799</v>
      </c>
      <c r="Q162">
        <f t="shared" si="8"/>
        <v>326.82206948144045</v>
      </c>
      <c r="R162">
        <f>IF((Q162-E162)*(D162-E162)&gt;0, 1,0)</f>
        <v>1</v>
      </c>
      <c r="S162">
        <v>6.223028051</v>
      </c>
      <c r="T162" s="1">
        <v>43140</v>
      </c>
      <c r="U162">
        <f>D162+1.65*S162</f>
        <v>314.11799704708898</v>
      </c>
      <c r="V162">
        <f>D162-1.65*S162</f>
        <v>293.58200447878897</v>
      </c>
      <c r="W162">
        <f t="shared" si="9"/>
        <v>326.82206948144045</v>
      </c>
      <c r="X162">
        <f t="shared" si="10"/>
        <v>0</v>
      </c>
      <c r="Y162">
        <f>IF(AND(C162&lt;U162, C162&gt;V162),1,0)</f>
        <v>0</v>
      </c>
      <c r="Z162">
        <f t="shared" si="11"/>
        <v>0</v>
      </c>
      <c r="AA162">
        <f>IF(AND(Y162=1,F162&gt;0), 1, 0)</f>
        <v>0</v>
      </c>
    </row>
    <row r="163" spans="1:27" x14ac:dyDescent="0.3">
      <c r="A163" s="1">
        <v>43052</v>
      </c>
      <c r="B163" s="1">
        <v>43143</v>
      </c>
      <c r="C163">
        <v>322.73123149871799</v>
      </c>
      <c r="D163">
        <v>308.09999923705999</v>
      </c>
      <c r="E163">
        <v>331.55</v>
      </c>
      <c r="F163">
        <v>23.4500007629394</v>
      </c>
      <c r="G163">
        <v>-8.8187685012817294</v>
      </c>
      <c r="H163">
        <v>-23.4500007629394</v>
      </c>
      <c r="I163">
        <v>330.43172078132602</v>
      </c>
      <c r="J163">
        <v>331.78917515575802</v>
      </c>
      <c r="K163">
        <v>326.569703865051</v>
      </c>
      <c r="L163">
        <v>328.10985784530601</v>
      </c>
      <c r="M163">
        <v>320.58848743438699</v>
      </c>
      <c r="N163">
        <v>325.138322639465</v>
      </c>
      <c r="O163">
        <v>321.69950656890802</v>
      </c>
      <c r="P163">
        <v>324.090752410888</v>
      </c>
      <c r="Q163">
        <f t="shared" si="8"/>
        <v>326.18274343737488</v>
      </c>
      <c r="R163">
        <f>IF((Q163-E163)*(D163-E163)&gt;0, 1,0)</f>
        <v>1</v>
      </c>
      <c r="S163">
        <v>6.5709688939999999</v>
      </c>
      <c r="T163" s="1">
        <v>43143</v>
      </c>
      <c r="U163">
        <f>D163+1.65*S163</f>
        <v>318.94209791215997</v>
      </c>
      <c r="V163">
        <f>D163-1.65*S163</f>
        <v>297.25790056196001</v>
      </c>
      <c r="W163">
        <f t="shared" si="9"/>
        <v>326.18274343737488</v>
      </c>
      <c r="X163">
        <f t="shared" si="10"/>
        <v>0</v>
      </c>
      <c r="Y163">
        <f>IF(AND(C163&lt;U163, C163&gt;V163),1,0)</f>
        <v>0</v>
      </c>
      <c r="Z163">
        <f t="shared" si="11"/>
        <v>0</v>
      </c>
      <c r="AA163">
        <f>IF(AND(Y163=1,F163&gt;0), 1, 0)</f>
        <v>0</v>
      </c>
    </row>
    <row r="164" spans="1:27" x14ac:dyDescent="0.3">
      <c r="A164" s="1">
        <v>43053</v>
      </c>
      <c r="B164" s="1">
        <v>43144</v>
      </c>
      <c r="C164">
        <v>319.08613471984802</v>
      </c>
      <c r="D164">
        <v>311.400000381469</v>
      </c>
      <c r="E164">
        <v>331.3</v>
      </c>
      <c r="F164">
        <v>19.899999618530199</v>
      </c>
      <c r="G164">
        <v>-12.2138652801513</v>
      </c>
      <c r="H164">
        <v>-19.899999618530199</v>
      </c>
      <c r="I164">
        <v>329.07176237106302</v>
      </c>
      <c r="J164">
        <v>327.53592352867099</v>
      </c>
      <c r="K164">
        <v>326.77262096405002</v>
      </c>
      <c r="L164">
        <v>326.09339694976802</v>
      </c>
      <c r="M164">
        <v>318.33041744232099</v>
      </c>
      <c r="N164">
        <v>325.63689661026001</v>
      </c>
      <c r="O164">
        <v>323.59738044738702</v>
      </c>
      <c r="P164">
        <v>321.57572059631298</v>
      </c>
      <c r="Q164">
        <f t="shared" si="8"/>
        <v>324.71103175708186</v>
      </c>
      <c r="R164">
        <f>IF((Q164-E164)*(D164-E164)&gt;0, 1,0)</f>
        <v>1</v>
      </c>
      <c r="S164">
        <v>6.7675366930000003</v>
      </c>
      <c r="T164" s="1">
        <v>43144</v>
      </c>
      <c r="U164">
        <f>D164+1.65*S164</f>
        <v>322.56643592491901</v>
      </c>
      <c r="V164">
        <f>D164-1.65*S164</f>
        <v>300.23356483801899</v>
      </c>
      <c r="W164">
        <f t="shared" si="9"/>
        <v>324.71103175708186</v>
      </c>
      <c r="X164">
        <f t="shared" si="10"/>
        <v>0</v>
      </c>
      <c r="Y164">
        <f>IF(AND(C164&lt;U164, C164&gt;V164),1,0)</f>
        <v>1</v>
      </c>
      <c r="Z164">
        <f t="shared" si="11"/>
        <v>0</v>
      </c>
      <c r="AA164">
        <f>IF(AND(Y164=1,F164&gt;0), 1, 0)</f>
        <v>1</v>
      </c>
    </row>
    <row r="165" spans="1:27" x14ac:dyDescent="0.3">
      <c r="A165" s="1">
        <v>43054</v>
      </c>
      <c r="B165" s="1">
        <v>43145</v>
      </c>
      <c r="C165">
        <v>318.69200077056797</v>
      </c>
      <c r="D165">
        <v>314.29999961853002</v>
      </c>
      <c r="E165">
        <v>329.15</v>
      </c>
      <c r="F165">
        <v>14.8500003814697</v>
      </c>
      <c r="G165">
        <v>-10.457999229431101</v>
      </c>
      <c r="H165">
        <v>-14.8500003814697</v>
      </c>
      <c r="I165">
        <v>323.66850366592399</v>
      </c>
      <c r="J165">
        <v>325.09624042510899</v>
      </c>
      <c r="K165">
        <v>322.95439090728701</v>
      </c>
      <c r="L165">
        <v>327.636472487449</v>
      </c>
      <c r="M165">
        <v>318.64373149871801</v>
      </c>
      <c r="N165">
        <v>326.32466478347698</v>
      </c>
      <c r="O165">
        <v>323.27095165252598</v>
      </c>
      <c r="P165">
        <v>319.97328796386699</v>
      </c>
      <c r="Q165">
        <f t="shared" si="8"/>
        <v>323.03479694298284</v>
      </c>
      <c r="R165">
        <f>IF((Q165-E165)*(D165-E165)&gt;0, 1,0)</f>
        <v>1</v>
      </c>
      <c r="S165">
        <v>6.8889796680000002</v>
      </c>
      <c r="T165" s="1">
        <v>43145</v>
      </c>
      <c r="U165">
        <f>D165+1.65*S165</f>
        <v>325.66681607073002</v>
      </c>
      <c r="V165">
        <f>D165-1.65*S165</f>
        <v>302.93318316633002</v>
      </c>
      <c r="W165">
        <f t="shared" si="9"/>
        <v>323.03479694298284</v>
      </c>
      <c r="X165">
        <f t="shared" si="10"/>
        <v>1</v>
      </c>
      <c r="Y165">
        <f>IF(AND(C165&lt;U165, C165&gt;V165),1,0)</f>
        <v>1</v>
      </c>
      <c r="Z165">
        <f t="shared" si="11"/>
        <v>1</v>
      </c>
      <c r="AA165">
        <f>IF(AND(Y165=1,F165&gt;0), 1, 0)</f>
        <v>1</v>
      </c>
    </row>
    <row r="166" spans="1:27" x14ac:dyDescent="0.3">
      <c r="A166" s="1">
        <v>43055</v>
      </c>
      <c r="B166" s="1">
        <v>43146</v>
      </c>
      <c r="C166">
        <v>318.81496315002403</v>
      </c>
      <c r="D166">
        <v>314.3</v>
      </c>
      <c r="E166">
        <v>331.3</v>
      </c>
      <c r="F166">
        <v>17</v>
      </c>
      <c r="G166">
        <v>-12.485036849975501</v>
      </c>
      <c r="H166">
        <v>-17</v>
      </c>
      <c r="I166">
        <v>327.73743085861202</v>
      </c>
      <c r="J166">
        <v>324.59624128341602</v>
      </c>
      <c r="K166">
        <v>325.11702089309603</v>
      </c>
      <c r="L166">
        <v>325.797092247009</v>
      </c>
      <c r="M166">
        <v>321.10681133270202</v>
      </c>
      <c r="N166">
        <v>327.55641939639997</v>
      </c>
      <c r="O166">
        <v>320.67339401245101</v>
      </c>
      <c r="P166">
        <v>318.45450572967502</v>
      </c>
      <c r="Q166">
        <f t="shared" si="8"/>
        <v>323.35464233670871</v>
      </c>
      <c r="R166">
        <f>IF((Q166-E166)*(D166-E166)&gt;0, 1,0)</f>
        <v>1</v>
      </c>
      <c r="S166">
        <v>6.9753420439999996</v>
      </c>
      <c r="T166" s="1">
        <v>43146</v>
      </c>
      <c r="U166">
        <f>D166+1.65*S166</f>
        <v>325.8093143726</v>
      </c>
      <c r="V166">
        <f>D166-1.65*S166</f>
        <v>302.79068562740002</v>
      </c>
      <c r="W166">
        <f t="shared" si="9"/>
        <v>323.35464233670871</v>
      </c>
      <c r="X166">
        <f t="shared" si="10"/>
        <v>1</v>
      </c>
      <c r="Y166">
        <f>IF(AND(C166&lt;U166, C166&gt;V166),1,0)</f>
        <v>1</v>
      </c>
      <c r="Z166">
        <f t="shared" si="11"/>
        <v>1</v>
      </c>
      <c r="AA166">
        <f>IF(AND(Y166=1,F166&gt;0), 1, 0)</f>
        <v>1</v>
      </c>
    </row>
    <row r="167" spans="1:27" x14ac:dyDescent="0.3">
      <c r="A167" s="1">
        <v>43056</v>
      </c>
      <c r="B167" s="1">
        <v>43147</v>
      </c>
      <c r="C167">
        <v>321.930986595153</v>
      </c>
      <c r="D167">
        <v>314.30000038146898</v>
      </c>
      <c r="E167">
        <v>330.95</v>
      </c>
      <c r="F167">
        <v>16.649999618530199</v>
      </c>
      <c r="G167">
        <v>-9.0190134048461896</v>
      </c>
      <c r="H167">
        <v>-16.649999618530199</v>
      </c>
      <c r="I167">
        <v>325.251261901855</v>
      </c>
      <c r="J167">
        <v>325.42822713851899</v>
      </c>
      <c r="K167">
        <v>324.27437324523902</v>
      </c>
      <c r="L167">
        <v>318.54412097930901</v>
      </c>
      <c r="M167">
        <v>317.72985095977702</v>
      </c>
      <c r="N167">
        <v>327.33289561271602</v>
      </c>
      <c r="O167">
        <v>320.88441009521398</v>
      </c>
      <c r="P167">
        <v>314.46706504821702</v>
      </c>
      <c r="Q167">
        <f t="shared" si="8"/>
        <v>320.93990133830431</v>
      </c>
      <c r="R167">
        <f>IF((Q167-E167)*(D167-E167)&gt;0, 1,0)</f>
        <v>1</v>
      </c>
      <c r="S167">
        <v>7.0558114180000002</v>
      </c>
      <c r="T167" s="1">
        <v>43147</v>
      </c>
      <c r="U167">
        <f>D167+1.65*S167</f>
        <v>325.942089221169</v>
      </c>
      <c r="V167">
        <f>D167-1.65*S167</f>
        <v>302.65791154176895</v>
      </c>
      <c r="W167">
        <f t="shared" si="9"/>
        <v>320.93990133830431</v>
      </c>
      <c r="X167">
        <f t="shared" si="10"/>
        <v>1</v>
      </c>
      <c r="Y167">
        <f>IF(AND(C167&lt;U167, C167&gt;V167),1,0)</f>
        <v>1</v>
      </c>
      <c r="Z167">
        <f t="shared" si="11"/>
        <v>1</v>
      </c>
      <c r="AA167">
        <f>IF(AND(Y167=1,F167&gt;0), 1, 0)</f>
        <v>1</v>
      </c>
    </row>
    <row r="168" spans="1:27" x14ac:dyDescent="0.3">
      <c r="A168" s="1">
        <v>43059</v>
      </c>
      <c r="B168" s="1">
        <v>43150</v>
      </c>
      <c r="C168">
        <v>325.61432785987802</v>
      </c>
      <c r="D168">
        <v>316.250000190734</v>
      </c>
      <c r="E168">
        <v>329.45</v>
      </c>
      <c r="F168">
        <v>13.199999809265099</v>
      </c>
      <c r="G168">
        <v>-3.83567214012146</v>
      </c>
      <c r="H168">
        <v>-13.199999809265099</v>
      </c>
      <c r="I168">
        <v>329.526543562114</v>
      </c>
      <c r="J168">
        <v>329.24207442700799</v>
      </c>
      <c r="K168">
        <v>328.41607363224</v>
      </c>
      <c r="L168">
        <v>321.01158828735299</v>
      </c>
      <c r="M168">
        <v>322.75887031555101</v>
      </c>
      <c r="N168">
        <v>322.90814685821499</v>
      </c>
      <c r="O168">
        <v>316.39547367095901</v>
      </c>
      <c r="P168">
        <v>322.86023683547899</v>
      </c>
      <c r="Q168">
        <f t="shared" si="8"/>
        <v>324.31583724724345</v>
      </c>
      <c r="R168">
        <f>IF((Q168-E168)*(D168-E168)&gt;0, 1,0)</f>
        <v>1</v>
      </c>
      <c r="S168">
        <v>7.1057772909999999</v>
      </c>
      <c r="T168" s="1">
        <v>43150</v>
      </c>
      <c r="U168">
        <f>D168+1.65*S168</f>
        <v>327.97453272088399</v>
      </c>
      <c r="V168">
        <f>D168-1.65*S168</f>
        <v>304.52546766058401</v>
      </c>
      <c r="W168">
        <f t="shared" si="9"/>
        <v>324.31583724724345</v>
      </c>
      <c r="X168">
        <f t="shared" si="10"/>
        <v>1</v>
      </c>
      <c r="Y168">
        <f>IF(AND(C168&lt;U168, C168&gt;V168),1,0)</f>
        <v>1</v>
      </c>
      <c r="Z168">
        <f t="shared" si="11"/>
        <v>1</v>
      </c>
      <c r="AA168">
        <f>IF(AND(Y168=1,F168&gt;0), 1, 0)</f>
        <v>1</v>
      </c>
    </row>
    <row r="169" spans="1:27" x14ac:dyDescent="0.3">
      <c r="A169" s="1">
        <v>43060</v>
      </c>
      <c r="B169" s="1">
        <v>43151</v>
      </c>
      <c r="C169">
        <v>332.14021358489902</v>
      </c>
      <c r="D169">
        <v>311.99999961853001</v>
      </c>
      <c r="E169">
        <v>330.85</v>
      </c>
      <c r="F169">
        <v>-18.850000381469702</v>
      </c>
      <c r="G169">
        <v>1.2902135848998999</v>
      </c>
      <c r="H169">
        <v>-18.850000381469702</v>
      </c>
      <c r="I169">
        <v>331.59047088622998</v>
      </c>
      <c r="J169">
        <v>331.42052600383698</v>
      </c>
      <c r="K169">
        <v>327.63267693519498</v>
      </c>
      <c r="L169">
        <v>322.292421913147</v>
      </c>
      <c r="M169">
        <v>323.15427646636903</v>
      </c>
      <c r="N169">
        <v>326.144427299499</v>
      </c>
      <c r="O169">
        <v>327.74950442314099</v>
      </c>
      <c r="P169">
        <v>324.84312877654997</v>
      </c>
      <c r="Q169">
        <f t="shared" si="8"/>
        <v>326.95471505778124</v>
      </c>
      <c r="R169">
        <f>IF((Q169-E169)*(D169-E169)&gt;0, 1,0)</f>
        <v>1</v>
      </c>
      <c r="S169">
        <v>7.2247302480000002</v>
      </c>
      <c r="T169" s="1">
        <v>43151</v>
      </c>
      <c r="U169">
        <f>D169+1.65*S169</f>
        <v>323.92080452773001</v>
      </c>
      <c r="V169">
        <f>D169-1.65*S169</f>
        <v>300.07919470933001</v>
      </c>
      <c r="W169">
        <f t="shared" si="9"/>
        <v>326.95471505778124</v>
      </c>
      <c r="X169">
        <f t="shared" si="10"/>
        <v>0</v>
      </c>
      <c r="Y169">
        <f>IF(AND(C169&lt;U169, C169&gt;V169),1,0)</f>
        <v>0</v>
      </c>
      <c r="Z169">
        <f t="shared" si="11"/>
        <v>0</v>
      </c>
      <c r="AA169">
        <f>IF(AND(Y169=1,F169&gt;0), 1, 0)</f>
        <v>0</v>
      </c>
    </row>
    <row r="170" spans="1:27" x14ac:dyDescent="0.3">
      <c r="A170" s="1">
        <v>43061</v>
      </c>
      <c r="B170" s="1">
        <v>43152</v>
      </c>
      <c r="C170">
        <v>333.845134544372</v>
      </c>
      <c r="D170">
        <v>314.05</v>
      </c>
      <c r="E170">
        <v>332.55</v>
      </c>
      <c r="F170">
        <v>-18.5</v>
      </c>
      <c r="G170">
        <v>1.2951345443725499</v>
      </c>
      <c r="H170">
        <v>-18.5</v>
      </c>
      <c r="I170">
        <v>331.44744246006002</v>
      </c>
      <c r="J170">
        <v>331.64172278642599</v>
      </c>
      <c r="K170">
        <v>326.36533050537099</v>
      </c>
      <c r="L170">
        <v>323.37294464111301</v>
      </c>
      <c r="M170">
        <v>321.37338619232099</v>
      </c>
      <c r="N170">
        <v>331.31809685230201</v>
      </c>
      <c r="O170">
        <v>325.78215770721403</v>
      </c>
      <c r="P170">
        <v>322.52394466400102</v>
      </c>
      <c r="Q170">
        <f t="shared" si="8"/>
        <v>326.07241842235806</v>
      </c>
      <c r="R170">
        <f>IF((Q170-E170)*(D170-E170)&gt;0, 1,0)</f>
        <v>1</v>
      </c>
      <c r="S170">
        <v>7.2539401589999999</v>
      </c>
      <c r="T170" s="1">
        <v>43152</v>
      </c>
      <c r="U170">
        <f>D170+1.65*S170</f>
        <v>326.01900126235</v>
      </c>
      <c r="V170">
        <f>D170-1.65*S170</f>
        <v>302.08099873765002</v>
      </c>
      <c r="W170">
        <f t="shared" si="9"/>
        <v>326.07241842235806</v>
      </c>
      <c r="X170">
        <f t="shared" si="10"/>
        <v>0</v>
      </c>
      <c r="Y170">
        <f>IF(AND(C170&lt;U170, C170&gt;V170),1,0)</f>
        <v>0</v>
      </c>
      <c r="Z170">
        <f t="shared" si="11"/>
        <v>0</v>
      </c>
      <c r="AA170">
        <f>IF(AND(Y170=1,F170&gt;0), 1, 0)</f>
        <v>0</v>
      </c>
    </row>
    <row r="171" spans="1:27" x14ac:dyDescent="0.3">
      <c r="A171" s="1">
        <v>43062</v>
      </c>
      <c r="B171" s="1">
        <v>43153</v>
      </c>
      <c r="C171">
        <v>338.48511285781802</v>
      </c>
      <c r="D171">
        <v>311.84999961852998</v>
      </c>
      <c r="E171">
        <v>331.45</v>
      </c>
      <c r="F171">
        <v>-19.600000381469702</v>
      </c>
      <c r="G171">
        <v>7.0351128578186</v>
      </c>
      <c r="H171">
        <v>-19.600000381469702</v>
      </c>
      <c r="I171">
        <v>330.443141293525</v>
      </c>
      <c r="J171">
        <v>331.03760011196101</v>
      </c>
      <c r="K171">
        <v>327.13384361266998</v>
      </c>
      <c r="L171">
        <v>323.88197441100999</v>
      </c>
      <c r="M171">
        <v>319.95242805480899</v>
      </c>
      <c r="N171">
        <v>328.300635147094</v>
      </c>
      <c r="O171">
        <v>329.94099195003503</v>
      </c>
      <c r="P171">
        <v>325.31824607849097</v>
      </c>
      <c r="Q171">
        <f t="shared" si="8"/>
        <v>326.81546078750017</v>
      </c>
      <c r="R171">
        <f>IF((Q171-E171)*(D171-E171)&gt;0, 1,0)</f>
        <v>1</v>
      </c>
      <c r="S171">
        <v>7.3415822909999999</v>
      </c>
      <c r="T171" s="1">
        <v>43153</v>
      </c>
      <c r="U171">
        <f>D171+1.65*S171</f>
        <v>323.96361039867998</v>
      </c>
      <c r="V171">
        <f>D171-1.65*S171</f>
        <v>299.73638883837998</v>
      </c>
      <c r="W171">
        <f t="shared" si="9"/>
        <v>326.81546078750017</v>
      </c>
      <c r="X171">
        <f t="shared" si="10"/>
        <v>0</v>
      </c>
      <c r="Y171">
        <f>IF(AND(C171&lt;U171, C171&gt;V171),1,0)</f>
        <v>0</v>
      </c>
      <c r="Z171">
        <f t="shared" si="11"/>
        <v>0</v>
      </c>
      <c r="AA171">
        <f>IF(AND(Y171=1,F171&gt;0), 1, 0)</f>
        <v>0</v>
      </c>
    </row>
    <row r="172" spans="1:27" x14ac:dyDescent="0.3">
      <c r="A172" s="1">
        <v>43063</v>
      </c>
      <c r="B172" s="1">
        <v>43154</v>
      </c>
      <c r="C172">
        <v>339.59014272689802</v>
      </c>
      <c r="D172">
        <v>316.94999980926502</v>
      </c>
      <c r="E172">
        <v>332.25</v>
      </c>
      <c r="F172">
        <v>-15.300000190734799</v>
      </c>
      <c r="G172">
        <v>7.3401427268981898</v>
      </c>
      <c r="H172">
        <v>-15.300000190734799</v>
      </c>
      <c r="I172">
        <v>331.53141778707499</v>
      </c>
      <c r="J172">
        <v>332.12857867032199</v>
      </c>
      <c r="K172">
        <v>325.77651882171602</v>
      </c>
      <c r="L172">
        <v>327.444835662841</v>
      </c>
      <c r="M172">
        <v>322.324887275695</v>
      </c>
      <c r="N172">
        <v>329.22841520309402</v>
      </c>
      <c r="O172">
        <v>325.10364580154402</v>
      </c>
      <c r="P172">
        <v>324.55392456054602</v>
      </c>
      <c r="Q172">
        <f t="shared" si="8"/>
        <v>326.9805440828199</v>
      </c>
      <c r="R172">
        <f>IF((Q172-E172)*(D172-E172)&gt;0, 1,0)</f>
        <v>1</v>
      </c>
      <c r="S172">
        <v>7.3046936469999997</v>
      </c>
      <c r="T172" s="1">
        <v>43154</v>
      </c>
      <c r="U172">
        <f>D172+1.65*S172</f>
        <v>329.00274432681505</v>
      </c>
      <c r="V172">
        <f>D172-1.65*S172</f>
        <v>304.897255291715</v>
      </c>
      <c r="W172">
        <f t="shared" si="9"/>
        <v>326.9805440828199</v>
      </c>
      <c r="X172">
        <f t="shared" si="10"/>
        <v>1</v>
      </c>
      <c r="Y172">
        <f>IF(AND(C172&lt;U172, C172&gt;V172),1,0)</f>
        <v>0</v>
      </c>
      <c r="Z172">
        <f t="shared" si="11"/>
        <v>1</v>
      </c>
      <c r="AA172">
        <f>IF(AND(Y172=1,F172&gt;0), 1, 0)</f>
        <v>0</v>
      </c>
    </row>
    <row r="173" spans="1:27" x14ac:dyDescent="0.3">
      <c r="A173" s="1">
        <v>43066</v>
      </c>
      <c r="B173" s="1">
        <v>43157</v>
      </c>
      <c r="C173">
        <v>336.37553157806298</v>
      </c>
      <c r="D173">
        <v>317.099999809265</v>
      </c>
      <c r="E173">
        <v>325.89999999999998</v>
      </c>
      <c r="F173">
        <v>-8.8000001907348597</v>
      </c>
      <c r="G173">
        <v>10.475531578063899</v>
      </c>
      <c r="H173">
        <v>-8.8000001907348597</v>
      </c>
      <c r="I173">
        <v>329.73841729164099</v>
      </c>
      <c r="J173">
        <v>329.11284079551598</v>
      </c>
      <c r="K173">
        <v>326.63063510656298</v>
      </c>
      <c r="L173">
        <v>326.815375351905</v>
      </c>
      <c r="M173">
        <v>324.32312872409801</v>
      </c>
      <c r="N173">
        <v>335.20114135742102</v>
      </c>
      <c r="O173">
        <v>326.74308516979198</v>
      </c>
      <c r="P173">
        <v>320.19728555679302</v>
      </c>
      <c r="Q173">
        <f t="shared" si="8"/>
        <v>326.22296685661547</v>
      </c>
      <c r="R173">
        <f>IF((Q173-E173)*(D173-E173)&gt;0, 1,0)</f>
        <v>0</v>
      </c>
      <c r="S173">
        <v>7.3382094889999996</v>
      </c>
      <c r="T173" s="1">
        <v>43157</v>
      </c>
      <c r="U173">
        <f>D173+1.65*S173</f>
        <v>329.20804546611498</v>
      </c>
      <c r="V173">
        <f>D173-1.65*S173</f>
        <v>304.99195415241502</v>
      </c>
      <c r="W173">
        <f t="shared" si="9"/>
        <v>326.22296685661547</v>
      </c>
      <c r="X173">
        <f t="shared" si="10"/>
        <v>1</v>
      </c>
      <c r="Y173">
        <f>IF(AND(C173&lt;U173, C173&gt;V173),1,0)</f>
        <v>0</v>
      </c>
      <c r="Z173">
        <f t="shared" si="11"/>
        <v>0</v>
      </c>
      <c r="AA173">
        <f>IF(AND(Y173=1,F173&gt;0), 1, 0)</f>
        <v>0</v>
      </c>
    </row>
    <row r="174" spans="1:27" x14ac:dyDescent="0.3">
      <c r="A174" s="1">
        <v>43067</v>
      </c>
      <c r="B174" s="1">
        <v>43158</v>
      </c>
      <c r="C174">
        <v>334.53648300170897</v>
      </c>
      <c r="D174">
        <v>315.750000190734</v>
      </c>
      <c r="E174">
        <v>327.7</v>
      </c>
      <c r="F174">
        <v>-11.949999809265099</v>
      </c>
      <c r="G174">
        <v>6.8364830017089799</v>
      </c>
      <c r="H174">
        <v>-11.949999809265099</v>
      </c>
      <c r="I174">
        <v>328.24612660408002</v>
      </c>
      <c r="J174">
        <v>329.33260900974199</v>
      </c>
      <c r="K174">
        <v>324.79321188926599</v>
      </c>
      <c r="L174">
        <v>324.10140867233201</v>
      </c>
      <c r="M174">
        <v>319.657780838012</v>
      </c>
      <c r="N174">
        <v>333.83222616612898</v>
      </c>
      <c r="O174">
        <v>324.27079815864499</v>
      </c>
      <c r="P174">
        <v>322.63997049331601</v>
      </c>
      <c r="Q174">
        <f t="shared" si="8"/>
        <v>324.72027223791332</v>
      </c>
      <c r="R174">
        <f>IF((Q174-E174)*(D174-E174)&gt;0, 1,0)</f>
        <v>1</v>
      </c>
      <c r="S174">
        <v>7.3737460639999997</v>
      </c>
      <c r="T174" s="1">
        <v>43158</v>
      </c>
      <c r="U174">
        <f>D174+1.65*S174</f>
        <v>327.91668119633403</v>
      </c>
      <c r="V174">
        <f>D174-1.65*S174</f>
        <v>303.58331918513397</v>
      </c>
      <c r="W174">
        <f t="shared" si="9"/>
        <v>324.72027223791332</v>
      </c>
      <c r="X174">
        <f t="shared" si="10"/>
        <v>1</v>
      </c>
      <c r="Y174">
        <f>IF(AND(C174&lt;U174, C174&gt;V174),1,0)</f>
        <v>0</v>
      </c>
      <c r="Z174">
        <f t="shared" si="11"/>
        <v>1</v>
      </c>
      <c r="AA174">
        <f>IF(AND(Y174=1,F174&gt;0), 1, 0)</f>
        <v>0</v>
      </c>
    </row>
    <row r="175" spans="1:27" x14ac:dyDescent="0.3">
      <c r="A175" s="1">
        <v>43068</v>
      </c>
      <c r="B175" s="1">
        <v>43159</v>
      </c>
      <c r="C175">
        <v>334.008063983917</v>
      </c>
      <c r="D175">
        <v>312.45</v>
      </c>
      <c r="E175">
        <v>327.7</v>
      </c>
      <c r="F175">
        <v>-15.25</v>
      </c>
      <c r="G175">
        <v>6.3080639839172301</v>
      </c>
      <c r="H175">
        <v>-15.25</v>
      </c>
      <c r="I175">
        <v>328.29165728092102</v>
      </c>
      <c r="J175">
        <v>329.38779468536302</v>
      </c>
      <c r="K175">
        <v>325.52019805908202</v>
      </c>
      <c r="L175">
        <v>321.37641353607103</v>
      </c>
      <c r="M175">
        <v>322.36918182373</v>
      </c>
      <c r="N175">
        <v>333.30012185573497</v>
      </c>
      <c r="O175">
        <v>324.18408198356599</v>
      </c>
      <c r="P175">
        <v>324.24585671424802</v>
      </c>
      <c r="Q175">
        <f t="shared" si="8"/>
        <v>325.05359772614014</v>
      </c>
      <c r="R175">
        <f>IF((Q175-E175)*(D175-E175)&gt;0, 1,0)</f>
        <v>1</v>
      </c>
      <c r="S175">
        <v>7.4649805819999999</v>
      </c>
      <c r="T175" s="1">
        <v>43159</v>
      </c>
      <c r="U175">
        <f>D175+1.65*S175</f>
        <v>324.7672179603</v>
      </c>
      <c r="V175">
        <f>D175-1.65*S175</f>
        <v>300.13278203969998</v>
      </c>
      <c r="W175">
        <f t="shared" si="9"/>
        <v>325.05359772614014</v>
      </c>
      <c r="X175">
        <f t="shared" si="10"/>
        <v>0</v>
      </c>
      <c r="Y175">
        <f>IF(AND(C175&lt;U175, C175&gt;V175),1,0)</f>
        <v>0</v>
      </c>
      <c r="Z175">
        <f t="shared" si="11"/>
        <v>0</v>
      </c>
      <c r="AA175">
        <f>IF(AND(Y175=1,F175&gt;0), 1, 0)</f>
        <v>0</v>
      </c>
    </row>
    <row r="176" spans="1:27" x14ac:dyDescent="0.3">
      <c r="A176" s="1">
        <v>43069</v>
      </c>
      <c r="B176" s="1">
        <v>43160</v>
      </c>
      <c r="C176">
        <v>326.34556150436401</v>
      </c>
      <c r="D176">
        <v>312.44999980926502</v>
      </c>
      <c r="E176">
        <v>322.25</v>
      </c>
      <c r="F176">
        <v>-9.8000001907348597</v>
      </c>
      <c r="G176">
        <v>4.0955615043640101</v>
      </c>
      <c r="H176">
        <v>-9.8000001907348597</v>
      </c>
      <c r="I176">
        <v>324.654412269592</v>
      </c>
      <c r="J176">
        <v>324.27001595497097</v>
      </c>
      <c r="K176">
        <v>321.26651597022999</v>
      </c>
      <c r="L176">
        <v>324.02581298351203</v>
      </c>
      <c r="M176">
        <v>324.56759262084898</v>
      </c>
      <c r="N176">
        <v>331.06626715660002</v>
      </c>
      <c r="O176">
        <v>323.67430615425098</v>
      </c>
      <c r="P176">
        <v>326.50939702987603</v>
      </c>
      <c r="Q176">
        <f t="shared" si="8"/>
        <v>324.13829328332588</v>
      </c>
      <c r="R176">
        <f>IF((Q176-E176)*(D176-E176)&gt;0, 1,0)</f>
        <v>0</v>
      </c>
      <c r="S176">
        <v>7.5743936989999998</v>
      </c>
      <c r="T176" s="1">
        <v>43160</v>
      </c>
      <c r="U176">
        <f>D176+1.65*S176</f>
        <v>324.947749412615</v>
      </c>
      <c r="V176">
        <f>D176-1.65*S176</f>
        <v>299.95225020591505</v>
      </c>
      <c r="W176">
        <f t="shared" si="9"/>
        <v>324.13829328332588</v>
      </c>
      <c r="X176">
        <f t="shared" si="10"/>
        <v>1</v>
      </c>
      <c r="Y176">
        <f>IF(AND(C176&lt;U176, C176&gt;V176),1,0)</f>
        <v>0</v>
      </c>
      <c r="Z176">
        <f t="shared" si="11"/>
        <v>0</v>
      </c>
      <c r="AA176">
        <f>IF(AND(Y176=1,F176&gt;0), 1, 0)</f>
        <v>0</v>
      </c>
    </row>
    <row r="177" spans="1:27" x14ac:dyDescent="0.3">
      <c r="A177" s="1">
        <v>43070</v>
      </c>
      <c r="B177" s="1">
        <v>43161</v>
      </c>
      <c r="C177">
        <v>325.04768357276902</v>
      </c>
      <c r="D177">
        <v>308.15000019073398</v>
      </c>
      <c r="E177">
        <v>321.85000000000002</v>
      </c>
      <c r="F177">
        <v>-13.699999809265099</v>
      </c>
      <c r="G177">
        <v>3.1976835727691602</v>
      </c>
      <c r="H177">
        <v>-13.699999809265099</v>
      </c>
      <c r="I177">
        <v>323.723623251915</v>
      </c>
      <c r="J177">
        <v>324.00534138679501</v>
      </c>
      <c r="K177">
        <v>321.56703469753199</v>
      </c>
      <c r="L177">
        <v>322.14861825704497</v>
      </c>
      <c r="M177">
        <v>324.46743354797297</v>
      </c>
      <c r="N177">
        <v>331.02322068214397</v>
      </c>
      <c r="O177">
        <v>315.814258670806</v>
      </c>
      <c r="P177">
        <v>325.70105419158898</v>
      </c>
      <c r="Q177">
        <f t="shared" si="8"/>
        <v>322.48962342909357</v>
      </c>
      <c r="R177">
        <f>IF((Q177-E177)*(D177-E177)&gt;0, 1,0)</f>
        <v>0</v>
      </c>
      <c r="S177">
        <v>7.7846316790000003</v>
      </c>
      <c r="T177" s="1">
        <v>43161</v>
      </c>
      <c r="U177">
        <f>D177+1.65*S177</f>
        <v>320.99464246108397</v>
      </c>
      <c r="V177">
        <f>D177-1.65*S177</f>
        <v>295.30535792038398</v>
      </c>
      <c r="W177">
        <f t="shared" si="9"/>
        <v>322.48962342909357</v>
      </c>
      <c r="X177">
        <f t="shared" si="10"/>
        <v>0</v>
      </c>
      <c r="Y177">
        <f>IF(AND(C177&lt;U177, C177&gt;V177),1,0)</f>
        <v>0</v>
      </c>
      <c r="Z177">
        <f t="shared" si="11"/>
        <v>0</v>
      </c>
      <c r="AA177">
        <f>IF(AND(Y177=1,F177&gt;0), 1, 0)</f>
        <v>0</v>
      </c>
    </row>
    <row r="178" spans="1:27" x14ac:dyDescent="0.3">
      <c r="A178" s="1">
        <v>43073</v>
      </c>
      <c r="B178" s="1">
        <v>43164</v>
      </c>
      <c r="C178">
        <v>326.02172589302</v>
      </c>
      <c r="D178">
        <v>303.85000038146899</v>
      </c>
      <c r="E178">
        <v>325</v>
      </c>
      <c r="F178">
        <v>-21.149999618530199</v>
      </c>
      <c r="G178">
        <v>1.0217258930206199</v>
      </c>
      <c r="H178">
        <v>-21.149999618530199</v>
      </c>
      <c r="I178">
        <v>326.05824553966499</v>
      </c>
      <c r="J178">
        <v>326.10601890087099</v>
      </c>
      <c r="K178">
        <v>325.60704165697098</v>
      </c>
      <c r="L178">
        <v>323.58726537227602</v>
      </c>
      <c r="M178">
        <v>326.145636677742</v>
      </c>
      <c r="N178">
        <v>326.87207913398697</v>
      </c>
      <c r="O178">
        <v>318.97091388702302</v>
      </c>
      <c r="P178">
        <v>328.00038456916798</v>
      </c>
      <c r="Q178">
        <f t="shared" si="8"/>
        <v>324.9250723719594</v>
      </c>
      <c r="R178">
        <f>IF((Q178-E178)*(D178-E178)&gt;0, 1,0)</f>
        <v>1</v>
      </c>
      <c r="S178">
        <v>8.1110012539999996</v>
      </c>
      <c r="T178" s="1">
        <v>43164</v>
      </c>
      <c r="U178">
        <f>D178+1.65*S178</f>
        <v>317.23315245056898</v>
      </c>
      <c r="V178">
        <f>D178-1.65*S178</f>
        <v>290.466848312369</v>
      </c>
      <c r="W178">
        <f t="shared" si="9"/>
        <v>324.9250723719594</v>
      </c>
      <c r="X178">
        <f t="shared" si="10"/>
        <v>0</v>
      </c>
      <c r="Y178">
        <f>IF(AND(C178&lt;U178, C178&gt;V178),1,0)</f>
        <v>0</v>
      </c>
      <c r="Z178">
        <f t="shared" si="11"/>
        <v>0</v>
      </c>
      <c r="AA178">
        <f>IF(AND(Y178=1,F178&gt;0), 1, 0)</f>
        <v>0</v>
      </c>
    </row>
    <row r="179" spans="1:27" x14ac:dyDescent="0.3">
      <c r="A179" s="1">
        <v>43074</v>
      </c>
      <c r="B179" s="1">
        <v>43165</v>
      </c>
      <c r="C179">
        <v>325.24895308017699</v>
      </c>
      <c r="D179">
        <v>310.30000076293902</v>
      </c>
      <c r="E179">
        <v>326.60000000000002</v>
      </c>
      <c r="F179">
        <v>16.299999237060501</v>
      </c>
      <c r="G179">
        <v>-1.35104691982269</v>
      </c>
      <c r="H179">
        <v>-16.299999237060501</v>
      </c>
      <c r="I179">
        <v>326.652543707191</v>
      </c>
      <c r="J179">
        <v>326.25260857343602</v>
      </c>
      <c r="K179">
        <v>325.17942306995297</v>
      </c>
      <c r="L179">
        <v>324.59197101593003</v>
      </c>
      <c r="M179">
        <v>328.30736777782403</v>
      </c>
      <c r="N179">
        <v>318.84882512092503</v>
      </c>
      <c r="O179">
        <v>317.249361610412</v>
      </c>
      <c r="P179">
        <v>323.959729290008</v>
      </c>
      <c r="Q179">
        <f t="shared" si="8"/>
        <v>324.59900072067921</v>
      </c>
      <c r="R179">
        <f>IF((Q179-E179)*(D179-E179)&gt;0, 1,0)</f>
        <v>1</v>
      </c>
      <c r="S179">
        <v>8.2212875949999997</v>
      </c>
      <c r="T179" s="1">
        <v>43165</v>
      </c>
      <c r="U179">
        <f>D179+1.65*S179</f>
        <v>323.86512529468899</v>
      </c>
      <c r="V179">
        <f>D179-1.65*S179</f>
        <v>296.73487623118905</v>
      </c>
      <c r="W179">
        <f t="shared" si="9"/>
        <v>324.59900072067921</v>
      </c>
      <c r="X179">
        <f t="shared" si="10"/>
        <v>0</v>
      </c>
      <c r="Y179">
        <f>IF(AND(C179&lt;U179, C179&gt;V179),1,0)</f>
        <v>0</v>
      </c>
      <c r="Z179">
        <f t="shared" si="11"/>
        <v>0</v>
      </c>
      <c r="AA179">
        <f>IF(AND(Y179=1,F179&gt;0), 1, 0)</f>
        <v>0</v>
      </c>
    </row>
    <row r="180" spans="1:27" x14ac:dyDescent="0.3">
      <c r="A180" s="1">
        <v>43075</v>
      </c>
      <c r="B180" s="1">
        <v>43166</v>
      </c>
      <c r="C180">
        <v>323.13646080493902</v>
      </c>
      <c r="D180">
        <v>310.45000019073399</v>
      </c>
      <c r="E180">
        <v>321.64999999999998</v>
      </c>
      <c r="F180">
        <v>-11.199999809265099</v>
      </c>
      <c r="G180">
        <v>1.48646080493927</v>
      </c>
      <c r="H180">
        <v>-11.199999809265099</v>
      </c>
      <c r="I180">
        <v>323.751310253143</v>
      </c>
      <c r="J180">
        <v>324.032881402969</v>
      </c>
      <c r="K180">
        <v>321.97502311468099</v>
      </c>
      <c r="L180">
        <v>319.66414012908899</v>
      </c>
      <c r="M180">
        <v>323.80675306320097</v>
      </c>
      <c r="N180">
        <v>311.70088863372803</v>
      </c>
      <c r="O180">
        <v>318.27137603759701</v>
      </c>
      <c r="P180">
        <v>319.76614203452999</v>
      </c>
      <c r="Q180">
        <f t="shared" si="8"/>
        <v>321.60966086217286</v>
      </c>
      <c r="R180">
        <f>IF((Q180-E180)*(D180-E180)&gt;0, 1,0)</f>
        <v>1</v>
      </c>
      <c r="S180">
        <v>8.3422529989999994</v>
      </c>
      <c r="T180" s="1">
        <v>43166</v>
      </c>
      <c r="U180">
        <f>D180+1.65*S180</f>
        <v>324.21471763908397</v>
      </c>
      <c r="V180">
        <f>D180-1.65*S180</f>
        <v>296.685282742384</v>
      </c>
      <c r="W180">
        <f t="shared" si="9"/>
        <v>321.60966086217286</v>
      </c>
      <c r="X180">
        <f t="shared" si="10"/>
        <v>1</v>
      </c>
      <c r="Y180">
        <f>IF(AND(C180&lt;U180, C180&gt;V180),1,0)</f>
        <v>1</v>
      </c>
      <c r="Z180">
        <f t="shared" si="11"/>
        <v>1</v>
      </c>
      <c r="AA180">
        <f>IF(AND(Y180=1,F180&gt;0), 1, 0)</f>
        <v>0</v>
      </c>
    </row>
    <row r="181" spans="1:27" x14ac:dyDescent="0.3">
      <c r="A181" s="1">
        <v>43076</v>
      </c>
      <c r="B181" s="1">
        <v>43167</v>
      </c>
      <c r="C181">
        <v>323.15830416679302</v>
      </c>
      <c r="D181">
        <v>313.60000009536702</v>
      </c>
      <c r="E181">
        <v>320.7</v>
      </c>
      <c r="F181">
        <v>-7.0999999046325604</v>
      </c>
      <c r="G181">
        <v>2.4583041667938201</v>
      </c>
      <c r="H181">
        <v>-7.0999999046325604</v>
      </c>
      <c r="I181">
        <v>323.32413501739501</v>
      </c>
      <c r="J181">
        <v>322.93175072669902</v>
      </c>
      <c r="K181">
        <v>321.95988161563798</v>
      </c>
      <c r="L181">
        <v>320.26302109360603</v>
      </c>
      <c r="M181">
        <v>321.80108447074798</v>
      </c>
      <c r="N181">
        <v>308.63615345954798</v>
      </c>
      <c r="O181">
        <v>314.80366249084398</v>
      </c>
      <c r="P181">
        <v>321.21445627212501</v>
      </c>
      <c r="Q181">
        <f t="shared" si="8"/>
        <v>320.8997130981507</v>
      </c>
      <c r="R181">
        <f>IF((Q181-E181)*(D181-E181)&gt;0, 1,0)</f>
        <v>0</v>
      </c>
      <c r="S181">
        <v>8.4016687900000004</v>
      </c>
      <c r="T181" s="1">
        <v>43167</v>
      </c>
      <c r="U181">
        <f>D181+1.65*S181</f>
        <v>327.46275359886704</v>
      </c>
      <c r="V181">
        <f>D181-1.65*S181</f>
        <v>299.73724659186701</v>
      </c>
      <c r="W181">
        <f t="shared" si="9"/>
        <v>320.8997130981507</v>
      </c>
      <c r="X181">
        <f t="shared" si="10"/>
        <v>1</v>
      </c>
      <c r="Y181">
        <f>IF(AND(C181&lt;U181, C181&gt;V181),1,0)</f>
        <v>1</v>
      </c>
      <c r="Z181">
        <f t="shared" si="11"/>
        <v>0</v>
      </c>
      <c r="AA181">
        <f>IF(AND(Y181=1,F181&gt;0), 1, 0)</f>
        <v>0</v>
      </c>
    </row>
    <row r="182" spans="1:27" x14ac:dyDescent="0.3">
      <c r="A182" s="1">
        <v>43077</v>
      </c>
      <c r="B182" s="1">
        <v>43168</v>
      </c>
      <c r="C182">
        <v>323.03105237483902</v>
      </c>
      <c r="D182">
        <v>317.099999809265</v>
      </c>
      <c r="E182">
        <v>321.39999999999998</v>
      </c>
      <c r="F182">
        <v>-4.3000001907348597</v>
      </c>
      <c r="G182">
        <v>1.6310523748397801</v>
      </c>
      <c r="H182">
        <v>-4.3000001907348597</v>
      </c>
      <c r="I182">
        <v>322.39573433399198</v>
      </c>
      <c r="J182">
        <v>321.89081474542598</v>
      </c>
      <c r="K182">
        <v>322.89683248996698</v>
      </c>
      <c r="L182">
        <v>320.78877981901098</v>
      </c>
      <c r="M182">
        <v>321.52451057881098</v>
      </c>
      <c r="N182">
        <v>301.05879030227601</v>
      </c>
      <c r="O182">
        <v>316.33156147003098</v>
      </c>
      <c r="P182">
        <v>322.20217725038498</v>
      </c>
      <c r="Q182">
        <f t="shared" si="8"/>
        <v>321.14720152680326</v>
      </c>
      <c r="R182">
        <f>IF((Q182-E182)*(D182-E182)&gt;0, 1,0)</f>
        <v>1</v>
      </c>
      <c r="S182">
        <v>8.4200109340000004</v>
      </c>
      <c r="T182" s="1">
        <v>43168</v>
      </c>
      <c r="U182">
        <f>D182+1.65*S182</f>
        <v>330.99301785036499</v>
      </c>
      <c r="V182">
        <f>D182-1.65*S182</f>
        <v>303.20698176816501</v>
      </c>
      <c r="W182">
        <f t="shared" si="9"/>
        <v>321.14720152680326</v>
      </c>
      <c r="X182">
        <f t="shared" si="10"/>
        <v>1</v>
      </c>
      <c r="Y182">
        <f>IF(AND(C182&lt;U182, C182&gt;V182),1,0)</f>
        <v>1</v>
      </c>
      <c r="Z182">
        <f t="shared" si="11"/>
        <v>1</v>
      </c>
      <c r="AA182">
        <f>IF(AND(Y182=1,F182&gt;0), 1, 0)</f>
        <v>0</v>
      </c>
    </row>
    <row r="183" spans="1:27" x14ac:dyDescent="0.3">
      <c r="A183" s="1">
        <v>43080</v>
      </c>
      <c r="B183" s="1">
        <v>43171</v>
      </c>
      <c r="C183">
        <v>321.43234629184002</v>
      </c>
      <c r="D183">
        <v>320.10000002384101</v>
      </c>
      <c r="E183">
        <v>321.5</v>
      </c>
      <c r="F183">
        <v>1.3999999761581401</v>
      </c>
      <c r="G183">
        <v>-6.7653708159923498E-2</v>
      </c>
      <c r="H183">
        <v>-1.3999999761581401</v>
      </c>
      <c r="I183">
        <v>324.315950632095</v>
      </c>
      <c r="J183">
        <v>322.77208435535402</v>
      </c>
      <c r="K183">
        <v>322.41550964116999</v>
      </c>
      <c r="L183">
        <v>321.838453292846</v>
      </c>
      <c r="M183">
        <v>325.205901145935</v>
      </c>
      <c r="N183">
        <v>299.16120681762698</v>
      </c>
      <c r="O183">
        <v>311.944654464721</v>
      </c>
      <c r="P183">
        <v>323.50760459899902</v>
      </c>
      <c r="Q183">
        <f t="shared" si="8"/>
        <v>321.71430830444569</v>
      </c>
      <c r="R183">
        <f>IF((Q183-E183)*(D183-E183)&gt;0, 1,0)</f>
        <v>0</v>
      </c>
      <c r="S183">
        <v>8.4218353159999992</v>
      </c>
      <c r="T183" s="1">
        <v>43171</v>
      </c>
      <c r="U183">
        <f>D183+1.65*S183</f>
        <v>333.99602829524099</v>
      </c>
      <c r="V183">
        <f>D183-1.65*S183</f>
        <v>306.20397175244102</v>
      </c>
      <c r="W183">
        <f t="shared" si="9"/>
        <v>321.71430830444569</v>
      </c>
      <c r="X183">
        <f t="shared" si="10"/>
        <v>1</v>
      </c>
      <c r="Y183">
        <f>IF(AND(C183&lt;U183, C183&gt;V183),1,0)</f>
        <v>1</v>
      </c>
      <c r="Z183">
        <f t="shared" si="11"/>
        <v>0</v>
      </c>
      <c r="AA183">
        <f>IF(AND(Y183=1,F183&gt;0), 1, 0)</f>
        <v>1</v>
      </c>
    </row>
    <row r="184" spans="1:27" x14ac:dyDescent="0.3">
      <c r="A184" s="1">
        <v>43081</v>
      </c>
      <c r="B184" s="1">
        <v>43172</v>
      </c>
      <c r="C184">
        <v>321.838421893119</v>
      </c>
      <c r="D184">
        <v>321.49999995231599</v>
      </c>
      <c r="E184">
        <v>320.45</v>
      </c>
      <c r="F184">
        <v>1.04999995231628</v>
      </c>
      <c r="G184">
        <v>1.38842189311981</v>
      </c>
      <c r="H184">
        <v>1.04999995231628</v>
      </c>
      <c r="I184">
        <v>324.45701713561999</v>
      </c>
      <c r="J184">
        <v>325.77471942901599</v>
      </c>
      <c r="K184">
        <v>322.08074696063898</v>
      </c>
      <c r="L184">
        <v>321.29025257825799</v>
      </c>
      <c r="M184">
        <v>324.96371192932099</v>
      </c>
      <c r="N184">
        <v>303.48518648147501</v>
      </c>
      <c r="O184">
        <v>318.766362142562</v>
      </c>
      <c r="P184">
        <v>322.90064854621801</v>
      </c>
      <c r="Q184">
        <f t="shared" si="8"/>
        <v>322.89049410309059</v>
      </c>
      <c r="R184">
        <f>IF((Q184-E184)*(D184-E184)&gt;0, 1,0)</f>
        <v>1</v>
      </c>
      <c r="S184">
        <v>8.4208132720000002</v>
      </c>
      <c r="T184" s="1">
        <v>43172</v>
      </c>
      <c r="U184">
        <f>D184+1.65*S184</f>
        <v>335.394341851116</v>
      </c>
      <c r="V184">
        <f>D184-1.65*S184</f>
        <v>307.60565805351598</v>
      </c>
      <c r="W184">
        <f t="shared" si="9"/>
        <v>322.89049410309059</v>
      </c>
      <c r="X184">
        <f t="shared" si="10"/>
        <v>1</v>
      </c>
      <c r="Y184">
        <f>IF(AND(C184&lt;U184, C184&gt;V184),1,0)</f>
        <v>1</v>
      </c>
      <c r="Z184">
        <f t="shared" si="11"/>
        <v>1</v>
      </c>
      <c r="AA184">
        <f>IF(AND(Y184=1,F184&gt;0), 1, 0)</f>
        <v>1</v>
      </c>
    </row>
    <row r="185" spans="1:27" x14ac:dyDescent="0.3">
      <c r="A185" s="1">
        <v>43082</v>
      </c>
      <c r="B185" s="1">
        <v>43173</v>
      </c>
      <c r="C185">
        <v>321.496998524665</v>
      </c>
      <c r="D185">
        <v>321.550000047683</v>
      </c>
      <c r="E185">
        <v>322.85000000000002</v>
      </c>
      <c r="F185">
        <v>1.29999995231628</v>
      </c>
      <c r="G185">
        <v>-1.3530014753341599</v>
      </c>
      <c r="H185">
        <v>-1.29999995231628</v>
      </c>
      <c r="I185">
        <v>325.492107725143</v>
      </c>
      <c r="J185">
        <v>325.75079498291001</v>
      </c>
      <c r="K185">
        <v>320.53904328346198</v>
      </c>
      <c r="L185">
        <v>323.49802175760198</v>
      </c>
      <c r="M185">
        <v>325.65916190147402</v>
      </c>
      <c r="N185">
        <v>306.17268733978199</v>
      </c>
      <c r="O185">
        <v>319.94797644615102</v>
      </c>
      <c r="P185">
        <v>323.86029729843102</v>
      </c>
      <c r="Q185">
        <f t="shared" si="8"/>
        <v>323.53534334216755</v>
      </c>
      <c r="R185">
        <f>IF((Q185-E185)*(D185-E185)&gt;0, 1,0)</f>
        <v>0</v>
      </c>
      <c r="S185">
        <v>8.4191190099999993</v>
      </c>
      <c r="T185" s="1">
        <v>43173</v>
      </c>
      <c r="U185">
        <f>D185+1.65*S185</f>
        <v>335.44154641418299</v>
      </c>
      <c r="V185">
        <f>D185-1.65*S185</f>
        <v>307.658453681183</v>
      </c>
      <c r="W185">
        <f t="shared" si="9"/>
        <v>323.53534334216755</v>
      </c>
      <c r="X185">
        <f t="shared" si="10"/>
        <v>1</v>
      </c>
      <c r="Y185">
        <f>IF(AND(C185&lt;U185, C185&gt;V185),1,0)</f>
        <v>1</v>
      </c>
      <c r="Z185">
        <f t="shared" si="11"/>
        <v>0</v>
      </c>
      <c r="AA185">
        <f>IF(AND(Y185=1,F185&gt;0), 1, 0)</f>
        <v>1</v>
      </c>
    </row>
    <row r="186" spans="1:27" x14ac:dyDescent="0.3">
      <c r="A186" s="1">
        <v>43083</v>
      </c>
      <c r="B186" s="1">
        <v>43174</v>
      </c>
      <c r="C186">
        <v>328.26424365043601</v>
      </c>
      <c r="D186">
        <v>322.84999995231601</v>
      </c>
      <c r="E186">
        <v>324.3</v>
      </c>
      <c r="F186">
        <v>-1.45000004768371</v>
      </c>
      <c r="G186">
        <v>3.9642436504364</v>
      </c>
      <c r="H186">
        <v>-1.45000004768371</v>
      </c>
      <c r="I186">
        <v>327.15948967933599</v>
      </c>
      <c r="J186">
        <v>326.398165273666</v>
      </c>
      <c r="K186">
        <v>324.00546585321399</v>
      </c>
      <c r="L186">
        <v>325.38451402187297</v>
      </c>
      <c r="M186">
        <v>326.82769041061403</v>
      </c>
      <c r="N186">
        <v>305.08370380401601</v>
      </c>
      <c r="O186">
        <v>325.49982492923698</v>
      </c>
      <c r="P186">
        <v>330.427735614776</v>
      </c>
      <c r="Q186">
        <f t="shared" si="8"/>
        <v>326.52898368324514</v>
      </c>
      <c r="R186">
        <f>IF((Q186-E186)*(D186-E186)&gt;0, 1,0)</f>
        <v>0</v>
      </c>
      <c r="S186">
        <v>8.4134700549999994</v>
      </c>
      <c r="T186" s="1">
        <v>43174</v>
      </c>
      <c r="U186">
        <f>D186+1.65*S186</f>
        <v>336.73222554306602</v>
      </c>
      <c r="V186">
        <f>D186-1.65*S186</f>
        <v>308.967774361566</v>
      </c>
      <c r="W186">
        <f t="shared" si="9"/>
        <v>326.52898368324514</v>
      </c>
      <c r="X186">
        <f t="shared" si="10"/>
        <v>1</v>
      </c>
      <c r="Y186">
        <f>IF(AND(C186&lt;U186, C186&gt;V186),1,0)</f>
        <v>1</v>
      </c>
      <c r="Z186">
        <f t="shared" si="11"/>
        <v>0</v>
      </c>
      <c r="AA186">
        <f>IF(AND(Y186=1,F186&gt;0), 1, 0)</f>
        <v>0</v>
      </c>
    </row>
    <row r="187" spans="1:27" x14ac:dyDescent="0.3">
      <c r="A187" s="1">
        <v>43084</v>
      </c>
      <c r="B187" s="1">
        <v>43175</v>
      </c>
      <c r="C187">
        <v>327.89353132247902</v>
      </c>
      <c r="D187">
        <v>322</v>
      </c>
      <c r="E187">
        <v>322.75</v>
      </c>
      <c r="F187">
        <v>-0.75</v>
      </c>
      <c r="G187">
        <v>5.1435313224792401</v>
      </c>
      <c r="H187">
        <v>-0.75</v>
      </c>
      <c r="I187">
        <v>322.54871836304602</v>
      </c>
      <c r="J187">
        <v>324.17103004455498</v>
      </c>
      <c r="K187">
        <v>322.58291466534098</v>
      </c>
      <c r="L187">
        <v>323.22099739313097</v>
      </c>
      <c r="M187">
        <v>322.96177148818902</v>
      </c>
      <c r="N187">
        <v>308.292259025573</v>
      </c>
      <c r="O187">
        <v>326.67470908164898</v>
      </c>
      <c r="P187">
        <v>323.25920224189701</v>
      </c>
      <c r="Q187">
        <f t="shared" si="8"/>
        <v>323.63133475397257</v>
      </c>
      <c r="R187">
        <f>IF((Q187-E187)*(D187-E187)&gt;0, 1,0)</f>
        <v>0</v>
      </c>
      <c r="S187">
        <v>8.4121949600000008</v>
      </c>
      <c r="T187" s="1">
        <v>43175</v>
      </c>
      <c r="U187">
        <f>D187+1.65*S187</f>
        <v>335.88012168400002</v>
      </c>
      <c r="V187">
        <f>D187-1.65*S187</f>
        <v>308.11987831599998</v>
      </c>
      <c r="W187">
        <f t="shared" si="9"/>
        <v>323.63133475397257</v>
      </c>
      <c r="X187">
        <f t="shared" si="10"/>
        <v>1</v>
      </c>
      <c r="Y187">
        <f>IF(AND(C187&lt;U187, C187&gt;V187),1,0)</f>
        <v>1</v>
      </c>
      <c r="Z187">
        <f t="shared" si="11"/>
        <v>0</v>
      </c>
      <c r="AA187">
        <f>IF(AND(Y187=1,F187&gt;0), 1, 0)</f>
        <v>0</v>
      </c>
    </row>
    <row r="188" spans="1:27" x14ac:dyDescent="0.3">
      <c r="A188" s="1">
        <v>43087</v>
      </c>
      <c r="B188" s="1">
        <v>43178</v>
      </c>
      <c r="C188">
        <v>329.71818628311098</v>
      </c>
      <c r="D188">
        <v>319.849999809265</v>
      </c>
      <c r="E188">
        <v>324.14999999999998</v>
      </c>
      <c r="F188">
        <v>-4.3000001907348597</v>
      </c>
      <c r="G188">
        <v>5.5681862831115696</v>
      </c>
      <c r="H188">
        <v>-4.3000001907348597</v>
      </c>
      <c r="I188">
        <v>324.08730223923902</v>
      </c>
      <c r="J188">
        <v>326.18402256965601</v>
      </c>
      <c r="K188">
        <v>327.31958713531401</v>
      </c>
      <c r="L188">
        <v>327.16128196716301</v>
      </c>
      <c r="M188">
        <v>329.67401256561197</v>
      </c>
      <c r="N188">
        <v>309.21653699874798</v>
      </c>
      <c r="O188">
        <v>325.51992442607798</v>
      </c>
      <c r="P188">
        <v>327.24844684600799</v>
      </c>
      <c r="Q188">
        <f t="shared" si="8"/>
        <v>326.74208253558146</v>
      </c>
      <c r="R188">
        <f>IF((Q188-E188)*(D188-E188)&gt;0, 1,0)</f>
        <v>0</v>
      </c>
      <c r="S188">
        <v>8.4075674189999994</v>
      </c>
      <c r="T188" s="1">
        <v>43178</v>
      </c>
      <c r="U188">
        <f>D188+1.65*S188</f>
        <v>333.72248605061498</v>
      </c>
      <c r="V188">
        <f>D188-1.65*S188</f>
        <v>305.97751356791503</v>
      </c>
      <c r="W188">
        <f t="shared" si="9"/>
        <v>326.74208253558146</v>
      </c>
      <c r="X188">
        <f t="shared" si="10"/>
        <v>1</v>
      </c>
      <c r="Y188">
        <f>IF(AND(C188&lt;U188, C188&gt;V188),1,0)</f>
        <v>1</v>
      </c>
      <c r="Z188">
        <f t="shared" si="11"/>
        <v>0</v>
      </c>
      <c r="AA188">
        <f>IF(AND(Y188=1,F188&gt;0), 1, 0)</f>
        <v>0</v>
      </c>
    </row>
    <row r="189" spans="1:27" x14ac:dyDescent="0.3">
      <c r="A189" s="1">
        <v>43088</v>
      </c>
      <c r="B189" s="1">
        <v>43179</v>
      </c>
      <c r="C189">
        <v>329.44295749664298</v>
      </c>
      <c r="D189">
        <v>321.300000047683</v>
      </c>
      <c r="E189">
        <v>323.85000000000002</v>
      </c>
      <c r="F189">
        <v>-2.5499999523162802</v>
      </c>
      <c r="G189">
        <v>5.5929574966430602</v>
      </c>
      <c r="H189">
        <v>-2.5499999523162802</v>
      </c>
      <c r="I189">
        <v>324.32988811135198</v>
      </c>
      <c r="J189">
        <v>323.66661596894198</v>
      </c>
      <c r="K189">
        <v>326.27331266403201</v>
      </c>
      <c r="L189">
        <v>326.04911432266198</v>
      </c>
      <c r="M189">
        <v>328.30110034942601</v>
      </c>
      <c r="N189">
        <v>303.25435161590502</v>
      </c>
      <c r="O189">
        <v>331.97793731689399</v>
      </c>
      <c r="P189">
        <v>328.18627462387002</v>
      </c>
      <c r="Q189">
        <f t="shared" si="8"/>
        <v>326.96917762245397</v>
      </c>
      <c r="R189">
        <f>IF((Q189-E189)*(D189-E189)&gt;0, 1,0)</f>
        <v>0</v>
      </c>
      <c r="S189">
        <v>8.4018458220000003</v>
      </c>
      <c r="T189" s="1">
        <v>43179</v>
      </c>
      <c r="U189">
        <f>D189+1.65*S189</f>
        <v>335.16304565398298</v>
      </c>
      <c r="V189">
        <f>D189-1.65*S189</f>
        <v>307.43695444138302</v>
      </c>
      <c r="W189">
        <f t="shared" si="9"/>
        <v>326.96917762245397</v>
      </c>
      <c r="X189">
        <f t="shared" si="10"/>
        <v>1</v>
      </c>
      <c r="Y189">
        <f>IF(AND(C189&lt;U189, C189&gt;V189),1,0)</f>
        <v>1</v>
      </c>
      <c r="Z189">
        <f t="shared" si="11"/>
        <v>0</v>
      </c>
      <c r="AA189">
        <f>IF(AND(Y189=1,F189&gt;0), 1, 0)</f>
        <v>0</v>
      </c>
    </row>
    <row r="190" spans="1:27" x14ac:dyDescent="0.3">
      <c r="A190" s="1">
        <v>43089</v>
      </c>
      <c r="B190" s="1">
        <v>43180</v>
      </c>
      <c r="C190">
        <v>332.29074935913002</v>
      </c>
      <c r="D190">
        <v>321.59999995231601</v>
      </c>
      <c r="E190">
        <v>323.55</v>
      </c>
      <c r="F190">
        <v>-1.95000004768371</v>
      </c>
      <c r="G190">
        <v>8.7407493591308594</v>
      </c>
      <c r="H190">
        <v>-1.95000004768371</v>
      </c>
      <c r="I190">
        <v>322.33425323963098</v>
      </c>
      <c r="J190">
        <v>323.26468430757501</v>
      </c>
      <c r="K190">
        <v>330.00199108123701</v>
      </c>
      <c r="L190">
        <v>327.88498859405502</v>
      </c>
      <c r="M190">
        <v>330.43340950012202</v>
      </c>
      <c r="N190">
        <v>305.99573307037298</v>
      </c>
      <c r="O190">
        <v>329.89767913818298</v>
      </c>
      <c r="P190">
        <v>323.031714844703</v>
      </c>
      <c r="Q190">
        <f t="shared" si="8"/>
        <v>326.69267438650087</v>
      </c>
      <c r="R190">
        <f>IF((Q190-E190)*(D190-E190)&gt;0, 1,0)</f>
        <v>0</v>
      </c>
      <c r="S190">
        <v>8.3973422559999999</v>
      </c>
      <c r="T190" s="1">
        <v>43180</v>
      </c>
      <c r="U190">
        <f>D190+1.65*S190</f>
        <v>335.455614674716</v>
      </c>
      <c r="V190">
        <f>D190-1.65*S190</f>
        <v>307.74438522991602</v>
      </c>
      <c r="W190">
        <f t="shared" si="9"/>
        <v>326.69267438650087</v>
      </c>
      <c r="X190">
        <f t="shared" si="10"/>
        <v>1</v>
      </c>
      <c r="Y190">
        <f>IF(AND(C190&lt;U190, C190&gt;V190),1,0)</f>
        <v>1</v>
      </c>
      <c r="Z190">
        <f t="shared" si="11"/>
        <v>0</v>
      </c>
      <c r="AA190">
        <f>IF(AND(Y190=1,F190&gt;0), 1, 0)</f>
        <v>0</v>
      </c>
    </row>
    <row r="191" spans="1:27" x14ac:dyDescent="0.3">
      <c r="A191" s="1">
        <v>43090</v>
      </c>
      <c r="B191" s="1">
        <v>43181</v>
      </c>
      <c r="C191">
        <v>329.16105327606198</v>
      </c>
      <c r="D191">
        <v>322.10000000000002</v>
      </c>
      <c r="E191">
        <v>316.85000000000002</v>
      </c>
      <c r="F191">
        <v>5.25</v>
      </c>
      <c r="G191">
        <v>12.311053276061999</v>
      </c>
      <c r="H191">
        <v>5.25</v>
      </c>
      <c r="I191">
        <v>319.85261259078902</v>
      </c>
      <c r="J191">
        <v>318.59854481220202</v>
      </c>
      <c r="K191">
        <v>325.77498302459702</v>
      </c>
      <c r="L191">
        <v>320.90348587036101</v>
      </c>
      <c r="M191">
        <v>325.37651691436702</v>
      </c>
      <c r="N191">
        <v>309.20140752792298</v>
      </c>
      <c r="O191">
        <v>333.99411354064898</v>
      </c>
      <c r="P191">
        <v>323.45660648345898</v>
      </c>
      <c r="Q191">
        <f t="shared" si="8"/>
        <v>323.9938376052034</v>
      </c>
      <c r="R191">
        <f>IF((Q191-E191)*(D191-E191)&gt;0, 1,0)</f>
        <v>1</v>
      </c>
      <c r="S191">
        <v>8.3789192900000007</v>
      </c>
      <c r="T191" s="1">
        <v>43181</v>
      </c>
      <c r="U191">
        <f>D191+1.65*S191</f>
        <v>335.92521682850003</v>
      </c>
      <c r="V191">
        <f>D191-1.65*S191</f>
        <v>308.27478317150002</v>
      </c>
      <c r="W191">
        <f t="shared" si="9"/>
        <v>323.9938376052034</v>
      </c>
      <c r="X191">
        <f t="shared" si="10"/>
        <v>1</v>
      </c>
      <c r="Y191">
        <f>IF(AND(C191&lt;U191, C191&gt;V191),1,0)</f>
        <v>1</v>
      </c>
      <c r="Z191">
        <f t="shared" si="11"/>
        <v>1</v>
      </c>
      <c r="AA191">
        <f>IF(AND(Y191=1,F191&gt;0), 1, 0)</f>
        <v>1</v>
      </c>
    </row>
    <row r="192" spans="1:27" x14ac:dyDescent="0.3">
      <c r="A192" s="1">
        <v>43091</v>
      </c>
      <c r="B192" s="1">
        <v>43182</v>
      </c>
      <c r="C192">
        <v>330.89655399322498</v>
      </c>
      <c r="D192">
        <v>311.5</v>
      </c>
      <c r="E192">
        <v>318.5</v>
      </c>
      <c r="F192">
        <v>-7</v>
      </c>
      <c r="G192">
        <v>12.396553993225</v>
      </c>
      <c r="H192">
        <v>-7</v>
      </c>
      <c r="I192">
        <v>318.92773553729</v>
      </c>
      <c r="J192">
        <v>319.644215106964</v>
      </c>
      <c r="K192">
        <v>323.91973209381098</v>
      </c>
      <c r="L192">
        <v>322.62140130996698</v>
      </c>
      <c r="M192">
        <v>324.37660598754798</v>
      </c>
      <c r="N192">
        <v>310.243888092041</v>
      </c>
      <c r="O192">
        <v>327.86213016509998</v>
      </c>
      <c r="P192">
        <v>319.94182932376799</v>
      </c>
      <c r="Q192">
        <f t="shared" si="8"/>
        <v>322.47052136063542</v>
      </c>
      <c r="R192">
        <f>IF((Q192-E192)*(D192-E192)&gt;0, 1,0)</f>
        <v>0</v>
      </c>
      <c r="S192">
        <v>8.4613439439999993</v>
      </c>
      <c r="T192" s="1">
        <v>43182</v>
      </c>
      <c r="U192">
        <f>D192+1.65*S192</f>
        <v>325.4612175076</v>
      </c>
      <c r="V192">
        <f>D192-1.65*S192</f>
        <v>297.5387824924</v>
      </c>
      <c r="W192">
        <f t="shared" si="9"/>
        <v>322.47052136063542</v>
      </c>
      <c r="X192">
        <f t="shared" si="10"/>
        <v>1</v>
      </c>
      <c r="Y192">
        <f>IF(AND(C192&lt;U192, C192&gt;V192),1,0)</f>
        <v>0</v>
      </c>
      <c r="Z192">
        <f t="shared" si="11"/>
        <v>0</v>
      </c>
      <c r="AA192">
        <f>IF(AND(Y192=1,F192&gt;0), 1, 0)</f>
        <v>0</v>
      </c>
    </row>
    <row r="193" spans="1:27" x14ac:dyDescent="0.3">
      <c r="A193" s="1">
        <v>43094</v>
      </c>
      <c r="B193" s="1">
        <v>43185</v>
      </c>
      <c r="C193">
        <v>330.22651767730702</v>
      </c>
      <c r="D193">
        <v>314.5</v>
      </c>
      <c r="E193">
        <v>318.5</v>
      </c>
      <c r="F193">
        <v>-4</v>
      </c>
      <c r="G193">
        <v>11.7265176773071</v>
      </c>
      <c r="H193">
        <v>-4</v>
      </c>
      <c r="I193">
        <v>318.32418867945597</v>
      </c>
      <c r="J193">
        <v>318.44444384425799</v>
      </c>
      <c r="K193">
        <v>324.20046997070301</v>
      </c>
      <c r="L193">
        <v>323.66691589355401</v>
      </c>
      <c r="M193">
        <v>321.45660328865</v>
      </c>
      <c r="N193">
        <v>314.70292172431903</v>
      </c>
      <c r="O193">
        <v>331.91085433959898</v>
      </c>
      <c r="P193">
        <v>317.78089582920001</v>
      </c>
      <c r="Q193">
        <f t="shared" si="8"/>
        <v>322.25491026363142</v>
      </c>
      <c r="R193">
        <f>IF((Q193-E193)*(D193-E193)&gt;0, 1,0)</f>
        <v>0</v>
      </c>
      <c r="S193">
        <v>8.4964367529999993</v>
      </c>
      <c r="T193" s="1">
        <v>43185</v>
      </c>
      <c r="U193">
        <f>D193+1.65*S193</f>
        <v>328.51912064244999</v>
      </c>
      <c r="V193">
        <f>D193-1.65*S193</f>
        <v>300.48087935755001</v>
      </c>
      <c r="W193">
        <f t="shared" si="9"/>
        <v>322.25491026363142</v>
      </c>
      <c r="X193">
        <f t="shared" si="10"/>
        <v>1</v>
      </c>
      <c r="Y193">
        <f>IF(AND(C193&lt;U193, C193&gt;V193),1,0)</f>
        <v>0</v>
      </c>
      <c r="Z193">
        <f t="shared" si="11"/>
        <v>0</v>
      </c>
      <c r="AA193">
        <f>IF(AND(Y193=1,F193&gt;0), 1, 0)</f>
        <v>0</v>
      </c>
    </row>
    <row r="194" spans="1:27" x14ac:dyDescent="0.3">
      <c r="A194" s="1">
        <v>43095</v>
      </c>
      <c r="B194" s="1">
        <v>43186</v>
      </c>
      <c r="C194">
        <v>330.07459850311199</v>
      </c>
      <c r="D194">
        <v>315.15000004768302</v>
      </c>
      <c r="E194">
        <v>317.45</v>
      </c>
      <c r="F194">
        <v>-2.2999999523162802</v>
      </c>
      <c r="G194">
        <v>12.624598503112701</v>
      </c>
      <c r="H194">
        <v>-2.2999999523162802</v>
      </c>
      <c r="I194">
        <v>318.742377829551</v>
      </c>
      <c r="J194">
        <v>316.81686486005702</v>
      </c>
      <c r="K194">
        <v>322.18394393920897</v>
      </c>
      <c r="L194">
        <v>321.217479896545</v>
      </c>
      <c r="M194">
        <v>320.06247658729501</v>
      </c>
      <c r="N194">
        <v>313.09327507018997</v>
      </c>
      <c r="O194">
        <v>333.26816196441598</v>
      </c>
      <c r="P194">
        <v>318.47287077903701</v>
      </c>
      <c r="Q194">
        <f t="shared" si="8"/>
        <v>321.53773940801568</v>
      </c>
      <c r="R194">
        <f>IF((Q194-E194)*(D194-E194)&gt;0, 1,0)</f>
        <v>0</v>
      </c>
      <c r="S194">
        <v>8.5171890680000004</v>
      </c>
      <c r="T194" s="1">
        <v>43186</v>
      </c>
      <c r="U194">
        <f>D194+1.65*S194</f>
        <v>329.20336200988299</v>
      </c>
      <c r="V194">
        <f>D194-1.65*S194</f>
        <v>301.09663808548305</v>
      </c>
      <c r="W194">
        <f t="shared" si="9"/>
        <v>321.53773940801568</v>
      </c>
      <c r="X194">
        <f t="shared" si="10"/>
        <v>1</v>
      </c>
      <c r="Y194">
        <f>IF(AND(C194&lt;U194, C194&gt;V194),1,0)</f>
        <v>0</v>
      </c>
      <c r="Z194">
        <f t="shared" si="11"/>
        <v>0</v>
      </c>
      <c r="AA194">
        <f>IF(AND(Y194=1,F194&gt;0), 1, 0)</f>
        <v>0</v>
      </c>
    </row>
    <row r="195" spans="1:27" x14ac:dyDescent="0.3">
      <c r="A195" s="1">
        <v>43096</v>
      </c>
      <c r="B195" s="1">
        <v>43187</v>
      </c>
      <c r="C195">
        <v>331.789360237121</v>
      </c>
      <c r="D195">
        <v>310.64999980926501</v>
      </c>
      <c r="E195">
        <v>321.2</v>
      </c>
      <c r="F195">
        <v>-10.550000190734799</v>
      </c>
      <c r="G195">
        <v>10.5893602371215</v>
      </c>
      <c r="H195">
        <v>-10.550000190734799</v>
      </c>
      <c r="I195">
        <v>322.934786391258</v>
      </c>
      <c r="J195">
        <v>319.56302340030601</v>
      </c>
      <c r="K195">
        <v>327.29799766540498</v>
      </c>
      <c r="L195">
        <v>325.40152664184501</v>
      </c>
      <c r="M195">
        <v>320.01411373615201</v>
      </c>
      <c r="N195">
        <v>307.38774747848498</v>
      </c>
      <c r="O195">
        <v>336.25796527862502</v>
      </c>
      <c r="P195">
        <v>325.87901468276903</v>
      </c>
      <c r="Q195">
        <f t="shared" ref="Q195:Q258" si="12">AVERAGE(I195:M195, O195:P195)</f>
        <v>325.33548968519432</v>
      </c>
      <c r="R195">
        <f>IF((Q195-E195)*(D195-E195)&gt;0, 1,0)</f>
        <v>0</v>
      </c>
      <c r="S195">
        <v>8.6170227179999994</v>
      </c>
      <c r="T195" s="1">
        <v>43187</v>
      </c>
      <c r="U195">
        <f>D195+1.65*S195</f>
        <v>324.868087293965</v>
      </c>
      <c r="V195">
        <f>D195-1.65*S195</f>
        <v>296.43191232456502</v>
      </c>
      <c r="W195">
        <f t="shared" ref="W195:W258" si="13">Q195</f>
        <v>325.33548968519432</v>
      </c>
      <c r="X195">
        <f t="shared" ref="X195:X258" si="14">IF(AND(W195&lt;U195, W195&gt;V195),1,0)</f>
        <v>0</v>
      </c>
      <c r="Y195">
        <f>IF(AND(C195&lt;U195, C195&gt;V195),1,0)</f>
        <v>0</v>
      </c>
      <c r="Z195">
        <f t="shared" ref="Z195:Z258" si="15">IF(AND(X195=1,R195=1), 1, 0)</f>
        <v>0</v>
      </c>
      <c r="AA195">
        <f>IF(AND(Y195=1,F195&gt;0), 1, 0)</f>
        <v>0</v>
      </c>
    </row>
    <row r="196" spans="1:27" x14ac:dyDescent="0.3">
      <c r="A196" s="1">
        <v>43097</v>
      </c>
      <c r="B196" s="1">
        <v>43188</v>
      </c>
      <c r="C196">
        <v>335.682299995422</v>
      </c>
      <c r="D196">
        <v>314.45000019073399</v>
      </c>
      <c r="E196">
        <v>325.64999999999998</v>
      </c>
      <c r="F196">
        <v>-11.199999809265099</v>
      </c>
      <c r="G196">
        <v>10.032299995422299</v>
      </c>
      <c r="H196">
        <v>-11.199999809265099</v>
      </c>
      <c r="I196">
        <v>324.50238230228399</v>
      </c>
      <c r="J196">
        <v>320.42398824691702</v>
      </c>
      <c r="K196">
        <v>326.68500831127102</v>
      </c>
      <c r="L196">
        <v>327.86673202514601</v>
      </c>
      <c r="M196">
        <v>322.55385842323301</v>
      </c>
      <c r="N196">
        <v>305.36043424606299</v>
      </c>
      <c r="O196">
        <v>335.35108222961401</v>
      </c>
      <c r="P196">
        <v>325.55645444393099</v>
      </c>
      <c r="Q196">
        <f t="shared" si="12"/>
        <v>326.13421514034235</v>
      </c>
      <c r="R196">
        <f>IF((Q196-E196)*(D196-E196)&gt;0, 1,0)</f>
        <v>0</v>
      </c>
      <c r="S196">
        <v>8.6352032039999997</v>
      </c>
      <c r="T196" s="1">
        <v>43188</v>
      </c>
      <c r="U196">
        <f>D196+1.65*S196</f>
        <v>328.69808547733396</v>
      </c>
      <c r="V196">
        <f>D196-1.65*S196</f>
        <v>300.20191490413401</v>
      </c>
      <c r="W196">
        <f t="shared" si="13"/>
        <v>326.13421514034235</v>
      </c>
      <c r="X196">
        <f t="shared" si="14"/>
        <v>1</v>
      </c>
      <c r="Y196">
        <f>IF(AND(C196&lt;U196, C196&gt;V196),1,0)</f>
        <v>0</v>
      </c>
      <c r="Z196">
        <f t="shared" si="15"/>
        <v>0</v>
      </c>
      <c r="AA196">
        <f>IF(AND(Y196=1,F196&gt;0), 1, 0)</f>
        <v>0</v>
      </c>
    </row>
    <row r="197" spans="1:27" x14ac:dyDescent="0.3">
      <c r="A197" s="1">
        <v>43098</v>
      </c>
      <c r="B197" s="1">
        <v>43189</v>
      </c>
      <c r="C197">
        <v>336.47700443267797</v>
      </c>
      <c r="D197">
        <v>314.54999961853002</v>
      </c>
      <c r="E197">
        <v>325.64999999999998</v>
      </c>
      <c r="F197">
        <v>-11.1000003814697</v>
      </c>
      <c r="G197">
        <v>10.8270044326782</v>
      </c>
      <c r="H197">
        <v>-11.1000003814697</v>
      </c>
      <c r="I197">
        <v>324.168424034118</v>
      </c>
      <c r="J197">
        <v>320.52526941299402</v>
      </c>
      <c r="K197">
        <v>325.85893250405701</v>
      </c>
      <c r="L197">
        <v>327.25768306255299</v>
      </c>
      <c r="M197">
        <v>321.28273906707699</v>
      </c>
      <c r="N197">
        <v>305.38974251747101</v>
      </c>
      <c r="O197">
        <v>331.58801593780498</v>
      </c>
      <c r="P197">
        <v>321.62230243682802</v>
      </c>
      <c r="Q197">
        <f t="shared" si="12"/>
        <v>324.61476663649034</v>
      </c>
      <c r="R197">
        <f>IF((Q197-E197)*(D197-E197)&gt;0, 1,0)</f>
        <v>1</v>
      </c>
      <c r="S197">
        <v>8.6487421970000007</v>
      </c>
      <c r="T197" s="1">
        <v>43189</v>
      </c>
      <c r="U197">
        <f>D197+1.65*S197</f>
        <v>328.82042424358002</v>
      </c>
      <c r="V197">
        <f>D197-1.65*S197</f>
        <v>300.27957499348003</v>
      </c>
      <c r="W197">
        <f t="shared" si="13"/>
        <v>324.61476663649034</v>
      </c>
      <c r="X197">
        <f t="shared" si="14"/>
        <v>1</v>
      </c>
      <c r="Y197">
        <f>IF(AND(C197&lt;U197, C197&gt;V197),1,0)</f>
        <v>0</v>
      </c>
      <c r="Z197">
        <f t="shared" si="15"/>
        <v>1</v>
      </c>
      <c r="AA197">
        <f>IF(AND(Y197=1,F197&gt;0), 1, 0)</f>
        <v>0</v>
      </c>
    </row>
    <row r="198" spans="1:27" x14ac:dyDescent="0.3">
      <c r="A198" s="1">
        <v>43101</v>
      </c>
      <c r="B198" s="1">
        <v>43192</v>
      </c>
      <c r="C198">
        <v>331.76439895629801</v>
      </c>
      <c r="D198">
        <v>313.45000019073399</v>
      </c>
      <c r="E198">
        <v>325.64999999999998</v>
      </c>
      <c r="F198">
        <v>-12.199999809265099</v>
      </c>
      <c r="G198">
        <v>6.1143989562988201</v>
      </c>
      <c r="H198">
        <v>-12.199999809265099</v>
      </c>
      <c r="I198">
        <v>320.905272388458</v>
      </c>
      <c r="J198">
        <v>323.11891188621502</v>
      </c>
      <c r="K198">
        <v>324.335715317726</v>
      </c>
      <c r="L198">
        <v>316.38072814941398</v>
      </c>
      <c r="M198">
        <v>314.268369102478</v>
      </c>
      <c r="N198">
        <v>303.97848983705001</v>
      </c>
      <c r="O198">
        <v>321.24975719451902</v>
      </c>
      <c r="P198">
        <v>316.87026634216301</v>
      </c>
      <c r="Q198">
        <f t="shared" si="12"/>
        <v>319.58986005442472</v>
      </c>
      <c r="R198">
        <f>IF((Q198-E198)*(D198-E198)&gt;0, 1,0)</f>
        <v>1</v>
      </c>
      <c r="S198">
        <v>8.6717526760000005</v>
      </c>
      <c r="T198" s="1">
        <v>43192</v>
      </c>
      <c r="U198">
        <f>D198+1.65*S198</f>
        <v>327.75839210613401</v>
      </c>
      <c r="V198">
        <f>D198-1.65*S198</f>
        <v>299.14160827533397</v>
      </c>
      <c r="W198">
        <f t="shared" si="13"/>
        <v>319.58986005442472</v>
      </c>
      <c r="X198">
        <f t="shared" si="14"/>
        <v>1</v>
      </c>
      <c r="Y198">
        <f>IF(AND(C198&lt;U198, C198&gt;V198),1,0)</f>
        <v>0</v>
      </c>
      <c r="Z198">
        <f t="shared" si="15"/>
        <v>1</v>
      </c>
      <c r="AA198">
        <f>IF(AND(Y198=1,F198&gt;0), 1, 0)</f>
        <v>0</v>
      </c>
    </row>
    <row r="199" spans="1:27" x14ac:dyDescent="0.3">
      <c r="A199" s="1">
        <v>43102</v>
      </c>
      <c r="B199" s="1">
        <v>43193</v>
      </c>
      <c r="C199">
        <v>329.08265638351401</v>
      </c>
      <c r="D199">
        <v>312.80000019073401</v>
      </c>
      <c r="E199">
        <v>326.5</v>
      </c>
      <c r="F199">
        <v>-13.699999809265099</v>
      </c>
      <c r="G199">
        <v>2.5826563835143999</v>
      </c>
      <c r="H199">
        <v>-13.699999809265099</v>
      </c>
      <c r="I199">
        <v>319.951098918914</v>
      </c>
      <c r="J199">
        <v>323.79923415183998</v>
      </c>
      <c r="K199">
        <v>324.212628602981</v>
      </c>
      <c r="L199">
        <v>315.97976493835398</v>
      </c>
      <c r="M199">
        <v>313.009840965271</v>
      </c>
      <c r="N199">
        <v>302.58635454177801</v>
      </c>
      <c r="O199">
        <v>323.18756842613197</v>
      </c>
      <c r="P199">
        <v>317.43165397643997</v>
      </c>
      <c r="Q199">
        <f t="shared" si="12"/>
        <v>319.653112854276</v>
      </c>
      <c r="R199">
        <f>IF((Q199-E199)*(D199-E199)&gt;0, 1,0)</f>
        <v>1</v>
      </c>
      <c r="S199">
        <v>8.6901519890000003</v>
      </c>
      <c r="T199" s="1">
        <v>43193</v>
      </c>
      <c r="U199">
        <f>D199+1.65*S199</f>
        <v>327.13875097258403</v>
      </c>
      <c r="V199">
        <f>D199-1.65*S199</f>
        <v>298.46124940888399</v>
      </c>
      <c r="W199">
        <f t="shared" si="13"/>
        <v>319.653112854276</v>
      </c>
      <c r="X199">
        <f t="shared" si="14"/>
        <v>1</v>
      </c>
      <c r="Y199">
        <f>IF(AND(C199&lt;U199, C199&gt;V199),1,0)</f>
        <v>0</v>
      </c>
      <c r="Z199">
        <f t="shared" si="15"/>
        <v>1</v>
      </c>
      <c r="AA199">
        <f>IF(AND(Y199=1,F199&gt;0), 1, 0)</f>
        <v>0</v>
      </c>
    </row>
    <row r="200" spans="1:27" x14ac:dyDescent="0.3">
      <c r="A200" s="1">
        <v>43103</v>
      </c>
      <c r="B200" s="1">
        <v>43194</v>
      </c>
      <c r="C200">
        <v>328.03550900220802</v>
      </c>
      <c r="D200">
        <v>307.55000038146898</v>
      </c>
      <c r="E200">
        <v>327.7</v>
      </c>
      <c r="F200">
        <v>-20.149999618530199</v>
      </c>
      <c r="G200">
        <v>0.335509002208709</v>
      </c>
      <c r="H200">
        <v>-20.149999618530199</v>
      </c>
      <c r="I200">
        <v>322.20627851486199</v>
      </c>
      <c r="J200">
        <v>324.40207953453</v>
      </c>
      <c r="K200">
        <v>326.45771582126599</v>
      </c>
      <c r="L200">
        <v>318.59915275573701</v>
      </c>
      <c r="M200">
        <v>317.47953624725301</v>
      </c>
      <c r="N200">
        <v>303.36410207748401</v>
      </c>
      <c r="O200">
        <v>320.065398883819</v>
      </c>
      <c r="P200">
        <v>322.33391304016101</v>
      </c>
      <c r="Q200">
        <f t="shared" si="12"/>
        <v>321.64915354251832</v>
      </c>
      <c r="R200">
        <f>IF((Q200-E200)*(D200-E200)&gt;0, 1,0)</f>
        <v>1</v>
      </c>
      <c r="S200">
        <v>8.7806458519999993</v>
      </c>
      <c r="T200" s="1">
        <v>43194</v>
      </c>
      <c r="U200">
        <f>D200+1.65*S200</f>
        <v>322.03806603726895</v>
      </c>
      <c r="V200">
        <f>D200-1.65*S200</f>
        <v>293.061934725669</v>
      </c>
      <c r="W200">
        <f t="shared" si="13"/>
        <v>321.64915354251832</v>
      </c>
      <c r="X200">
        <f t="shared" si="14"/>
        <v>1</v>
      </c>
      <c r="Y200">
        <f>IF(AND(C200&lt;U200, C200&gt;V200),1,0)</f>
        <v>0</v>
      </c>
      <c r="Z200">
        <f t="shared" si="15"/>
        <v>1</v>
      </c>
      <c r="AA200">
        <f>IF(AND(Y200=1,F200&gt;0), 1, 0)</f>
        <v>0</v>
      </c>
    </row>
    <row r="201" spans="1:27" x14ac:dyDescent="0.3">
      <c r="A201" s="1">
        <v>43104</v>
      </c>
      <c r="B201" s="1">
        <v>43195</v>
      </c>
      <c r="C201">
        <v>324.25468504428801</v>
      </c>
      <c r="D201">
        <v>312.94999980926502</v>
      </c>
      <c r="E201">
        <v>325</v>
      </c>
      <c r="F201">
        <v>12.050000190734799</v>
      </c>
      <c r="G201">
        <v>-0.74531495571136397</v>
      </c>
      <c r="H201">
        <v>-12.050000190734799</v>
      </c>
      <c r="I201">
        <v>321.02012443542401</v>
      </c>
      <c r="J201">
        <v>324.74506923556299</v>
      </c>
      <c r="K201">
        <v>326.93370425701102</v>
      </c>
      <c r="L201">
        <v>322.17581653594902</v>
      </c>
      <c r="M201">
        <v>320.35074520110999</v>
      </c>
      <c r="N201">
        <v>308.480365848541</v>
      </c>
      <c r="O201">
        <v>318.54084920883099</v>
      </c>
      <c r="P201">
        <v>318.28822755813599</v>
      </c>
      <c r="Q201">
        <f t="shared" si="12"/>
        <v>321.72207663314623</v>
      </c>
      <c r="R201">
        <f>IF((Q201-E201)*(D201-E201)&gt;0, 1,0)</f>
        <v>1</v>
      </c>
      <c r="S201">
        <v>8.8002029589999999</v>
      </c>
      <c r="T201" s="1">
        <v>43195</v>
      </c>
      <c r="U201">
        <f>D201+1.65*S201</f>
        <v>327.47033469161499</v>
      </c>
      <c r="V201">
        <f>D201-1.65*S201</f>
        <v>298.42966492691505</v>
      </c>
      <c r="W201">
        <f t="shared" si="13"/>
        <v>321.72207663314623</v>
      </c>
      <c r="X201">
        <f t="shared" si="14"/>
        <v>1</v>
      </c>
      <c r="Y201">
        <f>IF(AND(C201&lt;U201, C201&gt;V201),1,0)</f>
        <v>1</v>
      </c>
      <c r="Z201">
        <f t="shared" si="15"/>
        <v>1</v>
      </c>
      <c r="AA201">
        <f>IF(AND(Y201=1,F201&gt;0), 1, 0)</f>
        <v>1</v>
      </c>
    </row>
    <row r="202" spans="1:27" x14ac:dyDescent="0.3">
      <c r="A202" s="1">
        <v>43105</v>
      </c>
      <c r="B202" s="1">
        <v>43196</v>
      </c>
      <c r="C202">
        <v>326.40828747749299</v>
      </c>
      <c r="D202">
        <v>311.2</v>
      </c>
      <c r="E202">
        <v>328.95</v>
      </c>
      <c r="F202">
        <v>17.75</v>
      </c>
      <c r="G202">
        <v>-2.5417125225067099</v>
      </c>
      <c r="H202">
        <v>-17.75</v>
      </c>
      <c r="I202">
        <v>321.28056020736602</v>
      </c>
      <c r="J202">
        <v>325.40227813720702</v>
      </c>
      <c r="K202">
        <v>328.23238159418099</v>
      </c>
      <c r="L202">
        <v>324.94627733230499</v>
      </c>
      <c r="M202">
        <v>321.570223045349</v>
      </c>
      <c r="N202">
        <v>314.19538674354499</v>
      </c>
      <c r="O202">
        <v>319.36778182983397</v>
      </c>
      <c r="P202">
        <v>324.68575353622401</v>
      </c>
      <c r="Q202">
        <f t="shared" si="12"/>
        <v>323.64075081178089</v>
      </c>
      <c r="R202">
        <f>IF((Q202-E202)*(D202-E202)&gt;0, 1,0)</f>
        <v>1</v>
      </c>
      <c r="S202">
        <v>8.7870778289999993</v>
      </c>
      <c r="T202" s="1">
        <v>43196</v>
      </c>
      <c r="U202">
        <f>D202+1.65*S202</f>
        <v>325.69867841784998</v>
      </c>
      <c r="V202">
        <f>D202-1.65*S202</f>
        <v>296.70132158215</v>
      </c>
      <c r="W202">
        <f t="shared" si="13"/>
        <v>323.64075081178089</v>
      </c>
      <c r="X202">
        <f t="shared" si="14"/>
        <v>1</v>
      </c>
      <c r="Y202">
        <f>IF(AND(C202&lt;U202, C202&gt;V202),1,0)</f>
        <v>0</v>
      </c>
      <c r="Z202">
        <f t="shared" si="15"/>
        <v>1</v>
      </c>
      <c r="AA202">
        <f>IF(AND(Y202=1,F202&gt;0), 1, 0)</f>
        <v>0</v>
      </c>
    </row>
    <row r="203" spans="1:27" x14ac:dyDescent="0.3">
      <c r="A203" s="1">
        <v>43108</v>
      </c>
      <c r="B203" s="1">
        <v>43199</v>
      </c>
      <c r="C203">
        <v>327.59105181694002</v>
      </c>
      <c r="D203">
        <v>312.950000762939</v>
      </c>
      <c r="E203">
        <v>331.25</v>
      </c>
      <c r="F203">
        <v>18.299999237060501</v>
      </c>
      <c r="G203">
        <v>-3.6589481830596902</v>
      </c>
      <c r="H203">
        <v>-18.299999237060501</v>
      </c>
      <c r="I203">
        <v>327.14547014236399</v>
      </c>
      <c r="J203">
        <v>328.71060729026698</v>
      </c>
      <c r="K203">
        <v>331.206493414938</v>
      </c>
      <c r="L203">
        <v>326.35689592361399</v>
      </c>
      <c r="M203">
        <v>324.77917289733801</v>
      </c>
      <c r="N203">
        <v>313.005346393585</v>
      </c>
      <c r="O203">
        <v>318.84769916534401</v>
      </c>
      <c r="P203">
        <v>320.374382019042</v>
      </c>
      <c r="Q203">
        <f t="shared" si="12"/>
        <v>325.345817264701</v>
      </c>
      <c r="R203">
        <f>IF((Q203-E203)*(D203-E203)&gt;0, 1,0)</f>
        <v>1</v>
      </c>
      <c r="S203">
        <v>8.6981674269999996</v>
      </c>
      <c r="T203" s="1">
        <v>43199</v>
      </c>
      <c r="U203">
        <f>D203+1.65*S203</f>
        <v>327.30197701748898</v>
      </c>
      <c r="V203">
        <f>D203-1.65*S203</f>
        <v>298.59802450838902</v>
      </c>
      <c r="W203">
        <f t="shared" si="13"/>
        <v>325.345817264701</v>
      </c>
      <c r="X203">
        <f t="shared" si="14"/>
        <v>1</v>
      </c>
      <c r="Y203">
        <f>IF(AND(C203&lt;U203, C203&gt;V203),1,0)</f>
        <v>0</v>
      </c>
      <c r="Z203">
        <f t="shared" si="15"/>
        <v>1</v>
      </c>
      <c r="AA203">
        <f>IF(AND(Y203=1,F203&gt;0), 1, 0)</f>
        <v>0</v>
      </c>
    </row>
    <row r="204" spans="1:27" x14ac:dyDescent="0.3">
      <c r="A204" s="1">
        <v>43109</v>
      </c>
      <c r="B204" s="1">
        <v>43200</v>
      </c>
      <c r="C204">
        <v>326.04793424606299</v>
      </c>
      <c r="D204">
        <v>313.45</v>
      </c>
      <c r="E204">
        <v>330.45</v>
      </c>
      <c r="F204">
        <v>17</v>
      </c>
      <c r="G204">
        <v>-4.4020657539367596</v>
      </c>
      <c r="H204">
        <v>-17</v>
      </c>
      <c r="I204">
        <v>327.18683214187598</v>
      </c>
      <c r="J204">
        <v>328.786277008056</v>
      </c>
      <c r="K204">
        <v>330.07957268953299</v>
      </c>
      <c r="L204">
        <v>325.201616954803</v>
      </c>
      <c r="M204">
        <v>323.94172019958398</v>
      </c>
      <c r="N204">
        <v>318.65836882591202</v>
      </c>
      <c r="O204">
        <v>321.58506889343198</v>
      </c>
      <c r="P204">
        <v>321.76221389770501</v>
      </c>
      <c r="Q204">
        <f t="shared" si="12"/>
        <v>325.50618596928416</v>
      </c>
      <c r="R204">
        <f>IF((Q204-E204)*(D204-E204)&gt;0, 1,0)</f>
        <v>1</v>
      </c>
      <c r="S204">
        <v>8.6110026469999994</v>
      </c>
      <c r="T204" s="1">
        <v>43200</v>
      </c>
      <c r="U204">
        <f>D204+1.65*S204</f>
        <v>327.65815436754997</v>
      </c>
      <c r="V204">
        <f>D204-1.65*S204</f>
        <v>299.24184563245001</v>
      </c>
      <c r="W204">
        <f t="shared" si="13"/>
        <v>325.50618596928416</v>
      </c>
      <c r="X204">
        <f t="shared" si="14"/>
        <v>1</v>
      </c>
      <c r="Y204">
        <f>IF(AND(C204&lt;U204, C204&gt;V204),1,0)</f>
        <v>1</v>
      </c>
      <c r="Z204">
        <f t="shared" si="15"/>
        <v>1</v>
      </c>
      <c r="AA204">
        <f>IF(AND(Y204=1,F204&gt;0), 1, 0)</f>
        <v>1</v>
      </c>
    </row>
    <row r="205" spans="1:27" x14ac:dyDescent="0.3">
      <c r="A205" s="1">
        <v>43110</v>
      </c>
      <c r="B205" s="1">
        <v>43201</v>
      </c>
      <c r="C205">
        <v>326.64282939434003</v>
      </c>
      <c r="D205">
        <v>312.45000038146901</v>
      </c>
      <c r="E205">
        <v>327.85</v>
      </c>
      <c r="F205">
        <v>15.399999618530201</v>
      </c>
      <c r="G205">
        <v>-1.20717060565948</v>
      </c>
      <c r="H205">
        <v>-15.399999618530201</v>
      </c>
      <c r="I205">
        <v>325.79091224670401</v>
      </c>
      <c r="J205">
        <v>328.64839724302198</v>
      </c>
      <c r="K205">
        <v>327.60397159159101</v>
      </c>
      <c r="L205">
        <v>325.08512220382602</v>
      </c>
      <c r="M205">
        <v>323.28772125244097</v>
      </c>
      <c r="N205">
        <v>317.27325277328401</v>
      </c>
      <c r="O205">
        <v>321.14377746581999</v>
      </c>
      <c r="P205">
        <v>321.32250556945797</v>
      </c>
      <c r="Q205">
        <f t="shared" si="12"/>
        <v>324.69748679612314</v>
      </c>
      <c r="R205">
        <f>IF((Q205-E205)*(D205-E205)&gt;0, 1,0)</f>
        <v>1</v>
      </c>
      <c r="S205">
        <v>8.5749008320000009</v>
      </c>
      <c r="T205" s="1">
        <v>43201</v>
      </c>
      <c r="U205">
        <f>D205+1.65*S205</f>
        <v>326.59858675426904</v>
      </c>
      <c r="V205">
        <f>D205-1.65*S205</f>
        <v>298.30141400866898</v>
      </c>
      <c r="W205">
        <f t="shared" si="13"/>
        <v>324.69748679612314</v>
      </c>
      <c r="X205">
        <f t="shared" si="14"/>
        <v>1</v>
      </c>
      <c r="Y205">
        <f>IF(AND(C205&lt;U205, C205&gt;V205),1,0)</f>
        <v>0</v>
      </c>
      <c r="Z205">
        <f t="shared" si="15"/>
        <v>1</v>
      </c>
      <c r="AA205">
        <f>IF(AND(Y205=1,F205&gt;0), 1, 0)</f>
        <v>0</v>
      </c>
    </row>
    <row r="206" spans="1:27" x14ac:dyDescent="0.3">
      <c r="A206" s="1">
        <v>43111</v>
      </c>
      <c r="B206" s="1">
        <v>43202</v>
      </c>
      <c r="C206">
        <v>329.113533973693</v>
      </c>
      <c r="D206">
        <v>311.75</v>
      </c>
      <c r="E206">
        <v>326.5</v>
      </c>
      <c r="F206">
        <v>-14.75</v>
      </c>
      <c r="G206">
        <v>2.6135339736938401</v>
      </c>
      <c r="H206">
        <v>-14.75</v>
      </c>
      <c r="I206">
        <v>326.21550372242899</v>
      </c>
      <c r="J206">
        <v>328.31704056262902</v>
      </c>
      <c r="K206">
        <v>329.69775986671402</v>
      </c>
      <c r="L206">
        <v>326.29334244132002</v>
      </c>
      <c r="M206">
        <v>326.87308844923899</v>
      </c>
      <c r="N206">
        <v>316.51566038131699</v>
      </c>
      <c r="O206">
        <v>326.78172653913498</v>
      </c>
      <c r="P206">
        <v>322.89983749389597</v>
      </c>
      <c r="Q206">
        <f t="shared" si="12"/>
        <v>326.72547129648029</v>
      </c>
      <c r="R206">
        <f>IF((Q206-E206)*(D206-E206)&gt;0, 1,0)</f>
        <v>0</v>
      </c>
      <c r="S206">
        <v>8.5615552539999999</v>
      </c>
      <c r="T206" s="1">
        <v>43202</v>
      </c>
      <c r="U206">
        <f>D206+1.65*S206</f>
        <v>325.87656616909999</v>
      </c>
      <c r="V206">
        <f>D206-1.65*S206</f>
        <v>297.62343383090001</v>
      </c>
      <c r="W206">
        <f t="shared" si="13"/>
        <v>326.72547129648029</v>
      </c>
      <c r="X206">
        <f t="shared" si="14"/>
        <v>0</v>
      </c>
      <c r="Y206">
        <f>IF(AND(C206&lt;U206, C206&gt;V206),1,0)</f>
        <v>0</v>
      </c>
      <c r="Z206">
        <f t="shared" si="15"/>
        <v>0</v>
      </c>
      <c r="AA206">
        <f>IF(AND(Y206=1,F206&gt;0), 1, 0)</f>
        <v>0</v>
      </c>
    </row>
    <row r="207" spans="1:27" x14ac:dyDescent="0.3">
      <c r="A207" s="1">
        <v>43112</v>
      </c>
      <c r="B207" s="1">
        <v>43203</v>
      </c>
      <c r="C207">
        <v>326.10842452049201</v>
      </c>
      <c r="D207">
        <v>314.45000038146901</v>
      </c>
      <c r="E207">
        <v>326.85000000000002</v>
      </c>
      <c r="F207">
        <v>12.399999618530201</v>
      </c>
      <c r="G207">
        <v>-0.74157547950744596</v>
      </c>
      <c r="H207">
        <v>-12.399999618530201</v>
      </c>
      <c r="I207">
        <v>325.27650544643399</v>
      </c>
      <c r="J207">
        <v>327.87722418308198</v>
      </c>
      <c r="K207">
        <v>320.96792945861802</v>
      </c>
      <c r="L207">
        <v>324.41670236587498</v>
      </c>
      <c r="M207">
        <v>323.93043503761203</v>
      </c>
      <c r="N207">
        <v>316.497101306915</v>
      </c>
      <c r="O207">
        <v>330.65985498428302</v>
      </c>
      <c r="P207">
        <v>313.541125869751</v>
      </c>
      <c r="Q207">
        <f t="shared" si="12"/>
        <v>323.8099681922364</v>
      </c>
      <c r="R207">
        <f>IF((Q207-E207)*(D207-E207)&gt;0, 1,0)</f>
        <v>1</v>
      </c>
      <c r="S207">
        <v>8.5109402159999998</v>
      </c>
      <c r="T207" s="1">
        <v>43203</v>
      </c>
      <c r="U207">
        <f>D207+1.65*S207</f>
        <v>328.493051737869</v>
      </c>
      <c r="V207">
        <f>D207-1.65*S207</f>
        <v>300.40694902506903</v>
      </c>
      <c r="W207">
        <f t="shared" si="13"/>
        <v>323.8099681922364</v>
      </c>
      <c r="X207">
        <f t="shared" si="14"/>
        <v>1</v>
      </c>
      <c r="Y207">
        <f>IF(AND(C207&lt;U207, C207&gt;V207),1,0)</f>
        <v>1</v>
      </c>
      <c r="Z207">
        <f t="shared" si="15"/>
        <v>1</v>
      </c>
      <c r="AA207">
        <f>IF(AND(Y207=1,F207&gt;0), 1, 0)</f>
        <v>1</v>
      </c>
    </row>
    <row r="208" spans="1:27" x14ac:dyDescent="0.3">
      <c r="A208" s="1">
        <v>43115</v>
      </c>
      <c r="B208" s="1">
        <v>43206</v>
      </c>
      <c r="C208">
        <v>327.18832577317897</v>
      </c>
      <c r="D208">
        <v>314.3</v>
      </c>
      <c r="E208">
        <v>327.3</v>
      </c>
      <c r="F208">
        <v>13</v>
      </c>
      <c r="G208">
        <v>-0.111674226820468</v>
      </c>
      <c r="H208">
        <v>-13</v>
      </c>
      <c r="I208">
        <v>324.72980670928899</v>
      </c>
      <c r="J208">
        <v>325.659503269195</v>
      </c>
      <c r="K208">
        <v>325.962650465965</v>
      </c>
      <c r="L208">
        <v>322.32379226684498</v>
      </c>
      <c r="M208">
        <v>317.839003372192</v>
      </c>
      <c r="N208">
        <v>309.96860752105698</v>
      </c>
      <c r="O208">
        <v>327.44139562845203</v>
      </c>
      <c r="P208">
        <v>318.44970302581697</v>
      </c>
      <c r="Q208">
        <f t="shared" si="12"/>
        <v>323.20083639110788</v>
      </c>
      <c r="R208">
        <f>IF((Q208-E208)*(D208-E208)&gt;0, 1,0)</f>
        <v>1</v>
      </c>
      <c r="S208">
        <v>8.4492516450000004</v>
      </c>
      <c r="T208" s="1">
        <v>43206</v>
      </c>
      <c r="U208">
        <f>D208+1.65*S208</f>
        <v>328.24126521425001</v>
      </c>
      <c r="V208">
        <f>D208-1.65*S208</f>
        <v>300.35873478575002</v>
      </c>
      <c r="W208">
        <f t="shared" si="13"/>
        <v>323.20083639110788</v>
      </c>
      <c r="X208">
        <f t="shared" si="14"/>
        <v>1</v>
      </c>
      <c r="Y208">
        <f>IF(AND(C208&lt;U208, C208&gt;V208),1,0)</f>
        <v>1</v>
      </c>
      <c r="Z208">
        <f t="shared" si="15"/>
        <v>1</v>
      </c>
      <c r="AA208">
        <f>IF(AND(Y208=1,F208&gt;0), 1, 0)</f>
        <v>1</v>
      </c>
    </row>
    <row r="209" spans="1:27" x14ac:dyDescent="0.3">
      <c r="A209" s="1">
        <v>43116</v>
      </c>
      <c r="B209" s="1">
        <v>43207</v>
      </c>
      <c r="C209">
        <v>325.56640720367398</v>
      </c>
      <c r="D209">
        <v>314.39999961852999</v>
      </c>
      <c r="E209">
        <v>330.5</v>
      </c>
      <c r="F209">
        <v>16.100000381469702</v>
      </c>
      <c r="G209">
        <v>-4.93359279632568</v>
      </c>
      <c r="H209">
        <v>-16.100000381469702</v>
      </c>
      <c r="I209">
        <v>327.210864543914</v>
      </c>
      <c r="J209">
        <v>327.76863265037503</v>
      </c>
      <c r="K209">
        <v>327.26061677932699</v>
      </c>
      <c r="L209">
        <v>324.52736282348599</v>
      </c>
      <c r="M209">
        <v>321.716552734375</v>
      </c>
      <c r="N209">
        <v>311.81137447357099</v>
      </c>
      <c r="O209">
        <v>330.94927126169199</v>
      </c>
      <c r="P209">
        <v>321.68769741058298</v>
      </c>
      <c r="Q209">
        <f t="shared" si="12"/>
        <v>325.87442831482173</v>
      </c>
      <c r="R209">
        <f>IF((Q209-E209)*(D209-E209)&gt;0, 1,0)</f>
        <v>1</v>
      </c>
      <c r="S209">
        <v>8.3157281179999991</v>
      </c>
      <c r="T209" s="1">
        <v>43207</v>
      </c>
      <c r="U209">
        <f>D209+1.65*S209</f>
        <v>328.12095101323001</v>
      </c>
      <c r="V209">
        <f>D209-1.65*S209</f>
        <v>300.67904822382997</v>
      </c>
      <c r="W209">
        <f t="shared" si="13"/>
        <v>325.87442831482173</v>
      </c>
      <c r="X209">
        <f t="shared" si="14"/>
        <v>1</v>
      </c>
      <c r="Y209">
        <f>IF(AND(C209&lt;U209, C209&gt;V209),1,0)</f>
        <v>1</v>
      </c>
      <c r="Z209">
        <f t="shared" si="15"/>
        <v>1</v>
      </c>
      <c r="AA209">
        <f>IF(AND(Y209=1,F209&gt;0), 1, 0)</f>
        <v>1</v>
      </c>
    </row>
    <row r="210" spans="1:27" x14ac:dyDescent="0.3">
      <c r="A210" s="1">
        <v>43117</v>
      </c>
      <c r="B210" s="1">
        <v>43208</v>
      </c>
      <c r="C210">
        <v>324.66742105484002</v>
      </c>
      <c r="D210">
        <v>317.59999961852998</v>
      </c>
      <c r="E210">
        <v>329.2</v>
      </c>
      <c r="F210">
        <v>11.6000003814697</v>
      </c>
      <c r="G210">
        <v>-4.5325789451599103</v>
      </c>
      <c r="H210">
        <v>-11.6000003814697</v>
      </c>
      <c r="I210">
        <v>326.03459329605101</v>
      </c>
      <c r="J210">
        <v>326.733240556716</v>
      </c>
      <c r="K210">
        <v>325.40028376579198</v>
      </c>
      <c r="L210">
        <v>322.200024318695</v>
      </c>
      <c r="M210">
        <v>320.69586486816399</v>
      </c>
      <c r="N210">
        <v>320.06018946170798</v>
      </c>
      <c r="O210">
        <v>328.54097224473901</v>
      </c>
      <c r="P210">
        <v>321.40160961151099</v>
      </c>
      <c r="Q210">
        <f t="shared" si="12"/>
        <v>324.42951266595259</v>
      </c>
      <c r="R210">
        <f>IF((Q210-E210)*(D210-E210)&gt;0, 1,0)</f>
        <v>1</v>
      </c>
      <c r="S210">
        <v>8.1924887910000006</v>
      </c>
      <c r="T210" s="1">
        <v>43208</v>
      </c>
      <c r="U210">
        <f>D210+1.65*S210</f>
        <v>331.11760612367999</v>
      </c>
      <c r="V210">
        <f>D210-1.65*S210</f>
        <v>304.08239311337996</v>
      </c>
      <c r="W210">
        <f t="shared" si="13"/>
        <v>324.42951266595259</v>
      </c>
      <c r="X210">
        <f t="shared" si="14"/>
        <v>1</v>
      </c>
      <c r="Y210">
        <f>IF(AND(C210&lt;U210, C210&gt;V210),1,0)</f>
        <v>1</v>
      </c>
      <c r="Z210">
        <f t="shared" si="15"/>
        <v>1</v>
      </c>
      <c r="AA210">
        <f>IF(AND(Y210=1,F210&gt;0), 1, 0)</f>
        <v>1</v>
      </c>
    </row>
    <row r="211" spans="1:27" x14ac:dyDescent="0.3">
      <c r="A211" s="1">
        <v>43118</v>
      </c>
      <c r="B211" s="1">
        <v>43209</v>
      </c>
      <c r="C211">
        <v>326.32628121376001</v>
      </c>
      <c r="D211">
        <v>319.00000038146902</v>
      </c>
      <c r="E211">
        <v>329.4</v>
      </c>
      <c r="F211">
        <v>10.399999618530201</v>
      </c>
      <c r="G211">
        <v>-3.07371878623962</v>
      </c>
      <c r="H211">
        <v>-10.399999618530201</v>
      </c>
      <c r="I211">
        <v>326.54077854156401</v>
      </c>
      <c r="J211">
        <v>327.96407296657497</v>
      </c>
      <c r="K211">
        <v>326.18399062156601</v>
      </c>
      <c r="L211">
        <v>324.20846881866402</v>
      </c>
      <c r="M211">
        <v>323.597063922882</v>
      </c>
      <c r="N211">
        <v>315.59593877792298</v>
      </c>
      <c r="O211">
        <v>327.98967101573902</v>
      </c>
      <c r="P211">
        <v>321.73715724944998</v>
      </c>
      <c r="Q211">
        <f t="shared" si="12"/>
        <v>325.46017187663426</v>
      </c>
      <c r="R211">
        <f>IF((Q211-E211)*(D211-E211)&gt;0, 1,0)</f>
        <v>1</v>
      </c>
      <c r="S211">
        <v>8.0608853479999993</v>
      </c>
      <c r="T211" s="1">
        <v>43209</v>
      </c>
      <c r="U211">
        <f>D211+1.65*S211</f>
        <v>332.30046120566902</v>
      </c>
      <c r="V211">
        <f>D211-1.65*S211</f>
        <v>305.69953955726902</v>
      </c>
      <c r="W211">
        <f t="shared" si="13"/>
        <v>325.46017187663426</v>
      </c>
      <c r="X211">
        <f t="shared" si="14"/>
        <v>1</v>
      </c>
      <c r="Y211">
        <f>IF(AND(C211&lt;U211, C211&gt;V211),1,0)</f>
        <v>1</v>
      </c>
      <c r="Z211">
        <f t="shared" si="15"/>
        <v>1</v>
      </c>
      <c r="AA211">
        <f>IF(AND(Y211=1,F211&gt;0), 1, 0)</f>
        <v>1</v>
      </c>
    </row>
    <row r="212" spans="1:27" x14ac:dyDescent="0.3">
      <c r="A212" s="1">
        <v>43119</v>
      </c>
      <c r="B212" s="1">
        <v>43210</v>
      </c>
      <c r="C212">
        <v>327.58330140113799</v>
      </c>
      <c r="D212">
        <v>316.90000019073398</v>
      </c>
      <c r="E212">
        <v>329.6</v>
      </c>
      <c r="F212">
        <v>12.699999809265099</v>
      </c>
      <c r="G212">
        <v>-2.0166985988616899</v>
      </c>
      <c r="H212">
        <v>-12.699999809265099</v>
      </c>
      <c r="I212">
        <v>326.78909740448</v>
      </c>
      <c r="J212">
        <v>327.19042763710002</v>
      </c>
      <c r="K212">
        <v>327.82724640369401</v>
      </c>
      <c r="L212">
        <v>325.67225847244202</v>
      </c>
      <c r="M212">
        <v>323.505180454254</v>
      </c>
      <c r="N212">
        <v>318.02572345733603</v>
      </c>
      <c r="O212">
        <v>329.73008075952498</v>
      </c>
      <c r="P212">
        <v>323.210036373138</v>
      </c>
      <c r="Q212">
        <f t="shared" si="12"/>
        <v>326.27490392923335</v>
      </c>
      <c r="R212">
        <f>IF((Q212-E212)*(D212-E212)&gt;0, 1,0)</f>
        <v>1</v>
      </c>
      <c r="S212">
        <v>7.916586015</v>
      </c>
      <c r="T212" s="1">
        <v>43210</v>
      </c>
      <c r="U212">
        <f>D212+1.65*S212</f>
        <v>329.96236711548397</v>
      </c>
      <c r="V212">
        <f>D212-1.65*S212</f>
        <v>303.83763326598398</v>
      </c>
      <c r="W212">
        <f t="shared" si="13"/>
        <v>326.27490392923335</v>
      </c>
      <c r="X212">
        <f t="shared" si="14"/>
        <v>1</v>
      </c>
      <c r="Y212">
        <f>IF(AND(C212&lt;U212, C212&gt;V212),1,0)</f>
        <v>1</v>
      </c>
      <c r="Z212">
        <f t="shared" si="15"/>
        <v>1</v>
      </c>
      <c r="AA212">
        <f>IF(AND(Y212=1,F212&gt;0), 1, 0)</f>
        <v>1</v>
      </c>
    </row>
    <row r="213" spans="1:27" x14ac:dyDescent="0.3">
      <c r="A213" s="1">
        <v>43122</v>
      </c>
      <c r="B213" s="1">
        <v>43213</v>
      </c>
      <c r="C213">
        <v>327.13059204816801</v>
      </c>
      <c r="D213">
        <v>317.10000038146899</v>
      </c>
      <c r="E213">
        <v>326.25</v>
      </c>
      <c r="F213">
        <v>-9.1499996185302699</v>
      </c>
      <c r="G213">
        <v>0.88059204816818204</v>
      </c>
      <c r="H213">
        <v>-9.1499996185302699</v>
      </c>
      <c r="I213">
        <v>326.56639799475602</v>
      </c>
      <c r="J213">
        <v>327.04268389940199</v>
      </c>
      <c r="K213">
        <v>321.33922958374001</v>
      </c>
      <c r="L213">
        <v>323.52619934082003</v>
      </c>
      <c r="M213">
        <v>322.56709456443701</v>
      </c>
      <c r="N213">
        <v>320.98503065109202</v>
      </c>
      <c r="O213">
        <v>330.570756435394</v>
      </c>
      <c r="P213">
        <v>316.44695186614899</v>
      </c>
      <c r="Q213">
        <f t="shared" si="12"/>
        <v>324.00847338352833</v>
      </c>
      <c r="R213">
        <f>IF((Q213-E213)*(D213-E213)&gt;0, 1,0)</f>
        <v>1</v>
      </c>
      <c r="S213">
        <v>7.8366797359999998</v>
      </c>
      <c r="T213" s="1">
        <v>43213</v>
      </c>
      <c r="U213">
        <f>D213+1.65*S213</f>
        <v>330.030521945869</v>
      </c>
      <c r="V213">
        <f>D213-1.65*S213</f>
        <v>304.16947881706898</v>
      </c>
      <c r="W213">
        <f t="shared" si="13"/>
        <v>324.00847338352833</v>
      </c>
      <c r="X213">
        <f t="shared" si="14"/>
        <v>1</v>
      </c>
      <c r="Y213">
        <f>IF(AND(C213&lt;U213, C213&gt;V213),1,0)</f>
        <v>1</v>
      </c>
      <c r="Z213">
        <f t="shared" si="15"/>
        <v>1</v>
      </c>
      <c r="AA213">
        <f>IF(AND(Y213=1,F213&gt;0), 1, 0)</f>
        <v>0</v>
      </c>
    </row>
    <row r="214" spans="1:27" x14ac:dyDescent="0.3">
      <c r="A214" s="1">
        <v>43123</v>
      </c>
      <c r="B214" s="1">
        <v>43214</v>
      </c>
      <c r="C214">
        <v>328.11033892631502</v>
      </c>
      <c r="D214">
        <v>315.35000038146899</v>
      </c>
      <c r="E214">
        <v>331.25</v>
      </c>
      <c r="F214">
        <v>15.899999618530201</v>
      </c>
      <c r="G214">
        <v>-3.1396610736846902</v>
      </c>
      <c r="H214">
        <v>-15.899999618530201</v>
      </c>
      <c r="I214">
        <v>329.410461783409</v>
      </c>
      <c r="J214">
        <v>327.88835835456803</v>
      </c>
      <c r="K214">
        <v>326.01678133010802</v>
      </c>
      <c r="L214">
        <v>323.98143053054798</v>
      </c>
      <c r="M214">
        <v>323.931624412536</v>
      </c>
      <c r="N214">
        <v>314.582274341583</v>
      </c>
      <c r="O214">
        <v>325.39711093902503</v>
      </c>
      <c r="P214">
        <v>321.65154838562</v>
      </c>
      <c r="Q214">
        <f t="shared" si="12"/>
        <v>325.46818796225909</v>
      </c>
      <c r="R214">
        <f>IF((Q214-E214)*(D214-E214)&gt;0, 1,0)</f>
        <v>1</v>
      </c>
      <c r="S214">
        <v>7.6369487869999997</v>
      </c>
      <c r="T214" s="1">
        <v>43214</v>
      </c>
      <c r="U214">
        <f>D214+1.65*S214</f>
        <v>327.950965880019</v>
      </c>
      <c r="V214">
        <f>D214-1.65*S214</f>
        <v>302.74903488291898</v>
      </c>
      <c r="W214">
        <f t="shared" si="13"/>
        <v>325.46818796225909</v>
      </c>
      <c r="X214">
        <f t="shared" si="14"/>
        <v>1</v>
      </c>
      <c r="Y214">
        <f>IF(AND(C214&lt;U214, C214&gt;V214),1,0)</f>
        <v>0</v>
      </c>
      <c r="Z214">
        <f t="shared" si="15"/>
        <v>1</v>
      </c>
      <c r="AA214">
        <f>IF(AND(Y214=1,F214&gt;0), 1, 0)</f>
        <v>0</v>
      </c>
    </row>
    <row r="215" spans="1:27" x14ac:dyDescent="0.3">
      <c r="A215" s="1">
        <v>43124</v>
      </c>
      <c r="B215" s="1">
        <v>43215</v>
      </c>
      <c r="C215">
        <v>328.85424122810298</v>
      </c>
      <c r="D215">
        <v>312.95000038146901</v>
      </c>
      <c r="E215">
        <v>331.6</v>
      </c>
      <c r="F215">
        <v>18.649999618530199</v>
      </c>
      <c r="G215">
        <v>-2.7457587718963601</v>
      </c>
      <c r="H215">
        <v>-18.649999618530199</v>
      </c>
      <c r="I215">
        <v>329.69519374370498</v>
      </c>
      <c r="J215">
        <v>328.65645751953099</v>
      </c>
      <c r="K215">
        <v>327.97559199333102</v>
      </c>
      <c r="L215">
        <v>323.53039035797099</v>
      </c>
      <c r="M215">
        <v>324.571758842468</v>
      </c>
      <c r="N215">
        <v>309.65711911916702</v>
      </c>
      <c r="O215">
        <v>326.65427694320601</v>
      </c>
      <c r="P215">
        <v>328.68053827285701</v>
      </c>
      <c r="Q215">
        <f t="shared" si="12"/>
        <v>327.10917252472416</v>
      </c>
      <c r="R215">
        <f>IF((Q215-E215)*(D215-E215)&gt;0, 1,0)</f>
        <v>1</v>
      </c>
      <c r="S215">
        <v>7.4256570220000002</v>
      </c>
      <c r="T215" s="1">
        <v>43215</v>
      </c>
      <c r="U215">
        <f>D215+1.65*S215</f>
        <v>325.20233446776899</v>
      </c>
      <c r="V215">
        <f>D215-1.65*S215</f>
        <v>300.69766629516903</v>
      </c>
      <c r="W215">
        <f t="shared" si="13"/>
        <v>327.10917252472416</v>
      </c>
      <c r="X215">
        <f t="shared" si="14"/>
        <v>0</v>
      </c>
      <c r="Y215">
        <f>IF(AND(C215&lt;U215, C215&gt;V215),1,0)</f>
        <v>0</v>
      </c>
      <c r="Z215">
        <f t="shared" si="15"/>
        <v>0</v>
      </c>
      <c r="AA215">
        <f>IF(AND(Y215=1,F215&gt;0), 1, 0)</f>
        <v>0</v>
      </c>
    </row>
    <row r="216" spans="1:27" x14ac:dyDescent="0.3">
      <c r="A216" s="1">
        <v>43125</v>
      </c>
      <c r="B216" s="1">
        <v>43216</v>
      </c>
      <c r="C216">
        <v>331.18111591339101</v>
      </c>
      <c r="D216">
        <v>317.44999961853</v>
      </c>
      <c r="E216">
        <v>334.3</v>
      </c>
      <c r="F216">
        <v>16.850000381469702</v>
      </c>
      <c r="G216">
        <v>-3.1188840866088801</v>
      </c>
      <c r="H216">
        <v>-16.850000381469702</v>
      </c>
      <c r="I216">
        <v>331.95910410880998</v>
      </c>
      <c r="J216">
        <v>329.824157047271</v>
      </c>
      <c r="K216">
        <v>327.67510681152299</v>
      </c>
      <c r="L216">
        <v>326.16190891265802</v>
      </c>
      <c r="M216">
        <v>325.46531276702802</v>
      </c>
      <c r="N216">
        <v>310.268138599395</v>
      </c>
      <c r="O216">
        <v>329.13925104141202</v>
      </c>
      <c r="P216">
        <v>330.968566703796</v>
      </c>
      <c r="Q216">
        <f t="shared" si="12"/>
        <v>328.74191534178544</v>
      </c>
      <c r="R216">
        <f>IF((Q216-E216)*(D216-E216)&gt;0, 1,0)</f>
        <v>1</v>
      </c>
      <c r="S216">
        <v>7.0869971669999998</v>
      </c>
      <c r="T216" s="1">
        <v>43216</v>
      </c>
      <c r="U216">
        <f>D216+1.65*S216</f>
        <v>329.14354494408002</v>
      </c>
      <c r="V216">
        <f>D216-1.65*S216</f>
        <v>305.75645429297998</v>
      </c>
      <c r="W216">
        <f t="shared" si="13"/>
        <v>328.74191534178544</v>
      </c>
      <c r="X216">
        <f t="shared" si="14"/>
        <v>1</v>
      </c>
      <c r="Y216">
        <f>IF(AND(C216&lt;U216, C216&gt;V216),1,0)</f>
        <v>0</v>
      </c>
      <c r="Z216">
        <f t="shared" si="15"/>
        <v>1</v>
      </c>
      <c r="AA216">
        <f>IF(AND(Y216=1,F216&gt;0), 1, 0)</f>
        <v>0</v>
      </c>
    </row>
    <row r="217" spans="1:27" x14ac:dyDescent="0.3">
      <c r="A217" s="1">
        <v>43126</v>
      </c>
      <c r="B217" s="1">
        <v>43217</v>
      </c>
      <c r="C217">
        <v>333.910306644439</v>
      </c>
      <c r="D217">
        <v>320.14999980926501</v>
      </c>
      <c r="E217">
        <v>335.95</v>
      </c>
      <c r="F217">
        <v>15.800000190734799</v>
      </c>
      <c r="G217">
        <v>-2.0396933555603001</v>
      </c>
      <c r="H217">
        <v>-15.800000190734799</v>
      </c>
      <c r="I217">
        <v>332.745734405517</v>
      </c>
      <c r="J217">
        <v>333.73775358199998</v>
      </c>
      <c r="K217">
        <v>326.51029415130603</v>
      </c>
      <c r="L217">
        <v>328.28447265624999</v>
      </c>
      <c r="M217">
        <v>327.42212696075399</v>
      </c>
      <c r="N217">
        <v>309.91928033828702</v>
      </c>
      <c r="O217">
        <v>330.61377210617002</v>
      </c>
      <c r="P217">
        <v>333.25924773216201</v>
      </c>
      <c r="Q217">
        <f t="shared" si="12"/>
        <v>330.36762879916557</v>
      </c>
      <c r="R217">
        <f>IF((Q217-E217)*(D217-E217)&gt;0, 1,0)</f>
        <v>1</v>
      </c>
      <c r="S217">
        <v>6.6647602240000001</v>
      </c>
      <c r="T217" s="1">
        <v>43217</v>
      </c>
      <c r="U217">
        <f>D217+1.65*S217</f>
        <v>331.146854178865</v>
      </c>
      <c r="V217">
        <f>D217-1.65*S217</f>
        <v>309.15314543966502</v>
      </c>
      <c r="W217">
        <f t="shared" si="13"/>
        <v>330.36762879916557</v>
      </c>
      <c r="X217">
        <f t="shared" si="14"/>
        <v>1</v>
      </c>
      <c r="Y217">
        <f>IF(AND(C217&lt;U217, C217&gt;V217),1,0)</f>
        <v>0</v>
      </c>
      <c r="Z217">
        <f t="shared" si="15"/>
        <v>1</v>
      </c>
      <c r="AA217">
        <f>IF(AND(Y217=1,F217&gt;0), 1, 0)</f>
        <v>0</v>
      </c>
    </row>
    <row r="218" spans="1:27" x14ac:dyDescent="0.3">
      <c r="A218" s="1">
        <v>43129</v>
      </c>
      <c r="B218" s="1">
        <v>43220</v>
      </c>
      <c r="C218">
        <v>336.01864695549</v>
      </c>
      <c r="D218">
        <v>321.64999961852999</v>
      </c>
      <c r="E218">
        <v>338.5</v>
      </c>
      <c r="F218">
        <v>16.850000381469702</v>
      </c>
      <c r="G218">
        <v>-2.4813530445098801</v>
      </c>
      <c r="H218">
        <v>-16.850000381469702</v>
      </c>
      <c r="I218">
        <v>336.90683615207598</v>
      </c>
      <c r="J218">
        <v>336.52073872089301</v>
      </c>
      <c r="K218">
        <v>335.006060838699</v>
      </c>
      <c r="L218">
        <v>331.55156803131098</v>
      </c>
      <c r="M218">
        <v>330.08398723602198</v>
      </c>
      <c r="N218">
        <v>316.80494685172999</v>
      </c>
      <c r="O218">
        <v>328.76413822173998</v>
      </c>
      <c r="P218">
        <v>336.18732833862299</v>
      </c>
      <c r="Q218">
        <f t="shared" si="12"/>
        <v>333.5743796484806</v>
      </c>
      <c r="R218">
        <f>IF((Q218-E218)*(D218-E218)&gt;0, 1,0)</f>
        <v>1</v>
      </c>
      <c r="S218">
        <v>6.0850732609999998</v>
      </c>
      <c r="T218" s="1">
        <v>43220</v>
      </c>
      <c r="U218">
        <f>D218+1.65*S218</f>
        <v>331.69037049918001</v>
      </c>
      <c r="V218">
        <f>D218-1.65*S218</f>
        <v>311.60962873787997</v>
      </c>
      <c r="W218">
        <f t="shared" si="13"/>
        <v>333.5743796484806</v>
      </c>
      <c r="X218">
        <f t="shared" si="14"/>
        <v>0</v>
      </c>
      <c r="Y218">
        <f>IF(AND(C218&lt;U218, C218&gt;V218),1,0)</f>
        <v>0</v>
      </c>
      <c r="Z218">
        <f t="shared" si="15"/>
        <v>0</v>
      </c>
      <c r="AA218">
        <f>IF(AND(Y218=1,F218&gt;0), 1, 0)</f>
        <v>0</v>
      </c>
    </row>
    <row r="219" spans="1:27" x14ac:dyDescent="0.3">
      <c r="A219" s="1">
        <v>43130</v>
      </c>
      <c r="B219" s="1">
        <v>43221</v>
      </c>
      <c r="C219">
        <v>331.82129731178202</v>
      </c>
      <c r="D219">
        <v>321.64999999999998</v>
      </c>
      <c r="E219">
        <v>333.9</v>
      </c>
      <c r="F219">
        <v>12.25</v>
      </c>
      <c r="G219">
        <v>-2.07870268821716</v>
      </c>
      <c r="H219">
        <v>-12.25</v>
      </c>
      <c r="I219">
        <v>335.82380058765398</v>
      </c>
      <c r="J219">
        <v>333.65023849308398</v>
      </c>
      <c r="K219">
        <v>334.76239826679199</v>
      </c>
      <c r="L219">
        <v>329.087464237213</v>
      </c>
      <c r="M219">
        <v>331.40345015525799</v>
      </c>
      <c r="N219">
        <v>313.04783287942399</v>
      </c>
      <c r="O219">
        <v>327.81197156906097</v>
      </c>
      <c r="P219">
        <v>333.83164360523199</v>
      </c>
      <c r="Q219">
        <f t="shared" si="12"/>
        <v>332.33870955918485</v>
      </c>
      <c r="R219">
        <f>IF((Q219-E219)*(D219-E219)&gt;0, 1,0)</f>
        <v>1</v>
      </c>
      <c r="S219">
        <v>5.6964619799999996</v>
      </c>
      <c r="T219" s="1">
        <v>43221</v>
      </c>
      <c r="U219">
        <f>D219+1.65*S219</f>
        <v>331.04916226699999</v>
      </c>
      <c r="V219">
        <f>D219-1.65*S219</f>
        <v>312.25083773299997</v>
      </c>
      <c r="W219">
        <f t="shared" si="13"/>
        <v>332.33870955918485</v>
      </c>
      <c r="X219">
        <f t="shared" si="14"/>
        <v>0</v>
      </c>
      <c r="Y219">
        <f>IF(AND(C219&lt;U219, C219&gt;V219),1,0)</f>
        <v>0</v>
      </c>
      <c r="Z219">
        <f t="shared" si="15"/>
        <v>0</v>
      </c>
      <c r="AA219">
        <f>IF(AND(Y219=1,F219&gt;0), 1, 0)</f>
        <v>0</v>
      </c>
    </row>
    <row r="220" spans="1:27" x14ac:dyDescent="0.3">
      <c r="A220" s="1">
        <v>43131</v>
      </c>
      <c r="B220" s="1">
        <v>43222</v>
      </c>
      <c r="C220">
        <v>326.55909366607602</v>
      </c>
      <c r="D220">
        <v>319.750000190734</v>
      </c>
      <c r="E220">
        <v>334.45</v>
      </c>
      <c r="F220">
        <v>14.699999809265099</v>
      </c>
      <c r="G220">
        <v>-7.8909063339233398</v>
      </c>
      <c r="H220">
        <v>-14.699999809265099</v>
      </c>
      <c r="I220">
        <v>336.675294113159</v>
      </c>
      <c r="J220">
        <v>335.26995683908399</v>
      </c>
      <c r="K220">
        <v>331.87499732971099</v>
      </c>
      <c r="L220">
        <v>333.66969699859601</v>
      </c>
      <c r="M220">
        <v>330.82127709388698</v>
      </c>
      <c r="N220">
        <v>311.83989362716602</v>
      </c>
      <c r="O220">
        <v>326.56183261871303</v>
      </c>
      <c r="P220">
        <v>332.769278717041</v>
      </c>
      <c r="Q220">
        <f t="shared" si="12"/>
        <v>332.52033338717013</v>
      </c>
      <c r="R220">
        <f>IF((Q220-E220)*(D220-E220)&gt;0, 1,0)</f>
        <v>1</v>
      </c>
      <c r="S220">
        <v>5.2125234039999997</v>
      </c>
      <c r="T220" s="1">
        <v>43222</v>
      </c>
      <c r="U220">
        <f>D220+1.65*S220</f>
        <v>328.350663807334</v>
      </c>
      <c r="V220">
        <f>D220-1.65*S220</f>
        <v>311.149336574134</v>
      </c>
      <c r="W220">
        <f t="shared" si="13"/>
        <v>332.52033338717013</v>
      </c>
      <c r="X220">
        <f t="shared" si="14"/>
        <v>0</v>
      </c>
      <c r="Y220">
        <f>IF(AND(C220&lt;U220, C220&gt;V220),1,0)</f>
        <v>1</v>
      </c>
      <c r="Z220">
        <f t="shared" si="15"/>
        <v>0</v>
      </c>
      <c r="AA220">
        <f>IF(AND(Y220=1,F220&gt;0), 1, 0)</f>
        <v>1</v>
      </c>
    </row>
    <row r="221" spans="1:27" x14ac:dyDescent="0.3">
      <c r="A221" s="1">
        <v>43132</v>
      </c>
      <c r="B221" s="1">
        <v>43223</v>
      </c>
      <c r="C221">
        <v>325.21808090209902</v>
      </c>
      <c r="D221">
        <v>318.00000038146902</v>
      </c>
      <c r="E221">
        <v>333.65</v>
      </c>
      <c r="F221">
        <v>15.649999618530201</v>
      </c>
      <c r="G221">
        <v>-8.4319190979003906</v>
      </c>
      <c r="H221">
        <v>-15.649999618530201</v>
      </c>
      <c r="I221">
        <v>336.21614303588802</v>
      </c>
      <c r="J221">
        <v>334.00317420959402</v>
      </c>
      <c r="K221">
        <v>330.13622632026602</v>
      </c>
      <c r="L221">
        <v>331.84919645786198</v>
      </c>
      <c r="M221">
        <v>332.72822817564003</v>
      </c>
      <c r="N221">
        <v>313.21024919748299</v>
      </c>
      <c r="O221">
        <v>323.12422885894699</v>
      </c>
      <c r="P221">
        <v>328.859655284881</v>
      </c>
      <c r="Q221">
        <f t="shared" si="12"/>
        <v>330.98812176329687</v>
      </c>
      <c r="R221">
        <f>IF((Q221-E221)*(D221-E221)&gt;0, 1,0)</f>
        <v>1</v>
      </c>
      <c r="S221">
        <v>4.6967351329999998</v>
      </c>
      <c r="T221" s="1">
        <v>43223</v>
      </c>
      <c r="U221">
        <f>D221+1.65*S221</f>
        <v>325.74961335091905</v>
      </c>
      <c r="V221">
        <f>D221-1.65*S221</f>
        <v>310.25038741201899</v>
      </c>
      <c r="W221">
        <f t="shared" si="13"/>
        <v>330.98812176329687</v>
      </c>
      <c r="X221">
        <f t="shared" si="14"/>
        <v>0</v>
      </c>
      <c r="Y221">
        <f>IF(AND(C221&lt;U221, C221&gt;V221),1,0)</f>
        <v>1</v>
      </c>
      <c r="Z221">
        <f t="shared" si="15"/>
        <v>0</v>
      </c>
      <c r="AA221">
        <f>IF(AND(Y221=1,F221&gt;0), 1, 0)</f>
        <v>1</v>
      </c>
    </row>
    <row r="222" spans="1:27" x14ac:dyDescent="0.3">
      <c r="A222" s="1">
        <v>43133</v>
      </c>
      <c r="B222" s="1">
        <v>43224</v>
      </c>
      <c r="C222">
        <v>329.35951950549997</v>
      </c>
      <c r="D222">
        <v>316.45000019073399</v>
      </c>
      <c r="E222">
        <v>327.39999999999998</v>
      </c>
      <c r="F222">
        <v>-10.949999809265099</v>
      </c>
      <c r="G222">
        <v>1.9595195055007899</v>
      </c>
      <c r="H222">
        <v>-10.949999809265099</v>
      </c>
      <c r="I222">
        <v>331.76636352538998</v>
      </c>
      <c r="J222">
        <v>331.02075567245402</v>
      </c>
      <c r="K222">
        <v>327.328099520504</v>
      </c>
      <c r="L222">
        <v>330.28241577148401</v>
      </c>
      <c r="M222">
        <v>328.950503134727</v>
      </c>
      <c r="N222">
        <v>314.05832834243699</v>
      </c>
      <c r="O222">
        <v>327.26471897363598</v>
      </c>
      <c r="P222">
        <v>333.313928985595</v>
      </c>
      <c r="Q222">
        <f t="shared" si="12"/>
        <v>329.9895407976843</v>
      </c>
      <c r="R222">
        <f>IF((Q222-E222)*(D222-E222)&gt;0, 1,0)</f>
        <v>0</v>
      </c>
      <c r="S222">
        <v>4.4438398640000001</v>
      </c>
      <c r="T222" s="1">
        <v>43224</v>
      </c>
      <c r="U222">
        <f>D222+1.65*S222</f>
        <v>323.78233596633396</v>
      </c>
      <c r="V222">
        <f>D222-1.65*S222</f>
        <v>309.11766441513402</v>
      </c>
      <c r="W222">
        <f t="shared" si="13"/>
        <v>329.9895407976843</v>
      </c>
      <c r="X222">
        <f t="shared" si="14"/>
        <v>0</v>
      </c>
      <c r="Y222">
        <f>IF(AND(C222&lt;U222, C222&gt;V222),1,0)</f>
        <v>0</v>
      </c>
      <c r="Z222">
        <f t="shared" si="15"/>
        <v>0</v>
      </c>
      <c r="AA222">
        <f>IF(AND(Y222=1,F222&gt;0), 1, 0)</f>
        <v>0</v>
      </c>
    </row>
    <row r="223" spans="1:27" x14ac:dyDescent="0.3">
      <c r="A223" s="1">
        <v>43136</v>
      </c>
      <c r="B223" s="1">
        <v>43227</v>
      </c>
      <c r="C223">
        <v>338.09640407562199</v>
      </c>
      <c r="D223">
        <v>316.44999980926502</v>
      </c>
      <c r="E223">
        <v>323</v>
      </c>
      <c r="F223">
        <v>-6.5500001907348597</v>
      </c>
      <c r="G223">
        <v>15.0964040756225</v>
      </c>
      <c r="H223">
        <v>-6.5500001907348597</v>
      </c>
      <c r="I223">
        <v>328.41645193099902</v>
      </c>
      <c r="J223">
        <v>328.77689599990799</v>
      </c>
      <c r="K223">
        <v>323.37285488843901</v>
      </c>
      <c r="L223">
        <v>324.18310022354098</v>
      </c>
      <c r="M223">
        <v>323.995704650878</v>
      </c>
      <c r="N223">
        <v>316.27427525520301</v>
      </c>
      <c r="O223">
        <v>329.18397617340003</v>
      </c>
      <c r="P223">
        <v>327.84487104415803</v>
      </c>
      <c r="Q223">
        <f t="shared" si="12"/>
        <v>326.53912213018896</v>
      </c>
      <c r="R223">
        <f>IF((Q223-E223)*(D223-E223)&gt;0, 1,0)</f>
        <v>0</v>
      </c>
      <c r="S223">
        <v>4.3344813259999997</v>
      </c>
      <c r="T223" s="1">
        <v>43227</v>
      </c>
      <c r="U223">
        <f>D223+1.65*S223</f>
        <v>323.60189399716501</v>
      </c>
      <c r="V223">
        <f>D223-1.65*S223</f>
        <v>309.29810562136504</v>
      </c>
      <c r="W223">
        <f t="shared" si="13"/>
        <v>326.53912213018896</v>
      </c>
      <c r="X223">
        <f t="shared" si="14"/>
        <v>0</v>
      </c>
      <c r="Y223">
        <f>IF(AND(C223&lt;U223, C223&gt;V223),1,0)</f>
        <v>0</v>
      </c>
      <c r="Z223">
        <f t="shared" si="15"/>
        <v>0</v>
      </c>
      <c r="AA223">
        <f>IF(AND(Y223=1,F223&gt;0), 1, 0)</f>
        <v>0</v>
      </c>
    </row>
    <row r="224" spans="1:27" x14ac:dyDescent="0.3">
      <c r="A224" s="1">
        <v>43137</v>
      </c>
      <c r="B224" s="1">
        <v>43228</v>
      </c>
      <c r="C224">
        <v>334.632234954833</v>
      </c>
      <c r="D224">
        <v>314.05000009536701</v>
      </c>
      <c r="E224">
        <v>317.64999999999998</v>
      </c>
      <c r="F224">
        <v>-3.5999999046325599</v>
      </c>
      <c r="G224">
        <v>16.982234954833899</v>
      </c>
      <c r="H224">
        <v>-3.5999999046325599</v>
      </c>
      <c r="I224">
        <v>323.94240846633897</v>
      </c>
      <c r="J224">
        <v>324.24300470352102</v>
      </c>
      <c r="K224">
        <v>318.79571893215098</v>
      </c>
      <c r="L224">
        <v>315.68882718086201</v>
      </c>
      <c r="M224">
        <v>322.550297164916</v>
      </c>
      <c r="N224">
        <v>320.769942474365</v>
      </c>
      <c r="O224">
        <v>324.04598274230898</v>
      </c>
      <c r="P224">
        <v>325.10578670501701</v>
      </c>
      <c r="Q224">
        <f t="shared" si="12"/>
        <v>322.05314655644497</v>
      </c>
      <c r="R224">
        <f>IF((Q224-E224)*(D224-E224)&gt;0, 1,0)</f>
        <v>0</v>
      </c>
      <c r="S224">
        <v>4.3228760350000002</v>
      </c>
      <c r="T224" s="1">
        <v>43228</v>
      </c>
      <c r="U224">
        <f>D224+1.65*S224</f>
        <v>321.182745553117</v>
      </c>
      <c r="V224">
        <f>D224-1.65*S224</f>
        <v>306.91725463761702</v>
      </c>
      <c r="W224">
        <f t="shared" si="13"/>
        <v>322.05314655644497</v>
      </c>
      <c r="X224">
        <f t="shared" si="14"/>
        <v>0</v>
      </c>
      <c r="Y224">
        <f>IF(AND(C224&lt;U224, C224&gt;V224),1,0)</f>
        <v>0</v>
      </c>
      <c r="Z224">
        <f t="shared" si="15"/>
        <v>0</v>
      </c>
      <c r="AA224">
        <f>IF(AND(Y224=1,F224&gt;0), 1, 0)</f>
        <v>0</v>
      </c>
    </row>
    <row r="225" spans="1:27" x14ac:dyDescent="0.3">
      <c r="A225" s="1">
        <v>43138</v>
      </c>
      <c r="B225" s="1">
        <v>43229</v>
      </c>
      <c r="C225">
        <v>328.84840774536099</v>
      </c>
      <c r="D225">
        <v>314.05000019073401</v>
      </c>
      <c r="E225">
        <v>309.5</v>
      </c>
      <c r="F225">
        <v>4.5500001907348597</v>
      </c>
      <c r="G225">
        <v>19.3484077453613</v>
      </c>
      <c r="H225">
        <v>4.5500001907348597</v>
      </c>
      <c r="I225">
        <v>313.19216847419699</v>
      </c>
      <c r="J225">
        <v>315.59772157668999</v>
      </c>
      <c r="K225">
        <v>309.08333551883698</v>
      </c>
      <c r="L225">
        <v>309.269490987062</v>
      </c>
      <c r="M225">
        <v>311.98244929313603</v>
      </c>
      <c r="N225">
        <v>320.62455959319999</v>
      </c>
      <c r="O225">
        <v>319.22103214263899</v>
      </c>
      <c r="P225">
        <v>314.26079034805298</v>
      </c>
      <c r="Q225">
        <f t="shared" si="12"/>
        <v>313.22956976294478</v>
      </c>
      <c r="R225">
        <f>IF((Q225-E225)*(D225-E225)&gt;0, 1,0)</f>
        <v>1</v>
      </c>
      <c r="S225">
        <v>4.270104034</v>
      </c>
      <c r="T225" s="1">
        <v>43229</v>
      </c>
      <c r="U225">
        <f>D225+1.65*S225</f>
        <v>321.09567184683402</v>
      </c>
      <c r="V225">
        <f>D225-1.65*S225</f>
        <v>307.004328534634</v>
      </c>
      <c r="W225">
        <f t="shared" si="13"/>
        <v>313.22956976294478</v>
      </c>
      <c r="X225">
        <f t="shared" si="14"/>
        <v>1</v>
      </c>
      <c r="Y225">
        <f>IF(AND(C225&lt;U225, C225&gt;V225),1,0)</f>
        <v>0</v>
      </c>
      <c r="Z225">
        <f t="shared" si="15"/>
        <v>1</v>
      </c>
      <c r="AA225">
        <f>IF(AND(Y225=1,F225&gt;0), 1, 0)</f>
        <v>0</v>
      </c>
    </row>
    <row r="226" spans="1:27" x14ac:dyDescent="0.3">
      <c r="A226" s="1">
        <v>43139</v>
      </c>
      <c r="B226" s="1">
        <v>43230</v>
      </c>
      <c r="C226">
        <v>327.02581691741898</v>
      </c>
      <c r="D226">
        <v>315.849999904632</v>
      </c>
      <c r="E226">
        <v>312.5</v>
      </c>
      <c r="F226">
        <v>3.3499999046325599</v>
      </c>
      <c r="G226">
        <v>14.5258169174194</v>
      </c>
      <c r="H226">
        <v>3.3499999046325599</v>
      </c>
      <c r="I226">
        <v>309.87119555473299</v>
      </c>
      <c r="J226">
        <v>309.32064318656899</v>
      </c>
      <c r="K226">
        <v>305.03083801269503</v>
      </c>
      <c r="L226">
        <v>308.84002923965397</v>
      </c>
      <c r="M226">
        <v>310.16360020637501</v>
      </c>
      <c r="N226">
        <v>319.319864273071</v>
      </c>
      <c r="O226">
        <v>316.68257331848099</v>
      </c>
      <c r="P226">
        <v>310.737214207649</v>
      </c>
      <c r="Q226">
        <f t="shared" si="12"/>
        <v>310.09229910373659</v>
      </c>
      <c r="R226">
        <f>IF((Q226-E226)*(D226-E226)&gt;0, 1,0)</f>
        <v>0</v>
      </c>
      <c r="S226">
        <v>4.2596718290000002</v>
      </c>
      <c r="T226" s="1">
        <v>43230</v>
      </c>
      <c r="U226">
        <f>D226+1.65*S226</f>
        <v>322.87845842248203</v>
      </c>
      <c r="V226">
        <f>D226-1.65*S226</f>
        <v>308.82154138678197</v>
      </c>
      <c r="W226">
        <f t="shared" si="13"/>
        <v>310.09229910373659</v>
      </c>
      <c r="X226">
        <f t="shared" si="14"/>
        <v>1</v>
      </c>
      <c r="Y226">
        <f>IF(AND(C226&lt;U226, C226&gt;V226),1,0)</f>
        <v>0</v>
      </c>
      <c r="Z226">
        <f t="shared" si="15"/>
        <v>0</v>
      </c>
      <c r="AA226">
        <f>IF(AND(Y226=1,F226&gt;0), 1, 0)</f>
        <v>0</v>
      </c>
    </row>
    <row r="227" spans="1:27" x14ac:dyDescent="0.3">
      <c r="A227" s="1">
        <v>43140</v>
      </c>
      <c r="B227" s="1">
        <v>43231</v>
      </c>
      <c r="C227">
        <v>316.57567653656002</v>
      </c>
      <c r="D227">
        <v>317.65000019073398</v>
      </c>
      <c r="E227">
        <v>303.85000000000002</v>
      </c>
      <c r="F227">
        <v>13.800000190734799</v>
      </c>
      <c r="G227">
        <v>12.72567653656</v>
      </c>
      <c r="H227">
        <v>13.800000190734799</v>
      </c>
      <c r="I227">
        <v>304.023355311155</v>
      </c>
      <c r="J227">
        <v>304.55517581701201</v>
      </c>
      <c r="K227">
        <v>299.32373199462802</v>
      </c>
      <c r="L227">
        <v>301.458437538147</v>
      </c>
      <c r="M227">
        <v>300.412192201614</v>
      </c>
      <c r="N227">
        <v>320.04243440627999</v>
      </c>
      <c r="O227">
        <v>315.83602581024098</v>
      </c>
      <c r="P227">
        <v>302.87742278575899</v>
      </c>
      <c r="Q227">
        <f t="shared" si="12"/>
        <v>304.0694773512223</v>
      </c>
      <c r="R227">
        <f>IF((Q227-E227)*(D227-E227)&gt;0, 1,0)</f>
        <v>1</v>
      </c>
      <c r="S227">
        <v>4.0304241100000002</v>
      </c>
      <c r="T227" s="1">
        <v>43231</v>
      </c>
      <c r="U227">
        <f>D227+1.65*S227</f>
        <v>324.300199972234</v>
      </c>
      <c r="V227">
        <f>D227-1.65*S227</f>
        <v>310.99980040923396</v>
      </c>
      <c r="W227">
        <f t="shared" si="13"/>
        <v>304.0694773512223</v>
      </c>
      <c r="X227">
        <f t="shared" si="14"/>
        <v>0</v>
      </c>
      <c r="Y227">
        <f>IF(AND(C227&lt;U227, C227&gt;V227),1,0)</f>
        <v>1</v>
      </c>
      <c r="Z227">
        <f t="shared" si="15"/>
        <v>0</v>
      </c>
      <c r="AA227">
        <f>IF(AND(Y227=1,F227&gt;0), 1, 0)</f>
        <v>1</v>
      </c>
    </row>
    <row r="228" spans="1:27" x14ac:dyDescent="0.3">
      <c r="A228" s="1">
        <v>43143</v>
      </c>
      <c r="B228" s="1">
        <v>43234</v>
      </c>
      <c r="C228">
        <v>320.03901157379102</v>
      </c>
      <c r="D228">
        <v>316.85000000000002</v>
      </c>
      <c r="E228">
        <v>308.10000000000002</v>
      </c>
      <c r="F228">
        <v>8.75</v>
      </c>
      <c r="G228">
        <v>11.9390115737915</v>
      </c>
      <c r="H228">
        <v>8.75</v>
      </c>
      <c r="I228">
        <v>309.94492683410601</v>
      </c>
      <c r="J228">
        <v>311.78338894844001</v>
      </c>
      <c r="K228">
        <v>303.23964986801099</v>
      </c>
      <c r="L228">
        <v>303.61559352874701</v>
      </c>
      <c r="M228">
        <v>303.40249309539797</v>
      </c>
      <c r="N228">
        <v>323.74370746612499</v>
      </c>
      <c r="O228">
        <v>314.164873218536</v>
      </c>
      <c r="P228">
        <v>304.53825697898799</v>
      </c>
      <c r="Q228">
        <f t="shared" si="12"/>
        <v>307.24131178174656</v>
      </c>
      <c r="R228">
        <f>IF((Q228-E228)*(D228-E228)&gt;0, 1,0)</f>
        <v>0</v>
      </c>
      <c r="S228">
        <v>3.9323719659999998</v>
      </c>
      <c r="T228" s="1">
        <v>43234</v>
      </c>
      <c r="U228">
        <f>D228+1.65*S228</f>
        <v>323.33841374390005</v>
      </c>
      <c r="V228">
        <f>D228-1.65*S228</f>
        <v>310.3615862561</v>
      </c>
      <c r="W228">
        <f t="shared" si="13"/>
        <v>307.24131178174656</v>
      </c>
      <c r="X228">
        <f t="shared" si="14"/>
        <v>0</v>
      </c>
      <c r="Y228">
        <f>IF(AND(C228&lt;U228, C228&gt;V228),1,0)</f>
        <v>1</v>
      </c>
      <c r="Z228">
        <f t="shared" si="15"/>
        <v>0</v>
      </c>
      <c r="AA228">
        <f>IF(AND(Y228=1,F228&gt;0), 1, 0)</f>
        <v>1</v>
      </c>
    </row>
    <row r="229" spans="1:27" x14ac:dyDescent="0.3">
      <c r="A229" s="1">
        <v>43144</v>
      </c>
      <c r="B229" s="1">
        <v>43235</v>
      </c>
      <c r="C229">
        <v>318.38893022537201</v>
      </c>
      <c r="D229">
        <v>313.74999990463198</v>
      </c>
      <c r="E229">
        <v>311.39999999999998</v>
      </c>
      <c r="F229">
        <v>2.3499999046325599</v>
      </c>
      <c r="G229">
        <v>6.98893022537231</v>
      </c>
      <c r="H229">
        <v>2.3499999046325599</v>
      </c>
      <c r="I229">
        <v>314.252201461791</v>
      </c>
      <c r="J229">
        <v>314.00240197181699</v>
      </c>
      <c r="K229">
        <v>304.98162117004301</v>
      </c>
      <c r="L229">
        <v>301.884513282775</v>
      </c>
      <c r="M229">
        <v>301.44615592956501</v>
      </c>
      <c r="N229">
        <v>323.67699851989698</v>
      </c>
      <c r="O229">
        <v>318.57417764663597</v>
      </c>
      <c r="P229">
        <v>305.45821037292399</v>
      </c>
      <c r="Q229">
        <f t="shared" si="12"/>
        <v>308.65704026222153</v>
      </c>
      <c r="R229">
        <f>IF((Q229-E229)*(D229-E229)&gt;0, 1,0)</f>
        <v>0</v>
      </c>
      <c r="S229">
        <v>3.905756046</v>
      </c>
      <c r="T229" s="1">
        <v>43235</v>
      </c>
      <c r="U229">
        <f>D229+1.65*S229</f>
        <v>320.19449738053197</v>
      </c>
      <c r="V229">
        <f>D229-1.65*S229</f>
        <v>307.30550242873198</v>
      </c>
      <c r="W229">
        <f t="shared" si="13"/>
        <v>308.65704026222153</v>
      </c>
      <c r="X229">
        <f t="shared" si="14"/>
        <v>1</v>
      </c>
      <c r="Y229">
        <f>IF(AND(C229&lt;U229, C229&gt;V229),1,0)</f>
        <v>1</v>
      </c>
      <c r="Z229">
        <f t="shared" si="15"/>
        <v>0</v>
      </c>
      <c r="AA229">
        <f>IF(AND(Y229=1,F229&gt;0), 1, 0)</f>
        <v>1</v>
      </c>
    </row>
    <row r="230" spans="1:27" x14ac:dyDescent="0.3">
      <c r="A230" s="1">
        <v>43145</v>
      </c>
      <c r="B230" s="1">
        <v>43236</v>
      </c>
      <c r="C230">
        <v>318.20565466880799</v>
      </c>
      <c r="D230">
        <v>314.90000002384102</v>
      </c>
      <c r="E230">
        <v>314.3</v>
      </c>
      <c r="F230">
        <v>0.60000002384185702</v>
      </c>
      <c r="G230">
        <v>3.9056546688079798</v>
      </c>
      <c r="H230">
        <v>0.60000002384185702</v>
      </c>
      <c r="I230">
        <v>315.89001433849302</v>
      </c>
      <c r="J230">
        <v>317.43786196708601</v>
      </c>
      <c r="K230">
        <v>306.23369388580301</v>
      </c>
      <c r="L230">
        <v>306.93977718353199</v>
      </c>
      <c r="M230">
        <v>303.748967933654</v>
      </c>
      <c r="N230">
        <v>320.52820525169301</v>
      </c>
      <c r="O230">
        <v>310.29267721176097</v>
      </c>
      <c r="P230">
        <v>311.97217803001399</v>
      </c>
      <c r="Q230">
        <f t="shared" si="12"/>
        <v>310.35931007862047</v>
      </c>
      <c r="R230">
        <f>IF((Q230-E230)*(D230-E230)&gt;0, 1,0)</f>
        <v>0</v>
      </c>
      <c r="S230">
        <v>3.9037429650000002</v>
      </c>
      <c r="T230" s="1">
        <v>43236</v>
      </c>
      <c r="U230">
        <f>D230+1.65*S230</f>
        <v>321.341175916091</v>
      </c>
      <c r="V230">
        <f>D230-1.65*S230</f>
        <v>308.45882413159103</v>
      </c>
      <c r="W230">
        <f t="shared" si="13"/>
        <v>310.35931007862047</v>
      </c>
      <c r="X230">
        <f t="shared" si="14"/>
        <v>1</v>
      </c>
      <c r="Y230">
        <f>IF(AND(C230&lt;U230, C230&gt;V230),1,0)</f>
        <v>1</v>
      </c>
      <c r="Z230">
        <f t="shared" si="15"/>
        <v>0</v>
      </c>
      <c r="AA230">
        <f>IF(AND(Y230=1,F230&gt;0), 1, 0)</f>
        <v>1</v>
      </c>
    </row>
    <row r="231" spans="1:27" x14ac:dyDescent="0.3">
      <c r="A231" s="1">
        <v>43146</v>
      </c>
      <c r="B231" s="1">
        <v>43237</v>
      </c>
      <c r="C231">
        <v>315.87087969779901</v>
      </c>
      <c r="D231">
        <v>313.40000002384102</v>
      </c>
      <c r="E231">
        <v>314.3</v>
      </c>
      <c r="F231">
        <v>-0.89999997615814198</v>
      </c>
      <c r="G231">
        <v>1.57087969779968</v>
      </c>
      <c r="H231">
        <v>-0.89999997615814198</v>
      </c>
      <c r="I231">
        <v>316.152696537971</v>
      </c>
      <c r="J231">
        <v>317.40560536384498</v>
      </c>
      <c r="K231">
        <v>305.91396026611301</v>
      </c>
      <c r="L231">
        <v>309.166466999053</v>
      </c>
      <c r="M231">
        <v>303.685851860046</v>
      </c>
      <c r="N231">
        <v>324.979982852935</v>
      </c>
      <c r="O231">
        <v>309.77019958495998</v>
      </c>
      <c r="P231">
        <v>313.32661228179899</v>
      </c>
      <c r="Q231">
        <f t="shared" si="12"/>
        <v>310.77448469911241</v>
      </c>
      <c r="R231">
        <f>IF((Q231-E231)*(D231-E231)&gt;0, 1,0)</f>
        <v>1</v>
      </c>
      <c r="S231">
        <v>3.9094526100000002</v>
      </c>
      <c r="T231" s="1">
        <v>43237</v>
      </c>
      <c r="U231">
        <f>D231+1.65*S231</f>
        <v>319.85059683034103</v>
      </c>
      <c r="V231">
        <f>D231-1.65*S231</f>
        <v>306.949403217341</v>
      </c>
      <c r="W231">
        <f t="shared" si="13"/>
        <v>310.77448469911241</v>
      </c>
      <c r="X231">
        <f t="shared" si="14"/>
        <v>1</v>
      </c>
      <c r="Y231">
        <f>IF(AND(C231&lt;U231, C231&gt;V231),1,0)</f>
        <v>1</v>
      </c>
      <c r="Z231">
        <f t="shared" si="15"/>
        <v>1</v>
      </c>
      <c r="AA231">
        <f>IF(AND(Y231=1,F231&gt;0), 1, 0)</f>
        <v>0</v>
      </c>
    </row>
    <row r="232" spans="1:27" x14ac:dyDescent="0.3">
      <c r="A232" s="1">
        <v>43147</v>
      </c>
      <c r="B232" s="1">
        <v>43238</v>
      </c>
      <c r="C232">
        <v>314.99162011146501</v>
      </c>
      <c r="D232">
        <v>314.74999998807903</v>
      </c>
      <c r="E232">
        <v>314.3</v>
      </c>
      <c r="F232">
        <v>0.44999998807907099</v>
      </c>
      <c r="G232">
        <v>0.69162011146545399</v>
      </c>
      <c r="H232">
        <v>0.44999998807907099</v>
      </c>
      <c r="I232">
        <v>316.73688440322798</v>
      </c>
      <c r="J232">
        <v>317.65390400886503</v>
      </c>
      <c r="K232">
        <v>309.941567230224</v>
      </c>
      <c r="L232">
        <v>310.29131488799999</v>
      </c>
      <c r="M232">
        <v>305.19439201354902</v>
      </c>
      <c r="N232">
        <v>320.14146986007597</v>
      </c>
      <c r="O232">
        <v>313.84292827844598</v>
      </c>
      <c r="P232">
        <v>315.08097045421601</v>
      </c>
      <c r="Q232">
        <f t="shared" si="12"/>
        <v>312.67742303950399</v>
      </c>
      <c r="R232">
        <f>IF((Q232-E232)*(D232-E232)&gt;0, 1,0)</f>
        <v>0</v>
      </c>
      <c r="S232">
        <v>3.9078197619999999</v>
      </c>
      <c r="T232" s="1">
        <v>43238</v>
      </c>
      <c r="U232">
        <f>D232+1.65*S232</f>
        <v>321.19790259537905</v>
      </c>
      <c r="V232">
        <f>D232-1.65*S232</f>
        <v>308.302097380779</v>
      </c>
      <c r="W232">
        <f t="shared" si="13"/>
        <v>312.67742303950399</v>
      </c>
      <c r="X232">
        <f t="shared" si="14"/>
        <v>1</v>
      </c>
      <c r="Y232">
        <f>IF(AND(C232&lt;U232, C232&gt;V232),1,0)</f>
        <v>1</v>
      </c>
      <c r="Z232">
        <f t="shared" si="15"/>
        <v>0</v>
      </c>
      <c r="AA232">
        <f>IF(AND(Y232=1,F232&gt;0), 1, 0)</f>
        <v>1</v>
      </c>
    </row>
    <row r="233" spans="1:27" x14ac:dyDescent="0.3">
      <c r="A233" s="1">
        <v>43150</v>
      </c>
      <c r="B233" s="1">
        <v>43241</v>
      </c>
      <c r="C233">
        <v>314.99193668365399</v>
      </c>
      <c r="D233">
        <v>315.10000002384101</v>
      </c>
      <c r="E233">
        <v>316.25</v>
      </c>
      <c r="F233">
        <v>1.1499999761581401</v>
      </c>
      <c r="G233">
        <v>-1.25806331634521</v>
      </c>
      <c r="H233">
        <v>-1.1499999761581401</v>
      </c>
      <c r="I233">
        <v>318.13839697837801</v>
      </c>
      <c r="J233">
        <v>318.51850771903901</v>
      </c>
      <c r="K233">
        <v>310.560602664947</v>
      </c>
      <c r="L233">
        <v>310.43151712417603</v>
      </c>
      <c r="M233">
        <v>306.412042617797</v>
      </c>
      <c r="N233">
        <v>323.73424491882298</v>
      </c>
      <c r="O233">
        <v>311.790107250213</v>
      </c>
      <c r="P233">
        <v>307.35746574401799</v>
      </c>
      <c r="Q233">
        <f t="shared" si="12"/>
        <v>311.88694858550974</v>
      </c>
      <c r="R233">
        <f>IF((Q233-E233)*(D233-E233)&gt;0, 1,0)</f>
        <v>1</v>
      </c>
      <c r="S233">
        <v>3.906680669</v>
      </c>
      <c r="T233" s="1">
        <v>43241</v>
      </c>
      <c r="U233">
        <f>D233+1.65*S233</f>
        <v>321.546023127691</v>
      </c>
      <c r="V233">
        <f>D233-1.65*S233</f>
        <v>308.65397691999101</v>
      </c>
      <c r="W233">
        <f t="shared" si="13"/>
        <v>311.88694858550974</v>
      </c>
      <c r="X233">
        <f t="shared" si="14"/>
        <v>1</v>
      </c>
      <c r="Y233">
        <f>IF(AND(C233&lt;U233, C233&gt;V233),1,0)</f>
        <v>1</v>
      </c>
      <c r="Z233">
        <f t="shared" si="15"/>
        <v>1</v>
      </c>
      <c r="AA233">
        <f>IF(AND(Y233=1,F233&gt;0), 1, 0)</f>
        <v>1</v>
      </c>
    </row>
    <row r="234" spans="1:27" x14ac:dyDescent="0.3">
      <c r="A234" s="1">
        <v>43151</v>
      </c>
      <c r="B234" s="1">
        <v>43242</v>
      </c>
      <c r="C234">
        <v>312.49845328927</v>
      </c>
      <c r="D234">
        <v>315.099999904632</v>
      </c>
      <c r="E234">
        <v>312</v>
      </c>
      <c r="F234">
        <v>3.0999999046325599</v>
      </c>
      <c r="G234">
        <v>0.498453289270401</v>
      </c>
      <c r="H234">
        <v>3.0999999046325599</v>
      </c>
      <c r="I234">
        <v>313.96840846538498</v>
      </c>
      <c r="J234">
        <v>313.86712229251799</v>
      </c>
      <c r="K234">
        <v>304.98081970214798</v>
      </c>
      <c r="L234">
        <v>306.17984580993601</v>
      </c>
      <c r="M234">
        <v>302.83542156219403</v>
      </c>
      <c r="N234">
        <v>321.41518697738599</v>
      </c>
      <c r="O234">
        <v>306.36595296859701</v>
      </c>
      <c r="P234">
        <v>309.89376187324501</v>
      </c>
      <c r="Q234">
        <f t="shared" si="12"/>
        <v>308.29876181057472</v>
      </c>
      <c r="R234">
        <f>IF((Q234-E234)*(D234-E234)&gt;0, 1,0)</f>
        <v>0</v>
      </c>
      <c r="S234">
        <v>3.8831477620000001</v>
      </c>
      <c r="T234" s="1">
        <v>43242</v>
      </c>
      <c r="U234">
        <f>D234+1.65*S234</f>
        <v>321.50719371193202</v>
      </c>
      <c r="V234">
        <f>D234-1.65*S234</f>
        <v>308.69280609733198</v>
      </c>
      <c r="W234">
        <f t="shared" si="13"/>
        <v>308.29876181057472</v>
      </c>
      <c r="X234">
        <f t="shared" si="14"/>
        <v>0</v>
      </c>
      <c r="Y234">
        <f>IF(AND(C234&lt;U234, C234&gt;V234),1,0)</f>
        <v>1</v>
      </c>
      <c r="Z234">
        <f t="shared" si="15"/>
        <v>0</v>
      </c>
      <c r="AA234">
        <f>IF(AND(Y234=1,F234&gt;0), 1, 0)</f>
        <v>1</v>
      </c>
    </row>
    <row r="235" spans="1:27" x14ac:dyDescent="0.3">
      <c r="A235" s="1">
        <v>43152</v>
      </c>
      <c r="B235" s="1">
        <v>43243</v>
      </c>
      <c r="C235">
        <v>315.41227846145603</v>
      </c>
      <c r="D235">
        <v>317.14999990463201</v>
      </c>
      <c r="E235">
        <v>314.05</v>
      </c>
      <c r="F235">
        <v>3.0999999046325599</v>
      </c>
      <c r="G235">
        <v>1.3622784614562899</v>
      </c>
      <c r="H235">
        <v>3.0999999046325599</v>
      </c>
      <c r="I235">
        <v>314.45853133797601</v>
      </c>
      <c r="J235">
        <v>314.15787025093999</v>
      </c>
      <c r="K235">
        <v>306.72168045043901</v>
      </c>
      <c r="L235">
        <v>310.45575742721502</v>
      </c>
      <c r="M235">
        <v>304.79566745758001</v>
      </c>
      <c r="N235">
        <v>318.51017923355101</v>
      </c>
      <c r="O235">
        <v>304.77906398773098</v>
      </c>
      <c r="P235">
        <v>310.89533262252797</v>
      </c>
      <c r="Q235">
        <f t="shared" si="12"/>
        <v>309.46627193348701</v>
      </c>
      <c r="R235">
        <f>IF((Q235-E235)*(D235-E235)&gt;0, 1,0)</f>
        <v>0</v>
      </c>
      <c r="S235">
        <v>3.8845196340000001</v>
      </c>
      <c r="T235" s="1">
        <v>43243</v>
      </c>
      <c r="U235">
        <f>D235+1.65*S235</f>
        <v>323.55945730073199</v>
      </c>
      <c r="V235">
        <f>D235-1.65*S235</f>
        <v>310.74054250853203</v>
      </c>
      <c r="W235">
        <f t="shared" si="13"/>
        <v>309.46627193348701</v>
      </c>
      <c r="X235">
        <f t="shared" si="14"/>
        <v>0</v>
      </c>
      <c r="Y235">
        <f>IF(AND(C235&lt;U235, C235&gt;V235),1,0)</f>
        <v>1</v>
      </c>
      <c r="Z235">
        <f t="shared" si="15"/>
        <v>0</v>
      </c>
      <c r="AA235">
        <f>IF(AND(Y235=1,F235&gt;0), 1, 0)</f>
        <v>1</v>
      </c>
    </row>
    <row r="236" spans="1:27" x14ac:dyDescent="0.3">
      <c r="A236" s="1">
        <v>43153</v>
      </c>
      <c r="B236" s="1">
        <v>43244</v>
      </c>
      <c r="C236">
        <v>312.733176147937</v>
      </c>
      <c r="D236">
        <v>316.54999980926499</v>
      </c>
      <c r="E236">
        <v>311.85000000000002</v>
      </c>
      <c r="F236">
        <v>4.6999998092651296</v>
      </c>
      <c r="G236">
        <v>0.88317614793777399</v>
      </c>
      <c r="H236">
        <v>4.6999998092651296</v>
      </c>
      <c r="I236">
        <v>312.89242885112702</v>
      </c>
      <c r="J236">
        <v>312.48111621141402</v>
      </c>
      <c r="K236">
        <v>306.189753150939</v>
      </c>
      <c r="L236">
        <v>309.38895139694199</v>
      </c>
      <c r="M236">
        <v>305.71251306533799</v>
      </c>
      <c r="N236">
        <v>319.67883892059302</v>
      </c>
      <c r="O236">
        <v>312.144402301311</v>
      </c>
      <c r="P236">
        <v>313.27619895934998</v>
      </c>
      <c r="Q236">
        <f t="shared" si="12"/>
        <v>310.2979091337744</v>
      </c>
      <c r="R236">
        <f>IF((Q236-E236)*(D236-E236)&gt;0, 1,0)</f>
        <v>0</v>
      </c>
      <c r="S236">
        <v>3.8589132589999999</v>
      </c>
      <c r="T236" s="1">
        <v>43244</v>
      </c>
      <c r="U236">
        <f>D236+1.65*S236</f>
        <v>322.91720668661497</v>
      </c>
      <c r="V236">
        <f>D236-1.65*S236</f>
        <v>310.182792931915</v>
      </c>
      <c r="W236">
        <f t="shared" si="13"/>
        <v>310.2979091337744</v>
      </c>
      <c r="X236">
        <f t="shared" si="14"/>
        <v>1</v>
      </c>
      <c r="Y236">
        <f>IF(AND(C236&lt;U236, C236&gt;V236),1,0)</f>
        <v>1</v>
      </c>
      <c r="Z236">
        <f t="shared" si="15"/>
        <v>0</v>
      </c>
      <c r="AA236">
        <f>IF(AND(Y236=1,F236&gt;0), 1, 0)</f>
        <v>1</v>
      </c>
    </row>
    <row r="237" spans="1:27" x14ac:dyDescent="0.3">
      <c r="A237" s="1">
        <v>43154</v>
      </c>
      <c r="B237" s="1">
        <v>43245</v>
      </c>
      <c r="C237">
        <v>314.87982649803098</v>
      </c>
      <c r="D237">
        <v>317.29999999403901</v>
      </c>
      <c r="E237">
        <v>316.95</v>
      </c>
      <c r="F237">
        <v>-0.34999999403953502</v>
      </c>
      <c r="G237">
        <v>-2.0701735019683798</v>
      </c>
      <c r="H237">
        <v>0.34999999403953502</v>
      </c>
      <c r="I237">
        <v>314.737233829498</v>
      </c>
      <c r="J237">
        <v>315.45562703609397</v>
      </c>
      <c r="K237">
        <v>308.325270843505</v>
      </c>
      <c r="L237">
        <v>312.63362045288</v>
      </c>
      <c r="M237">
        <v>307.48693103790202</v>
      </c>
      <c r="N237">
        <v>321.43418099880199</v>
      </c>
      <c r="O237">
        <v>315.552169156074</v>
      </c>
      <c r="P237">
        <v>316.28191931247699</v>
      </c>
      <c r="Q237">
        <f t="shared" si="12"/>
        <v>312.9246816669185</v>
      </c>
      <c r="R237">
        <f>IF((Q237-E237)*(D237-E237)&gt;0, 1,0)</f>
        <v>0</v>
      </c>
      <c r="S237">
        <v>3.861089642</v>
      </c>
      <c r="T237" s="1">
        <v>43245</v>
      </c>
      <c r="U237">
        <f>D237+1.65*S237</f>
        <v>323.67079790333901</v>
      </c>
      <c r="V237">
        <f>D237-1.65*S237</f>
        <v>310.92920208473902</v>
      </c>
      <c r="W237">
        <f t="shared" si="13"/>
        <v>312.9246816669185</v>
      </c>
      <c r="X237">
        <f t="shared" si="14"/>
        <v>1</v>
      </c>
      <c r="Y237">
        <f>IF(AND(C237&lt;U237, C237&gt;V237),1,0)</f>
        <v>1</v>
      </c>
      <c r="Z237">
        <f t="shared" si="15"/>
        <v>0</v>
      </c>
      <c r="AA237">
        <f>IF(AND(Y237=1,F237&gt;0), 1, 0)</f>
        <v>0</v>
      </c>
    </row>
    <row r="238" spans="1:27" x14ac:dyDescent="0.3">
      <c r="A238" s="1">
        <v>43157</v>
      </c>
      <c r="B238" s="1">
        <v>43248</v>
      </c>
      <c r="C238">
        <v>311.10063276290799</v>
      </c>
      <c r="D238">
        <v>318.10000000000002</v>
      </c>
      <c r="E238">
        <v>317.10000000000002</v>
      </c>
      <c r="F238">
        <v>-1</v>
      </c>
      <c r="G238">
        <v>-5.99936723709106</v>
      </c>
      <c r="H238">
        <v>1</v>
      </c>
      <c r="I238">
        <v>313.60408482551497</v>
      </c>
      <c r="J238">
        <v>315.28350434303201</v>
      </c>
      <c r="K238">
        <v>308.24866638183499</v>
      </c>
      <c r="L238">
        <v>312.04305276870701</v>
      </c>
      <c r="M238">
        <v>308.18328247070298</v>
      </c>
      <c r="N238">
        <v>317.07404222488401</v>
      </c>
      <c r="O238">
        <v>319.00563476085603</v>
      </c>
      <c r="P238">
        <v>319.81607089042598</v>
      </c>
      <c r="Q238">
        <f t="shared" si="12"/>
        <v>313.74061377729629</v>
      </c>
      <c r="R238">
        <f>IF((Q238-E238)*(D238-E238)&gt;0, 1,0)</f>
        <v>0</v>
      </c>
      <c r="S238">
        <v>3.8691778530000001</v>
      </c>
      <c r="T238" s="1">
        <v>43248</v>
      </c>
      <c r="U238">
        <f>D238+1.65*S238</f>
        <v>324.48414345745005</v>
      </c>
      <c r="V238">
        <f>D238-1.65*S238</f>
        <v>311.71585654255</v>
      </c>
      <c r="W238">
        <f t="shared" si="13"/>
        <v>313.74061377729629</v>
      </c>
      <c r="X238">
        <f t="shared" si="14"/>
        <v>1</v>
      </c>
      <c r="Y238">
        <f>IF(AND(C238&lt;U238, C238&gt;V238),1,0)</f>
        <v>0</v>
      </c>
      <c r="Z238">
        <f t="shared" si="15"/>
        <v>0</v>
      </c>
      <c r="AA238">
        <f>IF(AND(Y238=1,F238&gt;0), 1, 0)</f>
        <v>0</v>
      </c>
    </row>
    <row r="239" spans="1:27" x14ac:dyDescent="0.3">
      <c r="A239" s="1">
        <v>43158</v>
      </c>
      <c r="B239" s="1">
        <v>43249</v>
      </c>
      <c r="C239">
        <v>307.852654457092</v>
      </c>
      <c r="D239">
        <v>314.89999997615803</v>
      </c>
      <c r="E239">
        <v>315.75</v>
      </c>
      <c r="F239">
        <v>0.85000002384185702</v>
      </c>
      <c r="G239">
        <v>-7.8973455429077104</v>
      </c>
      <c r="H239">
        <v>-0.85000002384185702</v>
      </c>
      <c r="I239">
        <v>311.80108165740899</v>
      </c>
      <c r="J239">
        <v>312.714386463165</v>
      </c>
      <c r="K239">
        <v>310.10776090621903</v>
      </c>
      <c r="L239">
        <v>308.18423223495398</v>
      </c>
      <c r="M239">
        <v>309.43483161926201</v>
      </c>
      <c r="N239">
        <v>316.41853990554802</v>
      </c>
      <c r="O239">
        <v>313.97671830654099</v>
      </c>
      <c r="P239">
        <v>312.52597355842499</v>
      </c>
      <c r="Q239">
        <f t="shared" si="12"/>
        <v>311.24928353513923</v>
      </c>
      <c r="R239">
        <f>IF((Q239-E239)*(D239-E239)&gt;0, 1,0)</f>
        <v>1</v>
      </c>
      <c r="S239">
        <v>3.8701230170000001</v>
      </c>
      <c r="T239" s="1">
        <v>43249</v>
      </c>
      <c r="U239">
        <f>D239+1.65*S239</f>
        <v>321.28570295420803</v>
      </c>
      <c r="V239">
        <f>D239-1.65*S239</f>
        <v>308.51429699810802</v>
      </c>
      <c r="W239">
        <f t="shared" si="13"/>
        <v>311.24928353513923</v>
      </c>
      <c r="X239">
        <f t="shared" si="14"/>
        <v>1</v>
      </c>
      <c r="Y239">
        <f>IF(AND(C239&lt;U239, C239&gt;V239),1,0)</f>
        <v>0</v>
      </c>
      <c r="Z239">
        <f t="shared" si="15"/>
        <v>1</v>
      </c>
      <c r="AA239">
        <f>IF(AND(Y239=1,F239&gt;0), 1, 0)</f>
        <v>0</v>
      </c>
    </row>
    <row r="240" spans="1:27" x14ac:dyDescent="0.3">
      <c r="A240" s="1">
        <v>43159</v>
      </c>
      <c r="B240" s="1">
        <v>43250</v>
      </c>
      <c r="C240">
        <v>306.00387735366797</v>
      </c>
      <c r="D240">
        <v>307.54999990463199</v>
      </c>
      <c r="E240">
        <v>312.45</v>
      </c>
      <c r="F240">
        <v>4.9000000953674299</v>
      </c>
      <c r="G240">
        <v>-6.44612264633178</v>
      </c>
      <c r="H240">
        <v>-4.9000000953674299</v>
      </c>
      <c r="I240">
        <v>309.54602642059302</v>
      </c>
      <c r="J240">
        <v>310.126869869232</v>
      </c>
      <c r="K240">
        <v>308.34051914215001</v>
      </c>
      <c r="L240">
        <v>309.90908021926799</v>
      </c>
      <c r="M240">
        <v>306.90117187499999</v>
      </c>
      <c r="N240">
        <v>317.01426672935401</v>
      </c>
      <c r="O240">
        <v>320.79421157836902</v>
      </c>
      <c r="P240">
        <v>311.33110315799701</v>
      </c>
      <c r="Q240">
        <f t="shared" si="12"/>
        <v>310.99271175180132</v>
      </c>
      <c r="R240">
        <f>IF((Q240-E240)*(D240-E240)&gt;0, 1,0)</f>
        <v>1</v>
      </c>
      <c r="S240">
        <v>3.9785221150000001</v>
      </c>
      <c r="T240" s="1">
        <v>43250</v>
      </c>
      <c r="U240">
        <f>D240+1.65*S240</f>
        <v>314.11456139438201</v>
      </c>
      <c r="V240">
        <f>D240-1.65*S240</f>
        <v>300.98543841488197</v>
      </c>
      <c r="W240">
        <f t="shared" si="13"/>
        <v>310.99271175180132</v>
      </c>
      <c r="X240">
        <f t="shared" si="14"/>
        <v>1</v>
      </c>
      <c r="Y240">
        <f>IF(AND(C240&lt;U240, C240&gt;V240),1,0)</f>
        <v>1</v>
      </c>
      <c r="Z240">
        <f t="shared" si="15"/>
        <v>1</v>
      </c>
      <c r="AA240">
        <f>IF(AND(Y240=1,F240&gt;0), 1, 0)</f>
        <v>1</v>
      </c>
    </row>
    <row r="241" spans="1:27" x14ac:dyDescent="0.3">
      <c r="A241" s="1">
        <v>43160</v>
      </c>
      <c r="B241" s="1">
        <v>43251</v>
      </c>
      <c r="C241">
        <v>307.22977848052898</v>
      </c>
      <c r="D241">
        <v>309.15000004768302</v>
      </c>
      <c r="E241">
        <v>312.45</v>
      </c>
      <c r="F241">
        <v>3.2999999523162802</v>
      </c>
      <c r="G241">
        <v>-5.2202215194702104</v>
      </c>
      <c r="H241">
        <v>-3.2999999523162802</v>
      </c>
      <c r="I241">
        <v>309.19150776863</v>
      </c>
      <c r="J241">
        <v>309.03297300338699</v>
      </c>
      <c r="K241">
        <v>307.56228704452502</v>
      </c>
      <c r="L241">
        <v>308.66639299392699</v>
      </c>
      <c r="M241">
        <v>306.98865623474097</v>
      </c>
      <c r="N241">
        <v>312.15070486068697</v>
      </c>
      <c r="O241">
        <v>320.03817195892299</v>
      </c>
      <c r="P241">
        <v>309.82655663490198</v>
      </c>
      <c r="Q241">
        <f t="shared" si="12"/>
        <v>310.18664937700498</v>
      </c>
      <c r="R241">
        <f>IF((Q241-E241)*(D241-E241)&gt;0, 1,0)</f>
        <v>1</v>
      </c>
      <c r="S241">
        <v>4.0388874430000001</v>
      </c>
      <c r="T241" s="1">
        <v>43251</v>
      </c>
      <c r="U241">
        <f>D241+1.65*S241</f>
        <v>315.81416432863301</v>
      </c>
      <c r="V241">
        <f>D241-1.65*S241</f>
        <v>302.48583576673303</v>
      </c>
      <c r="W241">
        <f t="shared" si="13"/>
        <v>310.18664937700498</v>
      </c>
      <c r="X241">
        <f t="shared" si="14"/>
        <v>1</v>
      </c>
      <c r="Y241">
        <f>IF(AND(C241&lt;U241, C241&gt;V241),1,0)</f>
        <v>1</v>
      </c>
      <c r="Z241">
        <f t="shared" si="15"/>
        <v>1</v>
      </c>
      <c r="AA241">
        <f>IF(AND(Y241=1,F241&gt;0), 1, 0)</f>
        <v>1</v>
      </c>
    </row>
    <row r="242" spans="1:27" x14ac:dyDescent="0.3">
      <c r="A242" s="1">
        <v>43161</v>
      </c>
      <c r="B242" s="1">
        <v>43252</v>
      </c>
      <c r="C242">
        <v>302.48910036087</v>
      </c>
      <c r="D242">
        <v>311.39999999999998</v>
      </c>
      <c r="E242">
        <v>308.14999999999998</v>
      </c>
      <c r="F242">
        <v>-3.25</v>
      </c>
      <c r="G242">
        <v>-5.6608996391296298</v>
      </c>
      <c r="H242">
        <v>3.25</v>
      </c>
      <c r="I242">
        <v>306.71586003303503</v>
      </c>
      <c r="J242">
        <v>305.41996231079099</v>
      </c>
      <c r="K242">
        <v>302.55273571014402</v>
      </c>
      <c r="L242">
        <v>305.642689609527</v>
      </c>
      <c r="M242">
        <v>302.72850027084303</v>
      </c>
      <c r="N242">
        <v>315.03305275440198</v>
      </c>
      <c r="O242">
        <v>315.928447151184</v>
      </c>
      <c r="P242">
        <v>307.846967840194</v>
      </c>
      <c r="Q242">
        <f t="shared" si="12"/>
        <v>306.6907375608169</v>
      </c>
      <c r="R242">
        <f>IF((Q242-E242)*(D242-E242)&gt;0, 1,0)</f>
        <v>0</v>
      </c>
      <c r="S242">
        <v>3.9663470159999998</v>
      </c>
      <c r="T242" s="1">
        <v>43252</v>
      </c>
      <c r="U242">
        <f>D242+1.65*S242</f>
        <v>317.94447257639996</v>
      </c>
      <c r="V242">
        <f>D242-1.65*S242</f>
        <v>304.85552742359999</v>
      </c>
      <c r="W242">
        <f t="shared" si="13"/>
        <v>306.6907375608169</v>
      </c>
      <c r="X242">
        <f t="shared" si="14"/>
        <v>1</v>
      </c>
      <c r="Y242">
        <f>IF(AND(C242&lt;U242, C242&gt;V242),1,0)</f>
        <v>0</v>
      </c>
      <c r="Z242">
        <f t="shared" si="15"/>
        <v>0</v>
      </c>
      <c r="AA242">
        <f>IF(AND(Y242=1,F242&gt;0), 1, 0)</f>
        <v>0</v>
      </c>
    </row>
    <row r="243" spans="1:27" x14ac:dyDescent="0.3">
      <c r="A243" s="1">
        <v>43164</v>
      </c>
      <c r="B243" s="1">
        <v>43255</v>
      </c>
      <c r="C243">
        <v>299.69170532226502</v>
      </c>
      <c r="D243">
        <v>313.15000019073398</v>
      </c>
      <c r="E243">
        <v>303.85000000000002</v>
      </c>
      <c r="F243">
        <v>-9.3000001907348597</v>
      </c>
      <c r="G243">
        <v>-4.1582946777343697</v>
      </c>
      <c r="H243">
        <v>9.3000001907348597</v>
      </c>
      <c r="I243">
        <v>303.31874809265099</v>
      </c>
      <c r="J243">
        <v>303.20005956888201</v>
      </c>
      <c r="K243">
        <v>298.422833061218</v>
      </c>
      <c r="L243">
        <v>301.28893051147401</v>
      </c>
      <c r="M243">
        <v>297.80234584808301</v>
      </c>
      <c r="N243">
        <v>313.62717909812898</v>
      </c>
      <c r="O243">
        <v>309.35138473510699</v>
      </c>
      <c r="P243">
        <v>305.81931242942801</v>
      </c>
      <c r="Q243">
        <f t="shared" si="12"/>
        <v>302.7433734638347</v>
      </c>
      <c r="R243">
        <f>IF((Q243-E243)*(D243-E243)&gt;0, 1,0)</f>
        <v>0</v>
      </c>
      <c r="S243">
        <v>3.6975128069999998</v>
      </c>
      <c r="T243" s="1">
        <v>43255</v>
      </c>
      <c r="U243">
        <f>D243+1.65*S243</f>
        <v>319.25089632228395</v>
      </c>
      <c r="V243">
        <f>D243-1.65*S243</f>
        <v>307.049104059184</v>
      </c>
      <c r="W243">
        <f t="shared" si="13"/>
        <v>302.7433734638347</v>
      </c>
      <c r="X243">
        <f t="shared" si="14"/>
        <v>0</v>
      </c>
      <c r="Y243">
        <f>IF(AND(C243&lt;U243, C243&gt;V243),1,0)</f>
        <v>0</v>
      </c>
      <c r="Z243">
        <f t="shared" si="15"/>
        <v>0</v>
      </c>
      <c r="AA243">
        <f>IF(AND(Y243=1,F243&gt;0), 1, 0)</f>
        <v>0</v>
      </c>
    </row>
    <row r="244" spans="1:27" x14ac:dyDescent="0.3">
      <c r="A244" s="1">
        <v>43165</v>
      </c>
      <c r="B244" s="1">
        <v>43256</v>
      </c>
      <c r="C244">
        <v>303.20348100662198</v>
      </c>
      <c r="D244">
        <v>313.75000004768299</v>
      </c>
      <c r="E244">
        <v>310.3</v>
      </c>
      <c r="F244">
        <v>-3.45000004768371</v>
      </c>
      <c r="G244">
        <v>-7.0965189933776802</v>
      </c>
      <c r="H244">
        <v>3.45000004768371</v>
      </c>
      <c r="I244">
        <v>306.42538766860901</v>
      </c>
      <c r="J244">
        <v>307.89788656234703</v>
      </c>
      <c r="K244">
        <v>300.3737991333</v>
      </c>
      <c r="L244">
        <v>306.52435569763099</v>
      </c>
      <c r="M244">
        <v>300.20683650970398</v>
      </c>
      <c r="N244">
        <v>310.915540266037</v>
      </c>
      <c r="O244">
        <v>314.467398452758</v>
      </c>
      <c r="P244">
        <v>308.05928616523698</v>
      </c>
      <c r="Q244">
        <f t="shared" si="12"/>
        <v>306.27927859851235</v>
      </c>
      <c r="R244">
        <f>IF((Q244-E244)*(D244-E244)&gt;0, 1,0)</f>
        <v>0</v>
      </c>
      <c r="S244">
        <v>3.6437286420000001</v>
      </c>
      <c r="T244" s="1">
        <v>43256</v>
      </c>
      <c r="U244">
        <f>D244+1.65*S244</f>
        <v>319.76215230698301</v>
      </c>
      <c r="V244">
        <f>D244-1.65*S244</f>
        <v>307.73784778838296</v>
      </c>
      <c r="W244">
        <f t="shared" si="13"/>
        <v>306.27927859851235</v>
      </c>
      <c r="X244">
        <f t="shared" si="14"/>
        <v>0</v>
      </c>
      <c r="Y244">
        <f>IF(AND(C244&lt;U244, C244&gt;V244),1,0)</f>
        <v>0</v>
      </c>
      <c r="Z244">
        <f t="shared" si="15"/>
        <v>0</v>
      </c>
      <c r="AA244">
        <f>IF(AND(Y244=1,F244&gt;0), 1, 0)</f>
        <v>0</v>
      </c>
    </row>
    <row r="245" spans="1:27" x14ac:dyDescent="0.3">
      <c r="A245" s="1">
        <v>43166</v>
      </c>
      <c r="B245" s="1">
        <v>43257</v>
      </c>
      <c r="C245">
        <v>304.74595947265601</v>
      </c>
      <c r="D245">
        <v>313.74999995231599</v>
      </c>
      <c r="E245">
        <v>310.45</v>
      </c>
      <c r="F245">
        <v>-3.2999999523162802</v>
      </c>
      <c r="G245">
        <v>-5.70404052734375</v>
      </c>
      <c r="H245">
        <v>3.2999999523162802</v>
      </c>
      <c r="I245">
        <v>308.185075712203</v>
      </c>
      <c r="J245">
        <v>308.46695370674098</v>
      </c>
      <c r="K245">
        <v>298.21352691650299</v>
      </c>
      <c r="L245">
        <v>305.57402868270799</v>
      </c>
      <c r="M245">
        <v>304.14729328155499</v>
      </c>
      <c r="N245">
        <v>313.24118458032598</v>
      </c>
      <c r="O245">
        <v>319.935945701599</v>
      </c>
      <c r="P245">
        <v>312.37955017089803</v>
      </c>
      <c r="Q245">
        <f t="shared" si="12"/>
        <v>308.12891059602953</v>
      </c>
      <c r="R245">
        <f>IF((Q245-E245)*(D245-E245)&gt;0, 1,0)</f>
        <v>0</v>
      </c>
      <c r="S245">
        <v>3.5918606240000002</v>
      </c>
      <c r="T245" s="1">
        <v>43257</v>
      </c>
      <c r="U245">
        <f>D245+1.65*S245</f>
        <v>319.67656998191597</v>
      </c>
      <c r="V245">
        <f>D245-1.65*S245</f>
        <v>307.823429922716</v>
      </c>
      <c r="W245">
        <f t="shared" si="13"/>
        <v>308.12891059602953</v>
      </c>
      <c r="X245">
        <f t="shared" si="14"/>
        <v>1</v>
      </c>
      <c r="Y245">
        <f>IF(AND(C245&lt;U245, C245&gt;V245),1,0)</f>
        <v>0</v>
      </c>
      <c r="Z245">
        <f t="shared" si="15"/>
        <v>0</v>
      </c>
      <c r="AA245">
        <f>IF(AND(Y245=1,F245&gt;0), 1, 0)</f>
        <v>0</v>
      </c>
    </row>
    <row r="246" spans="1:27" x14ac:dyDescent="0.3">
      <c r="A246" s="1">
        <v>43167</v>
      </c>
      <c r="B246" s="1">
        <v>43258</v>
      </c>
      <c r="C246">
        <v>306.47742948532101</v>
      </c>
      <c r="D246">
        <v>316.85000000000002</v>
      </c>
      <c r="E246">
        <v>313.60000000000002</v>
      </c>
      <c r="F246">
        <v>-3.25</v>
      </c>
      <c r="G246">
        <v>-7.1225705146789497</v>
      </c>
      <c r="H246">
        <v>3.25</v>
      </c>
      <c r="I246">
        <v>312.03924224376601</v>
      </c>
      <c r="J246">
        <v>315.35695109367299</v>
      </c>
      <c r="K246">
        <v>305.518689727783</v>
      </c>
      <c r="L246">
        <v>310.49690971374503</v>
      </c>
      <c r="M246">
        <v>305.27865467071501</v>
      </c>
      <c r="N246">
        <v>317.17216691970799</v>
      </c>
      <c r="O246">
        <v>321.39280567169101</v>
      </c>
      <c r="P246">
        <v>308.71551094055098</v>
      </c>
      <c r="Q246">
        <f t="shared" si="12"/>
        <v>311.25696629456058</v>
      </c>
      <c r="R246">
        <f>IF((Q246-E246)*(D246-E246)&gt;0, 1,0)</f>
        <v>0</v>
      </c>
      <c r="S246">
        <v>3.5838692760000002</v>
      </c>
      <c r="T246" s="1">
        <v>43258</v>
      </c>
      <c r="U246">
        <f>D246+1.65*S246</f>
        <v>322.7633843054</v>
      </c>
      <c r="V246">
        <f>D246-1.65*S246</f>
        <v>310.93661569460005</v>
      </c>
      <c r="W246">
        <f t="shared" si="13"/>
        <v>311.25696629456058</v>
      </c>
      <c r="X246">
        <f t="shared" si="14"/>
        <v>1</v>
      </c>
      <c r="Y246">
        <f>IF(AND(C246&lt;U246, C246&gt;V246),1,0)</f>
        <v>0</v>
      </c>
      <c r="Z246">
        <f t="shared" si="15"/>
        <v>0</v>
      </c>
      <c r="AA246">
        <f>IF(AND(Y246=1,F246&gt;0), 1, 0)</f>
        <v>0</v>
      </c>
    </row>
    <row r="247" spans="1:27" x14ac:dyDescent="0.3">
      <c r="A247" s="1">
        <v>43168</v>
      </c>
      <c r="B247" s="1">
        <v>43259</v>
      </c>
      <c r="C247">
        <v>311.13076410293502</v>
      </c>
      <c r="D247">
        <v>313.300000047683</v>
      </c>
      <c r="E247">
        <v>317.10000000000002</v>
      </c>
      <c r="F247">
        <v>3.7999999523162802</v>
      </c>
      <c r="G247">
        <v>-5.9692358970642001</v>
      </c>
      <c r="H247">
        <v>-3.7999999523162802</v>
      </c>
      <c r="I247">
        <v>315.00742444991999</v>
      </c>
      <c r="J247">
        <v>317.68676993846799</v>
      </c>
      <c r="K247">
        <v>310.31166038513101</v>
      </c>
      <c r="L247">
        <v>309.349101638793</v>
      </c>
      <c r="M247">
        <v>307.04959735870301</v>
      </c>
      <c r="N247">
        <v>314.907685184478</v>
      </c>
      <c r="O247">
        <v>319.961594676971</v>
      </c>
      <c r="P247">
        <v>311.84572849273599</v>
      </c>
      <c r="Q247">
        <f t="shared" si="12"/>
        <v>313.03026813438885</v>
      </c>
      <c r="R247">
        <f>IF((Q247-E247)*(D247-E247)&gt;0, 1,0)</f>
        <v>1</v>
      </c>
      <c r="S247">
        <v>3.5935544259999999</v>
      </c>
      <c r="T247" s="1">
        <v>43259</v>
      </c>
      <c r="U247">
        <f>D247+1.65*S247</f>
        <v>319.22936485058301</v>
      </c>
      <c r="V247">
        <f>D247-1.65*S247</f>
        <v>307.37063524478299</v>
      </c>
      <c r="W247">
        <f t="shared" si="13"/>
        <v>313.03026813438885</v>
      </c>
      <c r="X247">
        <f t="shared" si="14"/>
        <v>1</v>
      </c>
      <c r="Y247">
        <f>IF(AND(C247&lt;U247, C247&gt;V247),1,0)</f>
        <v>1</v>
      </c>
      <c r="Z247">
        <f t="shared" si="15"/>
        <v>1</v>
      </c>
      <c r="AA247">
        <f>IF(AND(Y247=1,F247&gt;0), 1, 0)</f>
        <v>1</v>
      </c>
    </row>
    <row r="248" spans="1:27" x14ac:dyDescent="0.3">
      <c r="A248" s="1">
        <v>43171</v>
      </c>
      <c r="B248" s="1">
        <v>43262</v>
      </c>
      <c r="C248">
        <v>317.52784380912698</v>
      </c>
      <c r="D248">
        <v>316.14999995231602</v>
      </c>
      <c r="E248">
        <v>320.10000000000002</v>
      </c>
      <c r="F248">
        <v>3.95000004768371</v>
      </c>
      <c r="G248">
        <v>-2.5721561908721902</v>
      </c>
      <c r="H248">
        <v>-3.95000004768371</v>
      </c>
      <c r="I248">
        <v>318.51705942153899</v>
      </c>
      <c r="J248">
        <v>318.53709516525203</v>
      </c>
      <c r="K248">
        <v>311.98591670989902</v>
      </c>
      <c r="L248">
        <v>306.81675300598101</v>
      </c>
      <c r="M248">
        <v>308.84203681945797</v>
      </c>
      <c r="N248">
        <v>318.03496763706198</v>
      </c>
      <c r="O248">
        <v>319.94087640047002</v>
      </c>
      <c r="P248">
        <v>314.20286617278998</v>
      </c>
      <c r="Q248">
        <f t="shared" si="12"/>
        <v>314.12037195648412</v>
      </c>
      <c r="R248">
        <f>IF((Q248-E248)*(D248-E248)&gt;0, 1,0)</f>
        <v>1</v>
      </c>
      <c r="S248">
        <v>3.5521090019999999</v>
      </c>
      <c r="T248" s="1">
        <v>43262</v>
      </c>
      <c r="U248">
        <f>D248+1.65*S248</f>
        <v>322.01097980561605</v>
      </c>
      <c r="V248">
        <f>D248-1.65*S248</f>
        <v>310.289020099016</v>
      </c>
      <c r="W248">
        <f t="shared" si="13"/>
        <v>314.12037195648412</v>
      </c>
      <c r="X248">
        <f t="shared" si="14"/>
        <v>1</v>
      </c>
      <c r="Y248">
        <f>IF(AND(C248&lt;U248, C248&gt;V248),1,0)</f>
        <v>1</v>
      </c>
      <c r="Z248">
        <f t="shared" si="15"/>
        <v>1</v>
      </c>
      <c r="AA248">
        <f>IF(AND(Y248=1,F248&gt;0), 1, 0)</f>
        <v>1</v>
      </c>
    </row>
    <row r="249" spans="1:27" x14ac:dyDescent="0.3">
      <c r="A249" s="1">
        <v>43172</v>
      </c>
      <c r="B249" s="1">
        <v>43263</v>
      </c>
      <c r="C249">
        <v>318.59278178214998</v>
      </c>
      <c r="D249">
        <v>315.65000009536698</v>
      </c>
      <c r="E249">
        <v>321.5</v>
      </c>
      <c r="F249">
        <v>5.8499999046325604</v>
      </c>
      <c r="G249">
        <v>-2.9072182178497301</v>
      </c>
      <c r="H249">
        <v>-5.8499999046325604</v>
      </c>
      <c r="I249">
        <v>319.08938956260602</v>
      </c>
      <c r="J249">
        <v>320.29707312583901</v>
      </c>
      <c r="K249">
        <v>311.32434082031199</v>
      </c>
      <c r="L249">
        <v>309.87630176544099</v>
      </c>
      <c r="M249">
        <v>311.61663532257</v>
      </c>
      <c r="N249">
        <v>312.31970012187901</v>
      </c>
      <c r="O249">
        <v>323.913299798965</v>
      </c>
      <c r="P249">
        <v>318.84607100486699</v>
      </c>
      <c r="Q249">
        <f t="shared" si="12"/>
        <v>316.42330162865716</v>
      </c>
      <c r="R249">
        <f>IF((Q249-E249)*(D249-E249)&gt;0, 1,0)</f>
        <v>1</v>
      </c>
      <c r="S249">
        <v>3.4760354019999999</v>
      </c>
      <c r="T249" s="1">
        <v>43263</v>
      </c>
      <c r="U249">
        <f>D249+1.65*S249</f>
        <v>321.385458508667</v>
      </c>
      <c r="V249">
        <f>D249-1.65*S249</f>
        <v>309.91454168206695</v>
      </c>
      <c r="W249">
        <f t="shared" si="13"/>
        <v>316.42330162865716</v>
      </c>
      <c r="X249">
        <f t="shared" si="14"/>
        <v>1</v>
      </c>
      <c r="Y249">
        <f>IF(AND(C249&lt;U249, C249&gt;V249),1,0)</f>
        <v>1</v>
      </c>
      <c r="Z249">
        <f t="shared" si="15"/>
        <v>1</v>
      </c>
      <c r="AA249">
        <f>IF(AND(Y249=1,F249&gt;0), 1, 0)</f>
        <v>1</v>
      </c>
    </row>
    <row r="250" spans="1:27" x14ac:dyDescent="0.3">
      <c r="A250" s="1">
        <v>43173</v>
      </c>
      <c r="B250" s="1">
        <v>43264</v>
      </c>
      <c r="C250">
        <v>318.73817806243898</v>
      </c>
      <c r="D250">
        <v>315.64999990463201</v>
      </c>
      <c r="E250">
        <v>321.55</v>
      </c>
      <c r="F250">
        <v>5.9000000953674299</v>
      </c>
      <c r="G250">
        <v>-2.8118219375610298</v>
      </c>
      <c r="H250">
        <v>-5.9000000953674299</v>
      </c>
      <c r="I250">
        <v>320.10867123603799</v>
      </c>
      <c r="J250">
        <v>321.13035358786499</v>
      </c>
      <c r="K250">
        <v>310.94856719970699</v>
      </c>
      <c r="L250">
        <v>309.69552116393999</v>
      </c>
      <c r="M250">
        <v>316.61729698181102</v>
      </c>
      <c r="N250">
        <v>321.00281038284299</v>
      </c>
      <c r="O250">
        <v>319.33788661956697</v>
      </c>
      <c r="P250">
        <v>316.49534158706598</v>
      </c>
      <c r="Q250">
        <f t="shared" si="12"/>
        <v>316.33337691085626</v>
      </c>
      <c r="R250">
        <f>IF((Q250-E250)*(D250-E250)&gt;0, 1,0)</f>
        <v>1</v>
      </c>
      <c r="S250">
        <v>3.3944546120000001</v>
      </c>
      <c r="T250" s="1">
        <v>43264</v>
      </c>
      <c r="U250">
        <f>D250+1.65*S250</f>
        <v>321.25085001443199</v>
      </c>
      <c r="V250">
        <f>D250-1.65*S250</f>
        <v>310.04914979483203</v>
      </c>
      <c r="W250">
        <f t="shared" si="13"/>
        <v>316.33337691085626</v>
      </c>
      <c r="X250">
        <f t="shared" si="14"/>
        <v>1</v>
      </c>
      <c r="Y250">
        <f>IF(AND(C250&lt;U250, C250&gt;V250),1,0)</f>
        <v>1</v>
      </c>
      <c r="Z250">
        <f t="shared" si="15"/>
        <v>1</v>
      </c>
      <c r="AA250">
        <f>IF(AND(Y250=1,F250&gt;0), 1, 0)</f>
        <v>1</v>
      </c>
    </row>
    <row r="251" spans="1:27" x14ac:dyDescent="0.3">
      <c r="A251" s="1">
        <v>43174</v>
      </c>
      <c r="B251" s="1">
        <v>43265</v>
      </c>
      <c r="C251">
        <v>321.30164334774003</v>
      </c>
      <c r="D251">
        <v>310.40000019073398</v>
      </c>
      <c r="E251">
        <v>322.85000000000002</v>
      </c>
      <c r="F251">
        <v>12.449999809265099</v>
      </c>
      <c r="G251">
        <v>-1.54835665225982</v>
      </c>
      <c r="H251">
        <v>-12.449999809265099</v>
      </c>
      <c r="I251">
        <v>321.94955519437701</v>
      </c>
      <c r="J251">
        <v>321.94785777330401</v>
      </c>
      <c r="K251">
        <v>313.72456130981402</v>
      </c>
      <c r="L251">
        <v>312.63345394134501</v>
      </c>
      <c r="M251">
        <v>318.45958719253503</v>
      </c>
      <c r="N251">
        <v>318.58543100357002</v>
      </c>
      <c r="O251">
        <v>319.50837264060902</v>
      </c>
      <c r="P251">
        <v>316.379313087463</v>
      </c>
      <c r="Q251">
        <f t="shared" si="12"/>
        <v>317.80038587706389</v>
      </c>
      <c r="R251">
        <f>IF((Q251-E251)*(D251-E251)&gt;0, 1,0)</f>
        <v>1</v>
      </c>
      <c r="S251">
        <v>3.3246131929999998</v>
      </c>
      <c r="T251" s="1">
        <v>43265</v>
      </c>
      <c r="U251">
        <f>D251+1.65*S251</f>
        <v>315.88561195918396</v>
      </c>
      <c r="V251">
        <f>D251-1.65*S251</f>
        <v>304.91438842228399</v>
      </c>
      <c r="W251">
        <f t="shared" si="13"/>
        <v>317.80038587706389</v>
      </c>
      <c r="X251">
        <f t="shared" si="14"/>
        <v>0</v>
      </c>
      <c r="Y251">
        <f>IF(AND(C251&lt;U251, C251&gt;V251),1,0)</f>
        <v>0</v>
      </c>
      <c r="Z251">
        <f t="shared" si="15"/>
        <v>0</v>
      </c>
      <c r="AA251">
        <f>IF(AND(Y251=1,F251&gt;0), 1, 0)</f>
        <v>0</v>
      </c>
    </row>
    <row r="252" spans="1:27" x14ac:dyDescent="0.3">
      <c r="A252" s="1">
        <v>43175</v>
      </c>
      <c r="B252" s="1">
        <v>43266</v>
      </c>
      <c r="C252">
        <v>318.25620436668299</v>
      </c>
      <c r="D252">
        <v>309.19999980926502</v>
      </c>
      <c r="E252">
        <v>322</v>
      </c>
      <c r="F252">
        <v>12.800000190734799</v>
      </c>
      <c r="G252">
        <v>-3.74379563331604</v>
      </c>
      <c r="H252">
        <v>-12.800000190734799</v>
      </c>
      <c r="I252">
        <v>321.93974592536603</v>
      </c>
      <c r="J252">
        <v>321.12352567911103</v>
      </c>
      <c r="K252">
        <v>310.67680549621502</v>
      </c>
      <c r="L252">
        <v>308.90516471862702</v>
      </c>
      <c r="M252">
        <v>313.76565647125199</v>
      </c>
      <c r="N252">
        <v>313.97343224286999</v>
      </c>
      <c r="O252">
        <v>314.23052644729597</v>
      </c>
      <c r="P252">
        <v>316.375831604003</v>
      </c>
      <c r="Q252">
        <f t="shared" si="12"/>
        <v>315.28817947740998</v>
      </c>
      <c r="R252">
        <f>IF((Q252-E252)*(D252-E252)&gt;0, 1,0)</f>
        <v>1</v>
      </c>
      <c r="S252">
        <v>3.3019538210000001</v>
      </c>
      <c r="T252" s="1">
        <v>43266</v>
      </c>
      <c r="U252">
        <f>D252+1.65*S252</f>
        <v>314.64822361391504</v>
      </c>
      <c r="V252">
        <f>D252-1.65*S252</f>
        <v>303.75177600461501</v>
      </c>
      <c r="W252">
        <f t="shared" si="13"/>
        <v>315.28817947740998</v>
      </c>
      <c r="X252">
        <f t="shared" si="14"/>
        <v>0</v>
      </c>
      <c r="Y252">
        <f>IF(AND(C252&lt;U252, C252&gt;V252),1,0)</f>
        <v>0</v>
      </c>
      <c r="Z252">
        <f t="shared" si="15"/>
        <v>0</v>
      </c>
      <c r="AA252">
        <f>IF(AND(Y252=1,F252&gt;0), 1, 0)</f>
        <v>0</v>
      </c>
    </row>
    <row r="253" spans="1:27" x14ac:dyDescent="0.3">
      <c r="A253" s="1">
        <v>43178</v>
      </c>
      <c r="B253" s="1">
        <v>43269</v>
      </c>
      <c r="C253">
        <v>315.235877132415</v>
      </c>
      <c r="D253">
        <v>305.85000000000002</v>
      </c>
      <c r="E253">
        <v>319.85000000000002</v>
      </c>
      <c r="F253">
        <v>14</v>
      </c>
      <c r="G253">
        <v>-4.6141228675842196</v>
      </c>
      <c r="H253">
        <v>-14</v>
      </c>
      <c r="I253">
        <v>318.45827076435</v>
      </c>
      <c r="J253">
        <v>318.81255207061702</v>
      </c>
      <c r="K253">
        <v>308.05639514923098</v>
      </c>
      <c r="L253">
        <v>310.871162986755</v>
      </c>
      <c r="M253">
        <v>316.08277354240403</v>
      </c>
      <c r="N253">
        <v>314.41127077341002</v>
      </c>
      <c r="O253">
        <v>313.62598714828403</v>
      </c>
      <c r="P253">
        <v>311.520552253723</v>
      </c>
      <c r="Q253">
        <f t="shared" si="12"/>
        <v>313.9182419879092</v>
      </c>
      <c r="R253">
        <f>IF((Q253-E253)*(D253-E253)&gt;0, 1,0)</f>
        <v>1</v>
      </c>
      <c r="S253">
        <v>3.4426154250000001</v>
      </c>
      <c r="T253" s="1">
        <v>43269</v>
      </c>
      <c r="U253">
        <f>D253+1.65*S253</f>
        <v>311.53031545125003</v>
      </c>
      <c r="V253">
        <f>D253-1.65*S253</f>
        <v>300.16968454875001</v>
      </c>
      <c r="W253">
        <f t="shared" si="13"/>
        <v>313.9182419879092</v>
      </c>
      <c r="X253">
        <f t="shared" si="14"/>
        <v>0</v>
      </c>
      <c r="Y253">
        <f>IF(AND(C253&lt;U253, C253&gt;V253),1,0)</f>
        <v>0</v>
      </c>
      <c r="Z253">
        <f t="shared" si="15"/>
        <v>0</v>
      </c>
      <c r="AA253">
        <f>IF(AND(Y253=1,F253&gt;0), 1, 0)</f>
        <v>0</v>
      </c>
    </row>
    <row r="254" spans="1:27" x14ac:dyDescent="0.3">
      <c r="A254" s="1">
        <v>43179</v>
      </c>
      <c r="B254" s="1">
        <v>43270</v>
      </c>
      <c r="C254">
        <v>315.68491916656399</v>
      </c>
      <c r="D254">
        <v>301.34999923705999</v>
      </c>
      <c r="E254">
        <v>321.3</v>
      </c>
      <c r="F254">
        <v>19.9500007629394</v>
      </c>
      <c r="G254">
        <v>-5.6150808334350497</v>
      </c>
      <c r="H254">
        <v>-19.9500007629394</v>
      </c>
      <c r="I254">
        <v>320.47081427574102</v>
      </c>
      <c r="J254">
        <v>318.10975556373597</v>
      </c>
      <c r="K254">
        <v>312.44244842529298</v>
      </c>
      <c r="L254">
        <v>317.638526725769</v>
      </c>
      <c r="M254">
        <v>316.60079746246299</v>
      </c>
      <c r="N254">
        <v>315.44451538324302</v>
      </c>
      <c r="O254">
        <v>311.03154926299999</v>
      </c>
      <c r="P254">
        <v>310.468040275573</v>
      </c>
      <c r="Q254">
        <f t="shared" si="12"/>
        <v>315.25170457022494</v>
      </c>
      <c r="R254">
        <f>IF((Q254-E254)*(D254-E254)&gt;0, 1,0)</f>
        <v>1</v>
      </c>
      <c r="S254">
        <v>3.7405120360000002</v>
      </c>
      <c r="T254" s="1">
        <v>43270</v>
      </c>
      <c r="U254">
        <f>D254+1.65*S254</f>
        <v>307.52184409645997</v>
      </c>
      <c r="V254">
        <f>D254-1.65*S254</f>
        <v>295.17815437766001</v>
      </c>
      <c r="W254">
        <f t="shared" si="13"/>
        <v>315.25170457022494</v>
      </c>
      <c r="X254">
        <f t="shared" si="14"/>
        <v>0</v>
      </c>
      <c r="Y254">
        <f>IF(AND(C254&lt;U254, C254&gt;V254),1,0)</f>
        <v>0</v>
      </c>
      <c r="Z254">
        <f t="shared" si="15"/>
        <v>0</v>
      </c>
      <c r="AA254">
        <f>IF(AND(Y254=1,F254&gt;0), 1, 0)</f>
        <v>0</v>
      </c>
    </row>
    <row r="255" spans="1:27" x14ac:dyDescent="0.3">
      <c r="A255" s="1">
        <v>43180</v>
      </c>
      <c r="B255" s="1">
        <v>43271</v>
      </c>
      <c r="C255">
        <v>314.29751596450802</v>
      </c>
      <c r="D255">
        <v>304.20000038146901</v>
      </c>
      <c r="E255">
        <v>321.60000000000002</v>
      </c>
      <c r="F255">
        <v>17.399999618530199</v>
      </c>
      <c r="G255">
        <v>-7.3024840354919398</v>
      </c>
      <c r="H255">
        <v>-17.399999618530199</v>
      </c>
      <c r="I255">
        <v>320.08089742660502</v>
      </c>
      <c r="J255">
        <v>320.158676362037</v>
      </c>
      <c r="K255">
        <v>311.36061153411799</v>
      </c>
      <c r="L255">
        <v>312.13090095519999</v>
      </c>
      <c r="M255">
        <v>318.17232737541201</v>
      </c>
      <c r="N255">
        <v>315.32340767383499</v>
      </c>
      <c r="O255">
        <v>310.35937461853001</v>
      </c>
      <c r="P255">
        <v>314.80928478240901</v>
      </c>
      <c r="Q255">
        <f t="shared" si="12"/>
        <v>315.29601043633011</v>
      </c>
      <c r="R255">
        <f>IF((Q255-E255)*(D255-E255)&gt;0, 1,0)</f>
        <v>1</v>
      </c>
      <c r="S255">
        <v>3.8529362549999999</v>
      </c>
      <c r="T255" s="1">
        <v>43271</v>
      </c>
      <c r="U255">
        <f>D255+1.65*S255</f>
        <v>310.55734520221898</v>
      </c>
      <c r="V255">
        <f>D255-1.65*S255</f>
        <v>297.84265556071904</v>
      </c>
      <c r="W255">
        <f t="shared" si="13"/>
        <v>315.29601043633011</v>
      </c>
      <c r="X255">
        <f t="shared" si="14"/>
        <v>0</v>
      </c>
      <c r="Y255">
        <f>IF(AND(C255&lt;U255, C255&gt;V255),1,0)</f>
        <v>0</v>
      </c>
      <c r="Z255">
        <f t="shared" si="15"/>
        <v>0</v>
      </c>
      <c r="AA255">
        <f>IF(AND(Y255=1,F255&gt;0), 1, 0)</f>
        <v>0</v>
      </c>
    </row>
    <row r="256" spans="1:27" x14ac:dyDescent="0.3">
      <c r="A256" s="1">
        <v>43181</v>
      </c>
      <c r="B256" s="1">
        <v>43272</v>
      </c>
      <c r="C256">
        <v>316.72395715713498</v>
      </c>
      <c r="D256">
        <v>300.74999961853001</v>
      </c>
      <c r="E256">
        <v>322.10000000000002</v>
      </c>
      <c r="F256">
        <v>21.350000381469702</v>
      </c>
      <c r="G256">
        <v>-5.3760428428649902</v>
      </c>
      <c r="H256">
        <v>-21.350000381469702</v>
      </c>
      <c r="I256">
        <v>320.02398118972701</v>
      </c>
      <c r="J256">
        <v>317.95173320770198</v>
      </c>
      <c r="K256">
        <v>316.14095840454098</v>
      </c>
      <c r="L256">
        <v>316.441813087463</v>
      </c>
      <c r="M256">
        <v>320.47590694427402</v>
      </c>
      <c r="N256">
        <v>319.532811212539</v>
      </c>
      <c r="O256">
        <v>316.41911945343003</v>
      </c>
      <c r="P256">
        <v>316.630487537384</v>
      </c>
      <c r="Q256">
        <f t="shared" si="12"/>
        <v>317.72628568921726</v>
      </c>
      <c r="R256">
        <f>IF((Q256-E256)*(D256-E256)&gt;0, 1,0)</f>
        <v>1</v>
      </c>
      <c r="S256">
        <v>4.0838499639999997</v>
      </c>
      <c r="T256" s="1">
        <v>43272</v>
      </c>
      <c r="U256">
        <f>D256+1.65*S256</f>
        <v>307.48835205913002</v>
      </c>
      <c r="V256">
        <f>D256-1.65*S256</f>
        <v>294.01164717793</v>
      </c>
      <c r="W256">
        <f t="shared" si="13"/>
        <v>317.72628568921726</v>
      </c>
      <c r="X256">
        <f t="shared" si="14"/>
        <v>0</v>
      </c>
      <c r="Y256">
        <f>IF(AND(C256&lt;U256, C256&gt;V256),1,0)</f>
        <v>0</v>
      </c>
      <c r="Z256">
        <f t="shared" si="15"/>
        <v>0</v>
      </c>
      <c r="AA256">
        <f>IF(AND(Y256=1,F256&gt;0), 1, 0)</f>
        <v>0</v>
      </c>
    </row>
    <row r="257" spans="1:27" x14ac:dyDescent="0.3">
      <c r="A257" s="1">
        <v>43182</v>
      </c>
      <c r="B257" s="1">
        <v>43273</v>
      </c>
      <c r="C257">
        <v>316.06362485885597</v>
      </c>
      <c r="D257">
        <v>303.65000009536698</v>
      </c>
      <c r="E257">
        <v>311.5</v>
      </c>
      <c r="F257">
        <v>-7.8499999046325604</v>
      </c>
      <c r="G257">
        <v>4.5636248588562003</v>
      </c>
      <c r="H257">
        <v>-7.8499999046325604</v>
      </c>
      <c r="I257">
        <v>311.98248526453898</v>
      </c>
      <c r="J257">
        <v>314.40220236778202</v>
      </c>
      <c r="K257">
        <v>313.93573808669998</v>
      </c>
      <c r="L257">
        <v>314.25046682357703</v>
      </c>
      <c r="M257">
        <v>316.93458938598599</v>
      </c>
      <c r="N257">
        <v>320.911850738525</v>
      </c>
      <c r="O257">
        <v>330.39979171752901</v>
      </c>
      <c r="P257">
        <v>318.08581161499001</v>
      </c>
      <c r="Q257">
        <f t="shared" si="12"/>
        <v>317.14158360872898</v>
      </c>
      <c r="R257">
        <f>IF((Q257-E257)*(D257-E257)&gt;0, 1,0)</f>
        <v>0</v>
      </c>
      <c r="S257">
        <v>4.2709527339999998</v>
      </c>
      <c r="T257" s="1">
        <v>43273</v>
      </c>
      <c r="U257">
        <f>D257+1.65*S257</f>
        <v>310.69707210646698</v>
      </c>
      <c r="V257">
        <f>D257-1.65*S257</f>
        <v>296.60292808426698</v>
      </c>
      <c r="W257">
        <f t="shared" si="13"/>
        <v>317.14158360872898</v>
      </c>
      <c r="X257">
        <f t="shared" si="14"/>
        <v>0</v>
      </c>
      <c r="Y257">
        <f>IF(AND(C257&lt;U257, C257&gt;V257),1,0)</f>
        <v>0</v>
      </c>
      <c r="Z257">
        <f t="shared" si="15"/>
        <v>0</v>
      </c>
      <c r="AA257">
        <f>IF(AND(Y257=1,F257&gt;0), 1, 0)</f>
        <v>0</v>
      </c>
    </row>
    <row r="258" spans="1:27" x14ac:dyDescent="0.3">
      <c r="A258" s="1">
        <v>43185</v>
      </c>
      <c r="B258" s="1">
        <v>43276</v>
      </c>
      <c r="C258">
        <v>325.468426704406</v>
      </c>
      <c r="D258">
        <v>303.25</v>
      </c>
      <c r="E258">
        <v>314.5</v>
      </c>
      <c r="F258">
        <v>-11.25</v>
      </c>
      <c r="G258">
        <v>10.968426704406699</v>
      </c>
      <c r="H258">
        <v>-11.25</v>
      </c>
      <c r="I258">
        <v>313.71275854110701</v>
      </c>
      <c r="J258">
        <v>316.343615770339</v>
      </c>
      <c r="K258">
        <v>316.44458377361298</v>
      </c>
      <c r="L258">
        <v>318.06775617599402</v>
      </c>
      <c r="M258">
        <v>322.126551628112</v>
      </c>
      <c r="N258">
        <v>321.68950543403599</v>
      </c>
      <c r="O258">
        <v>325.06369781494101</v>
      </c>
      <c r="P258">
        <v>326.27203941345198</v>
      </c>
      <c r="Q258">
        <f t="shared" si="12"/>
        <v>319.71871473107973</v>
      </c>
      <c r="R258">
        <f>IF((Q258-E258)*(D258-E258)&gt;0, 1,0)</f>
        <v>0</v>
      </c>
      <c r="S258">
        <v>4.4690734819999998</v>
      </c>
      <c r="T258" s="1">
        <v>43276</v>
      </c>
      <c r="U258">
        <f>D258+1.65*S258</f>
        <v>310.62397124530003</v>
      </c>
      <c r="V258">
        <f>D258-1.65*S258</f>
        <v>295.87602875469997</v>
      </c>
      <c r="W258">
        <f t="shared" si="13"/>
        <v>319.71871473107973</v>
      </c>
      <c r="X258">
        <f t="shared" si="14"/>
        <v>0</v>
      </c>
      <c r="Y258">
        <f>IF(AND(C258&lt;U258, C258&gt;V258),1,0)</f>
        <v>0</v>
      </c>
      <c r="Z258">
        <f t="shared" si="15"/>
        <v>0</v>
      </c>
      <c r="AA258">
        <f>IF(AND(Y258=1,F258&gt;0), 1, 0)</f>
        <v>0</v>
      </c>
    </row>
    <row r="259" spans="1:27" x14ac:dyDescent="0.3">
      <c r="A259" s="1">
        <v>43186</v>
      </c>
      <c r="B259" s="1">
        <v>43277</v>
      </c>
      <c r="C259">
        <v>319.83324422836301</v>
      </c>
      <c r="D259">
        <v>302.39999999999998</v>
      </c>
      <c r="E259">
        <v>315.14999999999998</v>
      </c>
      <c r="F259">
        <v>-12.75</v>
      </c>
      <c r="G259">
        <v>4.68324422836303</v>
      </c>
      <c r="H259">
        <v>-12.75</v>
      </c>
      <c r="I259">
        <v>313.699213171005</v>
      </c>
      <c r="J259">
        <v>312.65830030441202</v>
      </c>
      <c r="K259">
        <v>313.097128772735</v>
      </c>
      <c r="L259">
        <v>308.581456565856</v>
      </c>
      <c r="M259">
        <v>313.60831525325699</v>
      </c>
      <c r="N259">
        <v>320.15703239440899</v>
      </c>
      <c r="O259">
        <v>321.86904706954903</v>
      </c>
      <c r="P259">
        <v>314.09304418563801</v>
      </c>
      <c r="Q259">
        <f t="shared" ref="Q259:Q276" si="16">AVERAGE(I259:M259, O259:P259)</f>
        <v>313.943786474636</v>
      </c>
      <c r="R259">
        <f>IF((Q259-E259)*(D259-E259)&gt;0, 1,0)</f>
        <v>1</v>
      </c>
      <c r="S259">
        <v>4.6798890780000004</v>
      </c>
      <c r="T259" s="1">
        <v>43277</v>
      </c>
      <c r="U259">
        <f>D259+1.65*S259</f>
        <v>310.1218169787</v>
      </c>
      <c r="V259">
        <f>D259-1.65*S259</f>
        <v>294.67818302129996</v>
      </c>
      <c r="W259">
        <f t="shared" ref="W259:W275" si="17">Q259</f>
        <v>313.943786474636</v>
      </c>
      <c r="X259">
        <f t="shared" ref="X259:X275" si="18">IF(AND(W259&lt;U259, W259&gt;V259),1,0)</f>
        <v>0</v>
      </c>
      <c r="Y259">
        <f>IF(AND(C259&lt;U259, C259&gt;V259),1,0)</f>
        <v>0</v>
      </c>
      <c r="Z259">
        <f t="shared" ref="Z259:Z275" si="19">IF(AND(X259=1,R259=1), 1, 0)</f>
        <v>0</v>
      </c>
      <c r="AA259">
        <f>IF(AND(Y259=1,F259&gt;0), 1, 0)</f>
        <v>0</v>
      </c>
    </row>
    <row r="260" spans="1:27" x14ac:dyDescent="0.3">
      <c r="A260" s="1">
        <v>43187</v>
      </c>
      <c r="B260" s="1">
        <v>43278</v>
      </c>
      <c r="C260">
        <v>311.59070255756302</v>
      </c>
      <c r="D260">
        <v>301.54999961853002</v>
      </c>
      <c r="E260">
        <v>310.64999999999998</v>
      </c>
      <c r="F260">
        <v>-9.1000003814697195</v>
      </c>
      <c r="G260">
        <v>0.94070255756378096</v>
      </c>
      <c r="H260">
        <v>-9.1000003814697195</v>
      </c>
      <c r="I260">
        <v>309.13992180824198</v>
      </c>
      <c r="J260">
        <v>311.88730778694099</v>
      </c>
      <c r="K260">
        <v>311.76758375167799</v>
      </c>
      <c r="L260">
        <v>309.81219586133898</v>
      </c>
      <c r="M260">
        <v>310.37184821963302</v>
      </c>
      <c r="N260">
        <v>313.64737062454202</v>
      </c>
      <c r="O260">
        <v>322.02086868286102</v>
      </c>
      <c r="P260">
        <v>308.09372463226299</v>
      </c>
      <c r="Q260">
        <f t="shared" si="16"/>
        <v>311.87049296327956</v>
      </c>
      <c r="R260">
        <f>IF((Q260-E260)*(D260-E260)&gt;0, 1,0)</f>
        <v>0</v>
      </c>
      <c r="S260">
        <v>4.898046731</v>
      </c>
      <c r="T260" s="1">
        <v>43278</v>
      </c>
      <c r="U260">
        <f>D260+1.65*S260</f>
        <v>309.63177672468004</v>
      </c>
      <c r="V260">
        <f>D260-1.65*S260</f>
        <v>293.46822251238001</v>
      </c>
      <c r="W260">
        <f t="shared" si="17"/>
        <v>311.87049296327956</v>
      </c>
      <c r="X260">
        <f t="shared" si="18"/>
        <v>0</v>
      </c>
      <c r="Y260">
        <f>IF(AND(C260&lt;U260, C260&gt;V260),1,0)</f>
        <v>0</v>
      </c>
      <c r="Z260">
        <f t="shared" si="19"/>
        <v>0</v>
      </c>
      <c r="AA260">
        <f>IF(AND(Y260=1,F260&gt;0), 1, 0)</f>
        <v>0</v>
      </c>
    </row>
    <row r="261" spans="1:27" x14ac:dyDescent="0.3">
      <c r="A261" s="1">
        <v>43188</v>
      </c>
      <c r="B261" s="1">
        <v>43279</v>
      </c>
      <c r="C261">
        <v>308.682532978057</v>
      </c>
      <c r="D261">
        <v>299.09999961852998</v>
      </c>
      <c r="E261">
        <v>314.45</v>
      </c>
      <c r="F261">
        <v>15.3500003814697</v>
      </c>
      <c r="G261">
        <v>-5.7674670219421298</v>
      </c>
      <c r="H261">
        <v>-15.3500003814697</v>
      </c>
      <c r="I261">
        <v>314.95343734025897</v>
      </c>
      <c r="J261">
        <v>315.29229934215499</v>
      </c>
      <c r="K261">
        <v>310.81707091331401</v>
      </c>
      <c r="L261">
        <v>309.769194316864</v>
      </c>
      <c r="M261">
        <v>313.80320156812598</v>
      </c>
      <c r="N261">
        <v>304.08675756454397</v>
      </c>
      <c r="O261">
        <v>317.618015241622</v>
      </c>
      <c r="P261">
        <v>306.484460544586</v>
      </c>
      <c r="Q261">
        <f t="shared" si="16"/>
        <v>312.67681132384661</v>
      </c>
      <c r="R261">
        <f>IF((Q261-E261)*(D261-E261)&gt;0, 1,0)</f>
        <v>1</v>
      </c>
      <c r="S261">
        <v>5.20590537</v>
      </c>
      <c r="T261" s="1">
        <v>43279</v>
      </c>
      <c r="U261">
        <f>D261+1.65*S261</f>
        <v>307.68974347902997</v>
      </c>
      <c r="V261">
        <f>D261-1.65*S261</f>
        <v>290.51025575802998</v>
      </c>
      <c r="W261">
        <f t="shared" si="17"/>
        <v>312.67681132384661</v>
      </c>
      <c r="X261">
        <f t="shared" si="18"/>
        <v>0</v>
      </c>
      <c r="Y261">
        <f>IF(AND(C261&lt;U261, C261&gt;V261),1,0)</f>
        <v>0</v>
      </c>
      <c r="Z261">
        <f t="shared" si="19"/>
        <v>0</v>
      </c>
      <c r="AA261">
        <f>IF(AND(Y261=1,F261&gt;0), 1, 0)</f>
        <v>0</v>
      </c>
    </row>
    <row r="262" spans="1:27" x14ac:dyDescent="0.3">
      <c r="A262" s="1">
        <v>43189</v>
      </c>
      <c r="B262" s="1">
        <v>43280</v>
      </c>
      <c r="C262">
        <v>305.72520427703802</v>
      </c>
      <c r="D262">
        <v>299.99999980926498</v>
      </c>
      <c r="E262">
        <v>314.55</v>
      </c>
      <c r="F262">
        <v>14.550000190734799</v>
      </c>
      <c r="G262">
        <v>-8.8247957229614205</v>
      </c>
      <c r="H262">
        <v>-14.550000190734799</v>
      </c>
      <c r="I262">
        <v>316.01616935729902</v>
      </c>
      <c r="J262">
        <v>313.30641787052099</v>
      </c>
      <c r="K262">
        <v>306.71125917434603</v>
      </c>
      <c r="L262">
        <v>307.85858659744201</v>
      </c>
      <c r="M262">
        <v>309.86898260116499</v>
      </c>
      <c r="N262">
        <v>307.527746582031</v>
      </c>
      <c r="O262">
        <v>313.28454177379598</v>
      </c>
      <c r="P262">
        <v>304.44126682281399</v>
      </c>
      <c r="Q262">
        <f t="shared" si="16"/>
        <v>310.21246059962613</v>
      </c>
      <c r="R262">
        <f>IF((Q262-E262)*(D262-E262)&gt;0, 1,0)</f>
        <v>1</v>
      </c>
      <c r="S262">
        <v>5.4514220529999999</v>
      </c>
      <c r="T262" s="1">
        <v>43280</v>
      </c>
      <c r="U262">
        <f>D262+1.65*S262</f>
        <v>308.994846196715</v>
      </c>
      <c r="V262">
        <f>D262-1.65*S262</f>
        <v>291.00515342181495</v>
      </c>
      <c r="W262">
        <f t="shared" si="17"/>
        <v>310.21246059962613</v>
      </c>
      <c r="X262">
        <f t="shared" si="18"/>
        <v>0</v>
      </c>
      <c r="Y262">
        <f>IF(AND(C262&lt;U262, C262&gt;V262),1,0)</f>
        <v>1</v>
      </c>
      <c r="Z262">
        <f t="shared" si="19"/>
        <v>0</v>
      </c>
      <c r="AA262">
        <f>IF(AND(Y262=1,F262&gt;0), 1, 0)</f>
        <v>1</v>
      </c>
    </row>
    <row r="263" spans="1:27" x14ac:dyDescent="0.3">
      <c r="A263" s="1">
        <v>43192</v>
      </c>
      <c r="B263" s="1">
        <v>43283</v>
      </c>
      <c r="C263">
        <v>306.03180093765201</v>
      </c>
      <c r="D263">
        <v>292.90000076293899</v>
      </c>
      <c r="E263">
        <v>313.45</v>
      </c>
      <c r="F263">
        <v>20.549999237060501</v>
      </c>
      <c r="G263">
        <v>-7.4181990623474103</v>
      </c>
      <c r="H263">
        <v>-20.549999237060501</v>
      </c>
      <c r="I263">
        <v>314.56384904384601</v>
      </c>
      <c r="J263">
        <v>311.38830847740098</v>
      </c>
      <c r="K263">
        <v>309.506199789047</v>
      </c>
      <c r="L263">
        <v>319.99886770248401</v>
      </c>
      <c r="M263">
        <v>317.65430374145501</v>
      </c>
      <c r="N263">
        <v>312.41188778877199</v>
      </c>
      <c r="O263">
        <v>303.54512042999198</v>
      </c>
      <c r="P263">
        <v>309.87369747161802</v>
      </c>
      <c r="Q263">
        <f t="shared" si="16"/>
        <v>312.36147809369186</v>
      </c>
      <c r="R263">
        <f>IF((Q263-E263)*(D263-E263)&gt;0, 1,0)</f>
        <v>1</v>
      </c>
      <c r="S263">
        <v>5.9894175509999998</v>
      </c>
      <c r="T263" s="1">
        <v>43283</v>
      </c>
      <c r="U263">
        <f>D263+1.65*S263</f>
        <v>302.78253972208898</v>
      </c>
      <c r="V263">
        <f>D263-1.65*S263</f>
        <v>283.01746180378899</v>
      </c>
      <c r="W263">
        <f t="shared" si="17"/>
        <v>312.36147809369186</v>
      </c>
      <c r="X263">
        <f t="shared" si="18"/>
        <v>0</v>
      </c>
      <c r="Y263">
        <f>IF(AND(C263&lt;U263, C263&gt;V263),1,0)</f>
        <v>0</v>
      </c>
      <c r="Z263">
        <f t="shared" si="19"/>
        <v>0</v>
      </c>
      <c r="AA263">
        <f>IF(AND(Y263=1,F263&gt;0), 1, 0)</f>
        <v>0</v>
      </c>
    </row>
    <row r="264" spans="1:27" x14ac:dyDescent="0.3">
      <c r="A264" s="1">
        <v>43193</v>
      </c>
      <c r="B264" s="1">
        <v>43284</v>
      </c>
      <c r="C264">
        <v>306.366910266876</v>
      </c>
      <c r="D264">
        <v>293.75000076293901</v>
      </c>
      <c r="E264">
        <v>312.8</v>
      </c>
      <c r="F264">
        <v>19.049999237060501</v>
      </c>
      <c r="G264">
        <v>-6.4330897331237704</v>
      </c>
      <c r="H264">
        <v>-19.049999237060501</v>
      </c>
      <c r="I264">
        <v>313.473056960105</v>
      </c>
      <c r="J264">
        <v>312.226733911037</v>
      </c>
      <c r="K264">
        <v>308.59263782501199</v>
      </c>
      <c r="L264">
        <v>316.139768886566</v>
      </c>
      <c r="M264">
        <v>315.60498528480503</v>
      </c>
      <c r="N264">
        <v>312.52987325191498</v>
      </c>
      <c r="O264">
        <v>305.0036819458</v>
      </c>
      <c r="P264">
        <v>310.91702871322599</v>
      </c>
      <c r="Q264">
        <f t="shared" si="16"/>
        <v>311.70827050379302</v>
      </c>
      <c r="R264">
        <f>IF((Q264-E264)*(D264-E264)&gt;0, 1,0)</f>
        <v>1</v>
      </c>
      <c r="S264">
        <v>6.429470534</v>
      </c>
      <c r="T264" s="1">
        <v>43284</v>
      </c>
      <c r="U264">
        <f>D264+1.65*S264</f>
        <v>304.35862714403902</v>
      </c>
      <c r="V264">
        <f>D264-1.65*S264</f>
        <v>283.141374381839</v>
      </c>
      <c r="W264">
        <f t="shared" si="17"/>
        <v>311.70827050379302</v>
      </c>
      <c r="X264">
        <f t="shared" si="18"/>
        <v>0</v>
      </c>
      <c r="Y264">
        <f>IF(AND(C264&lt;U264, C264&gt;V264),1,0)</f>
        <v>0</v>
      </c>
      <c r="Z264">
        <f t="shared" si="19"/>
        <v>0</v>
      </c>
      <c r="AA264">
        <f>IF(AND(Y264=1,F264&gt;0), 1, 0)</f>
        <v>0</v>
      </c>
    </row>
    <row r="265" spans="1:27" x14ac:dyDescent="0.3">
      <c r="A265" s="1">
        <v>43194</v>
      </c>
      <c r="B265" s="1">
        <v>43285</v>
      </c>
      <c r="C265">
        <v>302.45724039077697</v>
      </c>
      <c r="D265">
        <v>292.55</v>
      </c>
      <c r="E265">
        <v>307.55</v>
      </c>
      <c r="F265">
        <v>15</v>
      </c>
      <c r="G265">
        <v>-5.0927596092224103</v>
      </c>
      <c r="H265">
        <v>-15</v>
      </c>
      <c r="I265">
        <v>309.69741802215498</v>
      </c>
      <c r="J265">
        <v>310.42288546562099</v>
      </c>
      <c r="K265">
        <v>309.00537590980503</v>
      </c>
      <c r="L265">
        <v>314.30840950012202</v>
      </c>
      <c r="M265">
        <v>310.19342617988502</v>
      </c>
      <c r="N265">
        <v>317.97557640075598</v>
      </c>
      <c r="O265">
        <v>304.91532020568798</v>
      </c>
      <c r="P265">
        <v>308.61261682510298</v>
      </c>
      <c r="Q265">
        <f t="shared" si="16"/>
        <v>309.59363601548273</v>
      </c>
      <c r="R265">
        <f>IF((Q265-E265)*(D265-E265)&gt;0, 1,0)</f>
        <v>0</v>
      </c>
      <c r="S265">
        <v>6.8578537940000004</v>
      </c>
      <c r="T265" s="1">
        <v>43285</v>
      </c>
      <c r="U265">
        <f>D265+1.65*S265</f>
        <v>303.86545876010001</v>
      </c>
      <c r="V265">
        <f>D265-1.65*S265</f>
        <v>281.23454123990001</v>
      </c>
      <c r="W265">
        <f t="shared" si="17"/>
        <v>309.59363601548273</v>
      </c>
      <c r="X265">
        <f t="shared" si="18"/>
        <v>0</v>
      </c>
      <c r="Y265">
        <f>IF(AND(C265&lt;U265, C265&gt;V265),1,0)</f>
        <v>1</v>
      </c>
      <c r="Z265">
        <f t="shared" si="19"/>
        <v>0</v>
      </c>
      <c r="AA265">
        <f>IF(AND(Y265=1,F265&gt;0), 1, 0)</f>
        <v>1</v>
      </c>
    </row>
    <row r="266" spans="1:27" x14ac:dyDescent="0.3">
      <c r="A266" s="1">
        <v>43195</v>
      </c>
      <c r="B266" s="1">
        <v>43286</v>
      </c>
      <c r="C266">
        <v>306.53025979995698</v>
      </c>
      <c r="D266">
        <v>291.99999923706002</v>
      </c>
      <c r="E266">
        <v>312.95</v>
      </c>
      <c r="F266">
        <v>20.9500007629394</v>
      </c>
      <c r="G266">
        <v>-6.4197402000427202</v>
      </c>
      <c r="H266">
        <v>-20.9500007629394</v>
      </c>
      <c r="I266">
        <v>317.28294439315698</v>
      </c>
      <c r="J266">
        <v>317.88659448623599</v>
      </c>
      <c r="K266">
        <v>316.54849095344503</v>
      </c>
      <c r="L266">
        <v>314.62118990421197</v>
      </c>
      <c r="M266">
        <v>313.54656220674502</v>
      </c>
      <c r="N266">
        <v>321.907032108306</v>
      </c>
      <c r="O266">
        <v>307.20621891021699</v>
      </c>
      <c r="P266">
        <v>310.69617195129302</v>
      </c>
      <c r="Q266">
        <f t="shared" si="16"/>
        <v>313.96973897218641</v>
      </c>
      <c r="R266">
        <f>IF((Q266-E266)*(D266-E266)&gt;0, 1,0)</f>
        <v>0</v>
      </c>
      <c r="S266">
        <v>7.2946155389999996</v>
      </c>
      <c r="T266" s="1">
        <v>43286</v>
      </c>
      <c r="U266">
        <f>D266+1.65*S266</f>
        <v>304.03611487641001</v>
      </c>
      <c r="V266">
        <f>D266-1.65*S266</f>
        <v>279.96388359771004</v>
      </c>
      <c r="W266">
        <f t="shared" si="17"/>
        <v>313.96973897218641</v>
      </c>
      <c r="X266">
        <f t="shared" si="18"/>
        <v>0</v>
      </c>
      <c r="Y266">
        <f>IF(AND(C266&lt;U266, C266&gt;V266),1,0)</f>
        <v>0</v>
      </c>
      <c r="Z266">
        <f t="shared" si="19"/>
        <v>0</v>
      </c>
      <c r="AA266">
        <f>IF(AND(Y266=1,F266&gt;0), 1, 0)</f>
        <v>0</v>
      </c>
    </row>
    <row r="267" spans="1:27" x14ac:dyDescent="0.3">
      <c r="A267" s="1">
        <v>43196</v>
      </c>
      <c r="B267" s="1">
        <v>43287</v>
      </c>
      <c r="C267">
        <v>305.63710756301799</v>
      </c>
      <c r="D267">
        <v>293.59999961852998</v>
      </c>
      <c r="E267">
        <v>311.2</v>
      </c>
      <c r="F267">
        <v>17.600000381469702</v>
      </c>
      <c r="G267">
        <v>-5.5628924369812003</v>
      </c>
      <c r="H267">
        <v>-17.600000381469702</v>
      </c>
      <c r="I267">
        <v>313.89877624511701</v>
      </c>
      <c r="J267">
        <v>316.72007675170897</v>
      </c>
      <c r="K267">
        <v>315.96921081542899</v>
      </c>
      <c r="L267">
        <v>314.68150444030698</v>
      </c>
      <c r="M267">
        <v>313.72900147438003</v>
      </c>
      <c r="N267">
        <v>318.34914236068698</v>
      </c>
      <c r="O267">
        <v>301.88137073516799</v>
      </c>
      <c r="P267">
        <v>309.632898044586</v>
      </c>
      <c r="Q267">
        <f t="shared" si="16"/>
        <v>312.35897692952807</v>
      </c>
      <c r="R267">
        <f>IF((Q267-E267)*(D267-E267)&gt;0, 1,0)</f>
        <v>0</v>
      </c>
      <c r="S267">
        <v>7.6342920999999997</v>
      </c>
      <c r="T267" s="1">
        <v>43287</v>
      </c>
      <c r="U267">
        <f>D267+1.65*S267</f>
        <v>306.19658158352996</v>
      </c>
      <c r="V267">
        <f>D267-1.65*S267</f>
        <v>281.00341765352999</v>
      </c>
      <c r="W267">
        <f t="shared" si="17"/>
        <v>312.35897692952807</v>
      </c>
      <c r="X267">
        <f t="shared" si="18"/>
        <v>0</v>
      </c>
      <c r="Y267">
        <f>IF(AND(C267&lt;U267, C267&gt;V267),1,0)</f>
        <v>1</v>
      </c>
      <c r="Z267">
        <f t="shared" si="19"/>
        <v>0</v>
      </c>
      <c r="AA267">
        <f>IF(AND(Y267=1,F267&gt;0), 1, 0)</f>
        <v>1</v>
      </c>
    </row>
    <row r="268" spans="1:27" x14ac:dyDescent="0.3">
      <c r="A268" s="1">
        <v>43199</v>
      </c>
      <c r="B268" s="1">
        <v>43290</v>
      </c>
      <c r="C268">
        <v>305.77752656936599</v>
      </c>
      <c r="D268">
        <v>296.24999923706002</v>
      </c>
      <c r="E268">
        <v>312.95</v>
      </c>
      <c r="F268">
        <v>16.7000007629394</v>
      </c>
      <c r="G268">
        <v>-7.1724734306335396</v>
      </c>
      <c r="H268">
        <v>-16.7000007629394</v>
      </c>
      <c r="I268">
        <v>315.23249502182</v>
      </c>
      <c r="J268">
        <v>316.49963755607598</v>
      </c>
      <c r="K268">
        <v>315.33136076927099</v>
      </c>
      <c r="L268">
        <v>318.35710020065301</v>
      </c>
      <c r="M268">
        <v>316.19941325187602</v>
      </c>
      <c r="N268">
        <v>319.616544628143</v>
      </c>
      <c r="O268">
        <v>305.10332317352203</v>
      </c>
      <c r="P268">
        <v>311.543940258026</v>
      </c>
      <c r="Q268">
        <f t="shared" si="16"/>
        <v>314.03818146160626</v>
      </c>
      <c r="R268">
        <f>IF((Q268-E268)*(D268-E268)&gt;0, 1,0)</f>
        <v>0</v>
      </c>
      <c r="S268">
        <v>7.8618244480000001</v>
      </c>
      <c r="T268" s="1">
        <v>43290</v>
      </c>
      <c r="U268">
        <f>D268+1.65*S268</f>
        <v>309.22200957626001</v>
      </c>
      <c r="V268">
        <f>D268-1.65*S268</f>
        <v>283.27798889786004</v>
      </c>
      <c r="W268">
        <f t="shared" si="17"/>
        <v>314.03818146160626</v>
      </c>
      <c r="X268">
        <f t="shared" si="18"/>
        <v>0</v>
      </c>
      <c r="Y268">
        <f>IF(AND(C268&lt;U268, C268&gt;V268),1,0)</f>
        <v>1</v>
      </c>
      <c r="Z268">
        <f t="shared" si="19"/>
        <v>0</v>
      </c>
      <c r="AA268">
        <f>IF(AND(Y268=1,F268&gt;0), 1, 0)</f>
        <v>1</v>
      </c>
    </row>
    <row r="269" spans="1:27" x14ac:dyDescent="0.3">
      <c r="A269" s="1">
        <v>43200</v>
      </c>
      <c r="B269" s="1">
        <v>43291</v>
      </c>
      <c r="C269">
        <v>307.87017602920503</v>
      </c>
      <c r="D269">
        <v>296.95</v>
      </c>
      <c r="E269">
        <v>313.45</v>
      </c>
      <c r="F269">
        <v>16.5</v>
      </c>
      <c r="G269">
        <v>-5.5798239707946697</v>
      </c>
      <c r="H269">
        <v>-16.5</v>
      </c>
      <c r="I269">
        <v>317.13907237052899</v>
      </c>
      <c r="J269">
        <v>316.75175423622102</v>
      </c>
      <c r="K269">
        <v>317.21253771781898</v>
      </c>
      <c r="L269">
        <v>317.68985767364501</v>
      </c>
      <c r="M269">
        <v>319.36469335556001</v>
      </c>
      <c r="N269">
        <v>320.45249834060598</v>
      </c>
      <c r="O269">
        <v>305.15619678497302</v>
      </c>
      <c r="P269">
        <v>315.10845012664703</v>
      </c>
      <c r="Q269">
        <f t="shared" si="16"/>
        <v>315.48893746648486</v>
      </c>
      <c r="R269">
        <f>IF((Q269-E269)*(D269-E269)&gt;0, 1,0)</f>
        <v>0</v>
      </c>
      <c r="S269">
        <v>8.0530036500000008</v>
      </c>
      <c r="T269" s="1">
        <v>43291</v>
      </c>
      <c r="U269">
        <f>D269+1.65*S269</f>
        <v>310.2374560225</v>
      </c>
      <c r="V269">
        <f>D269-1.65*S269</f>
        <v>283.66254397749998</v>
      </c>
      <c r="W269">
        <f t="shared" si="17"/>
        <v>315.48893746648486</v>
      </c>
      <c r="X269">
        <f t="shared" si="18"/>
        <v>0</v>
      </c>
      <c r="Y269">
        <f>IF(AND(C269&lt;U269, C269&gt;V269),1,0)</f>
        <v>1</v>
      </c>
      <c r="Z269">
        <f t="shared" si="19"/>
        <v>0</v>
      </c>
      <c r="AA269">
        <f>IF(AND(Y269=1,F269&gt;0), 1, 0)</f>
        <v>1</v>
      </c>
    </row>
    <row r="270" spans="1:27" x14ac:dyDescent="0.3">
      <c r="A270" s="1">
        <v>43201</v>
      </c>
      <c r="B270" s="1">
        <v>43292</v>
      </c>
      <c r="C270">
        <v>308.66176481246902</v>
      </c>
      <c r="D270">
        <v>295.30000038146898</v>
      </c>
      <c r="E270">
        <v>312.45</v>
      </c>
      <c r="F270">
        <v>17.149999618530199</v>
      </c>
      <c r="G270">
        <v>-3.78823518753051</v>
      </c>
      <c r="H270">
        <v>-17.149999618530199</v>
      </c>
      <c r="I270">
        <v>316.67772741317702</v>
      </c>
      <c r="J270">
        <v>314.037604999542</v>
      </c>
      <c r="K270">
        <v>318.95160837173398</v>
      </c>
      <c r="L270">
        <v>317.33632011413499</v>
      </c>
      <c r="M270">
        <v>319.78538722991902</v>
      </c>
      <c r="N270">
        <v>320.92201557159399</v>
      </c>
      <c r="O270">
        <v>309.30929751396098</v>
      </c>
      <c r="P270">
        <v>316.17530364990199</v>
      </c>
      <c r="Q270">
        <f t="shared" si="16"/>
        <v>316.03903561319572</v>
      </c>
      <c r="R270">
        <f>IF((Q270-E270)*(D270-E270)&gt;0, 1,0)</f>
        <v>0</v>
      </c>
      <c r="S270">
        <v>8.2815882009999999</v>
      </c>
      <c r="T270" s="1">
        <v>43292</v>
      </c>
      <c r="U270">
        <f>D270+1.65*S270</f>
        <v>308.96462091311895</v>
      </c>
      <c r="V270">
        <f>D270-1.65*S270</f>
        <v>281.635379849819</v>
      </c>
      <c r="W270">
        <f t="shared" si="17"/>
        <v>316.03903561319572</v>
      </c>
      <c r="X270">
        <f t="shared" si="18"/>
        <v>0</v>
      </c>
      <c r="Y270">
        <f>IF(AND(C270&lt;U270, C270&gt;V270),1,0)</f>
        <v>1</v>
      </c>
      <c r="Z270">
        <f t="shared" si="19"/>
        <v>0</v>
      </c>
      <c r="AA270">
        <f>IF(AND(Y270=1,F270&gt;0), 1, 0)</f>
        <v>1</v>
      </c>
    </row>
    <row r="271" spans="1:27" x14ac:dyDescent="0.3">
      <c r="A271" s="1">
        <v>43202</v>
      </c>
      <c r="B271" s="1">
        <v>43293</v>
      </c>
      <c r="C271">
        <v>306.42786026000903</v>
      </c>
      <c r="D271">
        <v>296</v>
      </c>
      <c r="E271">
        <v>311.75</v>
      </c>
      <c r="F271">
        <v>15.75</v>
      </c>
      <c r="G271">
        <v>-5.3221397399902299</v>
      </c>
      <c r="H271">
        <v>-15.75</v>
      </c>
      <c r="I271">
        <v>312.127335041761</v>
      </c>
      <c r="J271">
        <v>313.26440763473499</v>
      </c>
      <c r="K271">
        <v>315.86658334731999</v>
      </c>
      <c r="L271">
        <v>316.274729251861</v>
      </c>
      <c r="M271">
        <v>319.00432586669899</v>
      </c>
      <c r="N271">
        <v>318.79246177673298</v>
      </c>
      <c r="O271">
        <v>309.34099507331803</v>
      </c>
      <c r="P271">
        <v>316.74226856231599</v>
      </c>
      <c r="Q271">
        <f t="shared" si="16"/>
        <v>314.66009211114431</v>
      </c>
      <c r="R271">
        <f>IF((Q271-E271)*(D271-E271)&gt;0, 1,0)</f>
        <v>0</v>
      </c>
      <c r="S271">
        <v>8.4787483909999999</v>
      </c>
      <c r="T271" s="1">
        <v>43293</v>
      </c>
      <c r="U271">
        <f>D271+1.65*S271</f>
        <v>309.98993484515</v>
      </c>
      <c r="V271">
        <f>D271-1.65*S271</f>
        <v>282.01006515485</v>
      </c>
      <c r="W271">
        <f t="shared" si="17"/>
        <v>314.66009211114431</v>
      </c>
      <c r="X271">
        <f t="shared" si="18"/>
        <v>0</v>
      </c>
      <c r="Y271">
        <f>IF(AND(C271&lt;U271, C271&gt;V271),1,0)</f>
        <v>1</v>
      </c>
      <c r="Z271">
        <f t="shared" si="19"/>
        <v>0</v>
      </c>
      <c r="AA271">
        <f>IF(AND(Y271=1,F271&gt;0), 1, 0)</f>
        <v>1</v>
      </c>
    </row>
    <row r="272" spans="1:27" x14ac:dyDescent="0.3">
      <c r="A272" s="1">
        <v>43203</v>
      </c>
      <c r="B272" s="1">
        <v>43294</v>
      </c>
      <c r="C272">
        <v>312.04182786941499</v>
      </c>
      <c r="D272">
        <v>299.09999961852998</v>
      </c>
      <c r="E272">
        <v>314.45</v>
      </c>
      <c r="F272">
        <v>15.3500003814697</v>
      </c>
      <c r="G272">
        <v>-2.4081721305847101</v>
      </c>
      <c r="H272">
        <v>-15.3500003814697</v>
      </c>
      <c r="I272">
        <v>314.32888263911002</v>
      </c>
      <c r="J272">
        <v>315.95888812541898</v>
      </c>
      <c r="K272">
        <v>316.70567030906602</v>
      </c>
      <c r="L272">
        <v>315.21726853847503</v>
      </c>
      <c r="M272">
        <v>319.09494371414098</v>
      </c>
      <c r="N272">
        <v>319.47343845367402</v>
      </c>
      <c r="O272">
        <v>309.90210409164399</v>
      </c>
      <c r="P272">
        <v>316.49998087882898</v>
      </c>
      <c r="Q272">
        <f t="shared" si="16"/>
        <v>315.38681975666913</v>
      </c>
      <c r="R272">
        <f>IF((Q272-E272)*(D272-E272)&gt;0, 1,0)</f>
        <v>0</v>
      </c>
      <c r="S272">
        <v>8.5792699339999992</v>
      </c>
      <c r="T272" s="1">
        <v>43294</v>
      </c>
      <c r="U272">
        <f>D272+1.65*S272</f>
        <v>313.25579500962999</v>
      </c>
      <c r="V272">
        <f>D272-1.65*S272</f>
        <v>284.94420422742996</v>
      </c>
      <c r="W272">
        <f t="shared" si="17"/>
        <v>315.38681975666913</v>
      </c>
      <c r="X272">
        <f>IF(AND(W272&lt;U272, W272&gt;V272),1,0)</f>
        <v>0</v>
      </c>
      <c r="Y272">
        <f>IF(AND(C272&lt;U272, C272&gt;V272),1,0)</f>
        <v>1</v>
      </c>
      <c r="Z272">
        <f t="shared" si="19"/>
        <v>0</v>
      </c>
      <c r="AA272">
        <f>IF(AND(Y272=1,F272&gt;0), 1, 0)</f>
        <v>1</v>
      </c>
    </row>
    <row r="273" spans="1:27" x14ac:dyDescent="0.3">
      <c r="A273" s="1">
        <v>43206</v>
      </c>
      <c r="B273" s="1">
        <v>43297</v>
      </c>
      <c r="C273">
        <v>314.56689296960798</v>
      </c>
      <c r="D273">
        <v>298.19999961853</v>
      </c>
      <c r="E273">
        <v>314.3</v>
      </c>
      <c r="F273">
        <v>-16.100000381469702</v>
      </c>
      <c r="G273">
        <v>0.266892969608306</v>
      </c>
      <c r="H273">
        <v>-16.100000381469702</v>
      </c>
      <c r="I273">
        <v>314.422619949281</v>
      </c>
      <c r="J273">
        <v>316.69697504043501</v>
      </c>
      <c r="K273">
        <v>315.60755007266999</v>
      </c>
      <c r="L273">
        <v>318.05862026214601</v>
      </c>
      <c r="M273">
        <v>322.58432941436701</v>
      </c>
      <c r="N273">
        <v>320.53170547485303</v>
      </c>
      <c r="O273">
        <v>307.13556842803899</v>
      </c>
      <c r="P273">
        <v>319.56483058929399</v>
      </c>
      <c r="Q273">
        <f t="shared" si="16"/>
        <v>316.29578482231881</v>
      </c>
      <c r="R273">
        <f>IF((Q273-E273)*(D273-E273)&gt;0, 1,0)</f>
        <v>0</v>
      </c>
      <c r="S273">
        <v>8.6916496730000006</v>
      </c>
      <c r="T273" s="1">
        <v>43297</v>
      </c>
      <c r="U273">
        <f>D273+1.65*S273</f>
        <v>312.54122157898001</v>
      </c>
      <c r="V273">
        <f>D273-1.65*S273</f>
        <v>283.85877765807999</v>
      </c>
      <c r="W273">
        <f t="shared" si="17"/>
        <v>316.29578482231881</v>
      </c>
      <c r="X273">
        <f t="shared" si="18"/>
        <v>0</v>
      </c>
      <c r="Y273">
        <f>IF(AND(C273&lt;U273, C273&gt;V273),1,0)</f>
        <v>0</v>
      </c>
      <c r="Z273">
        <f t="shared" si="19"/>
        <v>0</v>
      </c>
      <c r="AA273">
        <f>IF(AND(Y273=1,F273&gt;0), 1, 0)</f>
        <v>0</v>
      </c>
    </row>
    <row r="274" spans="1:27" x14ac:dyDescent="0.3">
      <c r="A274" s="1">
        <v>43207</v>
      </c>
      <c r="B274" s="1">
        <v>43298</v>
      </c>
      <c r="C274">
        <v>324.16461505889799</v>
      </c>
      <c r="D274">
        <v>297.35000076293898</v>
      </c>
      <c r="E274">
        <v>314.39999999999998</v>
      </c>
      <c r="F274">
        <v>-17.049999237060501</v>
      </c>
      <c r="G274">
        <v>9.7646150588989205</v>
      </c>
      <c r="H274">
        <v>-17.049999237060501</v>
      </c>
      <c r="I274">
        <v>314.40644417852099</v>
      </c>
      <c r="J274">
        <v>315.39913567304598</v>
      </c>
      <c r="K274">
        <v>318.82081165313701</v>
      </c>
      <c r="L274">
        <v>322.55222740173298</v>
      </c>
      <c r="M274">
        <v>324.11802425384502</v>
      </c>
      <c r="N274">
        <v>313.98769245147702</v>
      </c>
      <c r="O274">
        <v>310.35388698577799</v>
      </c>
      <c r="P274">
        <v>320.066386604309</v>
      </c>
      <c r="Q274">
        <f t="shared" si="16"/>
        <v>317.95955953576703</v>
      </c>
      <c r="R274">
        <f>IF((Q274-E274)*(D274-E274)&gt;0, 1,0)</f>
        <v>0</v>
      </c>
      <c r="S274">
        <v>8.8127259250000005</v>
      </c>
      <c r="T274" s="1">
        <v>43298</v>
      </c>
      <c r="U274">
        <f>D274+1.65*S274</f>
        <v>311.89099853918896</v>
      </c>
      <c r="V274">
        <f>D274-1.65*S274</f>
        <v>282.80900298668899</v>
      </c>
      <c r="W274">
        <f t="shared" si="17"/>
        <v>317.95955953576703</v>
      </c>
      <c r="X274">
        <f t="shared" si="18"/>
        <v>0</v>
      </c>
      <c r="Y274">
        <f>IF(AND(C274&lt;U274, C274&gt;V274),1,0)</f>
        <v>0</v>
      </c>
      <c r="Z274">
        <f t="shared" si="19"/>
        <v>0</v>
      </c>
      <c r="AA274">
        <f>IF(AND(Y274=1,F274&gt;0), 1, 0)</f>
        <v>0</v>
      </c>
    </row>
    <row r="275" spans="1:27" x14ac:dyDescent="0.3">
      <c r="A275" s="1">
        <v>43208</v>
      </c>
      <c r="B275" s="1">
        <v>43299</v>
      </c>
      <c r="C275">
        <v>324.43183193206698</v>
      </c>
      <c r="D275">
        <v>297.05000076293902</v>
      </c>
      <c r="E275">
        <v>317.60000000000002</v>
      </c>
      <c r="F275">
        <v>-20.549999237060501</v>
      </c>
      <c r="G275">
        <v>6.8318319320678702</v>
      </c>
      <c r="H275">
        <v>-20.549999237060501</v>
      </c>
      <c r="I275">
        <v>316.50041697025301</v>
      </c>
      <c r="J275">
        <v>313.84098515510499</v>
      </c>
      <c r="K275">
        <v>311.62433013916001</v>
      </c>
      <c r="L275">
        <v>320.38225469589202</v>
      </c>
      <c r="M275">
        <v>318.96637866497002</v>
      </c>
      <c r="N275">
        <v>312.94942970275798</v>
      </c>
      <c r="O275">
        <v>311.08170423507602</v>
      </c>
      <c r="P275">
        <v>316.70912668704898</v>
      </c>
      <c r="Q275">
        <f t="shared" si="16"/>
        <v>315.58645664964354</v>
      </c>
      <c r="R275">
        <f>IF((Q275-E275)*(D275-E275)&gt;0, 1,0)</f>
        <v>1</v>
      </c>
      <c r="S275">
        <v>8.8939108519999994</v>
      </c>
      <c r="T275" s="1">
        <v>43299</v>
      </c>
      <c r="U275">
        <f>D275+1.65*S275</f>
        <v>311.72495366873903</v>
      </c>
      <c r="V275">
        <f>D275-1.65*S275</f>
        <v>282.37504785713901</v>
      </c>
      <c r="W275">
        <f t="shared" si="17"/>
        <v>315.58645664964354</v>
      </c>
      <c r="X275">
        <f t="shared" si="18"/>
        <v>0</v>
      </c>
      <c r="Y275">
        <f>IF(AND(C275&lt;U275, C275&gt;V275),1,0)</f>
        <v>0</v>
      </c>
      <c r="Z275">
        <f t="shared" si="19"/>
        <v>0</v>
      </c>
      <c r="AA275">
        <f>IF(AND(Y275=1,F275&gt;0), 1, 0)</f>
        <v>0</v>
      </c>
    </row>
    <row r="276" spans="1:27" x14ac:dyDescent="0.3">
      <c r="A276" s="1">
        <v>43209</v>
      </c>
      <c r="B276" s="1">
        <v>43300</v>
      </c>
      <c r="C276">
        <v>320.592096805572</v>
      </c>
      <c r="D276">
        <v>296.04999923705998</v>
      </c>
      <c r="E276">
        <v>319</v>
      </c>
      <c r="F276">
        <v>-22.9500007629394</v>
      </c>
      <c r="G276">
        <v>1.5920968055725</v>
      </c>
      <c r="H276">
        <v>-22.9500007629394</v>
      </c>
      <c r="I276">
        <v>316.98014783859202</v>
      </c>
      <c r="J276">
        <v>314.64006805419899</v>
      </c>
      <c r="K276">
        <v>316.47381091117802</v>
      </c>
      <c r="L276">
        <v>322.92827320098797</v>
      </c>
      <c r="M276">
        <v>316.54419898986799</v>
      </c>
      <c r="N276">
        <v>309.64087009429898</v>
      </c>
      <c r="O276">
        <v>309.03012371063198</v>
      </c>
      <c r="P276">
        <v>322.88113641738801</v>
      </c>
      <c r="Q276">
        <f t="shared" si="16"/>
        <v>317.06825130326354</v>
      </c>
      <c r="R276">
        <f>IF((Q276-E276)*(D276-E276)&gt;0, 1,0)</f>
        <v>1</v>
      </c>
      <c r="S276">
        <v>8.9623449720000004</v>
      </c>
      <c r="T276" s="1">
        <v>43300</v>
      </c>
      <c r="U276">
        <f>D276+1.65*S276</f>
        <v>310.83786844086001</v>
      </c>
      <c r="V276">
        <f>D276-1.65*S276</f>
        <v>281.26213003325995</v>
      </c>
      <c r="W276">
        <f>Q276</f>
        <v>317.06825130326354</v>
      </c>
      <c r="X276">
        <f>IF(AND(W276&lt;U276, W276&gt;V276),1,0)</f>
        <v>0</v>
      </c>
      <c r="Y276">
        <f>IF(AND(C276&lt;U276, C276&gt;V276),1,0)</f>
        <v>0</v>
      </c>
      <c r="Z276">
        <f>IF(AND(X276=1,R276=1), 1, 0)</f>
        <v>0</v>
      </c>
      <c r="AA276">
        <f>IF(AND(Y276=1,F276&gt;0), 1, 0)</f>
        <v>0</v>
      </c>
    </row>
    <row r="277" spans="1:27" x14ac:dyDescent="0.3">
      <c r="A277" t="s">
        <v>8</v>
      </c>
      <c r="B277" t="s">
        <v>9</v>
      </c>
      <c r="I277">
        <v>0.52</v>
      </c>
      <c r="J277">
        <v>0.57454545454545458</v>
      </c>
      <c r="K277">
        <v>0.57090909090909092</v>
      </c>
      <c r="L277">
        <v>0.61818181818181817</v>
      </c>
      <c r="M277">
        <v>0.60363636363636364</v>
      </c>
      <c r="N277">
        <v>0.77454545454545454</v>
      </c>
      <c r="O277">
        <v>0.70181818181818179</v>
      </c>
      <c r="P277">
        <v>0.59636363636363632</v>
      </c>
      <c r="R277">
        <f>SUM(R2:R276)/275</f>
        <v>0.61818181818181817</v>
      </c>
      <c r="X277">
        <f>SUM(X2:X276)/275</f>
        <v>0.54909090909090907</v>
      </c>
      <c r="Y277">
        <f>SUM(Y2:Y276)/275</f>
        <v>0.58181818181818179</v>
      </c>
      <c r="Z277">
        <f>SUM(Z2:Z276)/275</f>
        <v>0.35636363636363638</v>
      </c>
      <c r="AA277">
        <f>SUM(AA2:AA276)/275</f>
        <v>0.49454545454545457</v>
      </c>
    </row>
    <row r="278" spans="1:27" x14ac:dyDescent="0.3">
      <c r="A278">
        <v>0.68727272727272704</v>
      </c>
      <c r="B278">
        <v>12.307178499999999</v>
      </c>
    </row>
  </sheetData>
  <phoneticPr fontId="18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7"/>
  <sheetViews>
    <sheetView topLeftCell="A260" workbookViewId="0">
      <selection activeCell="L277" sqref="L277:S277"/>
    </sheetView>
  </sheetViews>
  <sheetFormatPr defaultRowHeight="16.5" x14ac:dyDescent="0.3"/>
  <sheetData>
    <row r="1" spans="1:19" x14ac:dyDescent="0.3">
      <c r="A1" t="s">
        <v>3</v>
      </c>
      <c r="B1" t="s">
        <v>4</v>
      </c>
      <c r="C1" t="s">
        <v>18</v>
      </c>
      <c r="E1" t="s">
        <v>19</v>
      </c>
      <c r="I1">
        <v>65</v>
      </c>
      <c r="J1">
        <v>25</v>
      </c>
    </row>
    <row r="2" spans="1:19" x14ac:dyDescent="0.3">
      <c r="A2">
        <v>311.55000076293902</v>
      </c>
      <c r="B2">
        <v>281.60000000000002</v>
      </c>
      <c r="C2">
        <v>283.39794394969903</v>
      </c>
      <c r="D2">
        <v>279.364858007431</v>
      </c>
      <c r="E2">
        <v>280.97082290649399</v>
      </c>
      <c r="F2">
        <v>283.26007435321799</v>
      </c>
      <c r="G2">
        <v>287.79033336639401</v>
      </c>
      <c r="H2">
        <v>307.24863755702899</v>
      </c>
      <c r="I2">
        <v>301.47783241271901</v>
      </c>
      <c r="J2">
        <v>277.67658863067601</v>
      </c>
      <c r="L2">
        <f>IF(($A2-$B2)*(C2-$B2)&gt;0,1,0)</f>
        <v>1</v>
      </c>
      <c r="M2">
        <f>IF(($A2-$B2)*(D2-$B2)&gt;0,1,0)</f>
        <v>0</v>
      </c>
      <c r="N2">
        <f t="shared" ref="N2:S2" si="0">IF(($A2-$B2)*(E2-$B2)&gt;0,1,0)</f>
        <v>0</v>
      </c>
      <c r="O2">
        <f t="shared" si="0"/>
        <v>1</v>
      </c>
      <c r="P2">
        <f t="shared" si="0"/>
        <v>1</v>
      </c>
      <c r="Q2">
        <f t="shared" si="0"/>
        <v>1</v>
      </c>
      <c r="R2">
        <f t="shared" si="0"/>
        <v>1</v>
      </c>
      <c r="S2">
        <f>IF(($A2-$B2)*(J2-$B2)&gt;0,1,0)</f>
        <v>0</v>
      </c>
    </row>
    <row r="3" spans="1:19" x14ac:dyDescent="0.3">
      <c r="A3">
        <v>311.94999923706001</v>
      </c>
      <c r="B3">
        <v>281.89999999999998</v>
      </c>
      <c r="C3">
        <v>283.69989087581598</v>
      </c>
      <c r="D3">
        <v>279.82145776748598</v>
      </c>
      <c r="E3">
        <v>280.56709363460499</v>
      </c>
      <c r="F3">
        <v>285.21988191604601</v>
      </c>
      <c r="G3">
        <v>288.69913520812901</v>
      </c>
      <c r="H3">
        <v>306.09153530597598</v>
      </c>
      <c r="I3">
        <v>304.97232475280703</v>
      </c>
      <c r="J3">
        <v>276.516253376007</v>
      </c>
      <c r="L3">
        <f t="shared" ref="L3:L66" si="1">IF(($A3-$B3)*(C3-$B3)&gt;0,1,0)</f>
        <v>1</v>
      </c>
      <c r="M3">
        <f t="shared" ref="M3:M66" si="2">IF(($A3-$B3)*(D3-$B3)&gt;0,1,0)</f>
        <v>0</v>
      </c>
      <c r="N3">
        <f t="shared" ref="N3:N66" si="3">IF(($A3-$B3)*(E3-$B3)&gt;0,1,0)</f>
        <v>0</v>
      </c>
      <c r="O3">
        <f t="shared" ref="O3:O66" si="4">IF(($A3-$B3)*(F3-$B3)&gt;0,1,0)</f>
        <v>1</v>
      </c>
      <c r="P3">
        <f t="shared" ref="P3:P66" si="5">IF(($A3-$B3)*(G3-$B3)&gt;0,1,0)</f>
        <v>1</v>
      </c>
      <c r="Q3">
        <f t="shared" ref="Q3:Q66" si="6">IF(($A3-$B3)*(H3-$B3)&gt;0,1,0)</f>
        <v>1</v>
      </c>
      <c r="R3">
        <f t="shared" ref="R3:R66" si="7">IF(($A3-$B3)*(I3-$B3)&gt;0,1,0)</f>
        <v>1</v>
      </c>
      <c r="S3">
        <f t="shared" ref="S3:S66" si="8">IF(($A3-$B3)*(J3-$B3)&gt;0,1,0)</f>
        <v>0</v>
      </c>
    </row>
    <row r="4" spans="1:19" x14ac:dyDescent="0.3">
      <c r="A4">
        <v>309.64999923706</v>
      </c>
      <c r="B4">
        <v>281.35000000000002</v>
      </c>
      <c r="C4">
        <v>284.047163581848</v>
      </c>
      <c r="D4">
        <v>281.47983046472001</v>
      </c>
      <c r="E4">
        <v>280.00827858448002</v>
      </c>
      <c r="F4">
        <v>283.92300567626899</v>
      </c>
      <c r="G4">
        <v>286.67491302490203</v>
      </c>
      <c r="H4">
        <v>305.79554150104502</v>
      </c>
      <c r="I4">
        <v>302.514100646972</v>
      </c>
      <c r="J4">
        <v>276.55653724670401</v>
      </c>
      <c r="L4">
        <f t="shared" si="1"/>
        <v>1</v>
      </c>
      <c r="M4">
        <f t="shared" si="2"/>
        <v>1</v>
      </c>
      <c r="N4">
        <f t="shared" si="3"/>
        <v>0</v>
      </c>
      <c r="O4">
        <f t="shared" si="4"/>
        <v>1</v>
      </c>
      <c r="P4">
        <f t="shared" si="5"/>
        <v>1</v>
      </c>
      <c r="Q4">
        <f t="shared" si="6"/>
        <v>1</v>
      </c>
      <c r="R4">
        <f t="shared" si="7"/>
        <v>1</v>
      </c>
      <c r="S4">
        <f t="shared" si="8"/>
        <v>0</v>
      </c>
    </row>
    <row r="5" spans="1:19" x14ac:dyDescent="0.3">
      <c r="A5">
        <v>311.10000000000002</v>
      </c>
      <c r="B5">
        <v>280.85000000000002</v>
      </c>
      <c r="C5">
        <v>284.95868310928302</v>
      </c>
      <c r="D5">
        <v>284.46777281761098</v>
      </c>
      <c r="E5">
        <v>281.96646521091401</v>
      </c>
      <c r="F5">
        <v>283.29603157043402</v>
      </c>
      <c r="G5">
        <v>288.89216289520198</v>
      </c>
      <c r="H5">
        <v>304.16791381835901</v>
      </c>
      <c r="I5">
        <v>297.31640968322699</v>
      </c>
      <c r="J5">
        <v>281.11352459192199</v>
      </c>
      <c r="L5">
        <f t="shared" si="1"/>
        <v>1</v>
      </c>
      <c r="M5">
        <f t="shared" si="2"/>
        <v>1</v>
      </c>
      <c r="N5">
        <f t="shared" si="3"/>
        <v>1</v>
      </c>
      <c r="O5">
        <f t="shared" si="4"/>
        <v>1</v>
      </c>
      <c r="P5">
        <f t="shared" si="5"/>
        <v>1</v>
      </c>
      <c r="Q5">
        <f t="shared" si="6"/>
        <v>1</v>
      </c>
      <c r="R5">
        <f t="shared" si="7"/>
        <v>1</v>
      </c>
      <c r="S5">
        <f t="shared" si="8"/>
        <v>1</v>
      </c>
    </row>
    <row r="6" spans="1:19" x14ac:dyDescent="0.3">
      <c r="A6">
        <v>311.10000076293898</v>
      </c>
      <c r="B6">
        <v>279.89999999999998</v>
      </c>
      <c r="C6">
        <v>282.72169079780502</v>
      </c>
      <c r="D6">
        <v>281.59206106662702</v>
      </c>
      <c r="E6">
        <v>282.50105395317001</v>
      </c>
      <c r="F6">
        <v>283.25207653045601</v>
      </c>
      <c r="G6">
        <v>286.82900657653801</v>
      </c>
      <c r="H6">
        <v>306.874937096238</v>
      </c>
      <c r="I6">
        <v>300.29448547363199</v>
      </c>
      <c r="J6">
        <v>282.259488487243</v>
      </c>
      <c r="L6">
        <f t="shared" si="1"/>
        <v>1</v>
      </c>
      <c r="M6">
        <f t="shared" si="2"/>
        <v>1</v>
      </c>
      <c r="N6">
        <f t="shared" si="3"/>
        <v>1</v>
      </c>
      <c r="O6">
        <f t="shared" si="4"/>
        <v>1</v>
      </c>
      <c r="P6">
        <f t="shared" si="5"/>
        <v>1</v>
      </c>
      <c r="Q6">
        <f t="shared" si="6"/>
        <v>1</v>
      </c>
      <c r="R6">
        <f t="shared" si="7"/>
        <v>1</v>
      </c>
      <c r="S6">
        <f t="shared" si="8"/>
        <v>1</v>
      </c>
    </row>
    <row r="7" spans="1:19" x14ac:dyDescent="0.3">
      <c r="A7">
        <v>310.25</v>
      </c>
      <c r="B7">
        <v>279.25</v>
      </c>
      <c r="C7">
        <v>281.964940547943</v>
      </c>
      <c r="D7">
        <v>281.82143306732098</v>
      </c>
      <c r="E7">
        <v>281.52450489997801</v>
      </c>
      <c r="F7">
        <v>282.20604228973298</v>
      </c>
      <c r="G7">
        <v>287.95515727996798</v>
      </c>
      <c r="H7">
        <v>310.49191658496801</v>
      </c>
      <c r="I7">
        <v>296.67518424987702</v>
      </c>
      <c r="J7">
        <v>280.87330722808798</v>
      </c>
      <c r="L7">
        <f t="shared" si="1"/>
        <v>1</v>
      </c>
      <c r="M7">
        <f t="shared" si="2"/>
        <v>1</v>
      </c>
      <c r="N7">
        <f t="shared" si="3"/>
        <v>1</v>
      </c>
      <c r="O7">
        <f t="shared" si="4"/>
        <v>1</v>
      </c>
      <c r="P7">
        <f t="shared" si="5"/>
        <v>1</v>
      </c>
      <c r="Q7">
        <f t="shared" si="6"/>
        <v>1</v>
      </c>
      <c r="R7">
        <f t="shared" si="7"/>
        <v>1</v>
      </c>
      <c r="S7">
        <f t="shared" si="8"/>
        <v>1</v>
      </c>
    </row>
    <row r="8" spans="1:19" x14ac:dyDescent="0.3">
      <c r="A8">
        <v>310.80000152587797</v>
      </c>
      <c r="B8">
        <v>277.64999999999998</v>
      </c>
      <c r="C8">
        <v>282.31518878936703</v>
      </c>
      <c r="D8">
        <v>283.49623098373399</v>
      </c>
      <c r="E8">
        <v>283.71440734863199</v>
      </c>
      <c r="F8">
        <v>280.43908491134601</v>
      </c>
      <c r="G8">
        <v>284.01640119552599</v>
      </c>
      <c r="H8">
        <v>313.23256616592403</v>
      </c>
      <c r="I8">
        <v>299.54415740966698</v>
      </c>
      <c r="J8">
        <v>277.64732804298399</v>
      </c>
      <c r="L8">
        <f t="shared" si="1"/>
        <v>1</v>
      </c>
      <c r="M8">
        <f t="shared" si="2"/>
        <v>1</v>
      </c>
      <c r="N8">
        <f t="shared" si="3"/>
        <v>1</v>
      </c>
      <c r="O8">
        <f t="shared" si="4"/>
        <v>1</v>
      </c>
      <c r="P8">
        <f t="shared" si="5"/>
        <v>1</v>
      </c>
      <c r="Q8">
        <f t="shared" si="6"/>
        <v>1</v>
      </c>
      <c r="R8">
        <f t="shared" si="7"/>
        <v>1</v>
      </c>
      <c r="S8">
        <f t="shared" si="8"/>
        <v>0</v>
      </c>
    </row>
    <row r="9" spans="1:19" x14ac:dyDescent="0.3">
      <c r="A9">
        <v>312.69999923706001</v>
      </c>
      <c r="B9">
        <v>275.89999999999998</v>
      </c>
      <c r="C9">
        <v>280.33605518341</v>
      </c>
      <c r="D9">
        <v>281.68802728652901</v>
      </c>
      <c r="E9">
        <v>280.968245410919</v>
      </c>
      <c r="F9">
        <v>278.69754638671799</v>
      </c>
      <c r="G9">
        <v>284.21057643890299</v>
      </c>
      <c r="H9">
        <v>311.06923608779903</v>
      </c>
      <c r="I9">
        <v>294.10429611206001</v>
      </c>
      <c r="J9">
        <v>279.70756998062097</v>
      </c>
      <c r="L9">
        <f t="shared" si="1"/>
        <v>1</v>
      </c>
      <c r="M9">
        <f t="shared" si="2"/>
        <v>1</v>
      </c>
      <c r="N9">
        <f t="shared" si="3"/>
        <v>1</v>
      </c>
      <c r="O9">
        <f t="shared" si="4"/>
        <v>1</v>
      </c>
      <c r="P9">
        <f t="shared" si="5"/>
        <v>1</v>
      </c>
      <c r="Q9">
        <f t="shared" si="6"/>
        <v>1</v>
      </c>
      <c r="R9">
        <f t="shared" si="7"/>
        <v>1</v>
      </c>
      <c r="S9">
        <f t="shared" si="8"/>
        <v>1</v>
      </c>
    </row>
    <row r="10" spans="1:19" x14ac:dyDescent="0.3">
      <c r="A10">
        <v>312.60000152587799</v>
      </c>
      <c r="B10">
        <v>276.95</v>
      </c>
      <c r="C10">
        <v>281.36293478011999</v>
      </c>
      <c r="D10">
        <v>281.45282907485898</v>
      </c>
      <c r="E10">
        <v>279.83419270515401</v>
      </c>
      <c r="F10">
        <v>283.24675054550102</v>
      </c>
      <c r="G10">
        <v>281.110411357879</v>
      </c>
      <c r="H10">
        <v>310.51148118972702</v>
      </c>
      <c r="I10">
        <v>296.39163703918399</v>
      </c>
      <c r="J10">
        <v>278.63886375427199</v>
      </c>
      <c r="L10">
        <f>IF(($A10-$B10)*(C10-$B10)&gt;0,1,0)</f>
        <v>1</v>
      </c>
      <c r="M10">
        <f t="shared" si="2"/>
        <v>1</v>
      </c>
      <c r="N10">
        <f t="shared" si="3"/>
        <v>1</v>
      </c>
      <c r="O10">
        <f t="shared" si="4"/>
        <v>1</v>
      </c>
      <c r="P10">
        <f t="shared" si="5"/>
        <v>1</v>
      </c>
      <c r="Q10">
        <f t="shared" si="6"/>
        <v>1</v>
      </c>
      <c r="R10">
        <f t="shared" si="7"/>
        <v>1</v>
      </c>
      <c r="S10">
        <f t="shared" si="8"/>
        <v>1</v>
      </c>
    </row>
    <row r="11" spans="1:19" x14ac:dyDescent="0.3">
      <c r="A11">
        <v>316.55000152587797</v>
      </c>
      <c r="B11">
        <v>279.14999999999998</v>
      </c>
      <c r="C11">
        <v>281.43631782531702</v>
      </c>
      <c r="D11">
        <v>280.53584983348799</v>
      </c>
      <c r="E11">
        <v>279.49481203556002</v>
      </c>
      <c r="F11">
        <v>276.22485389709402</v>
      </c>
      <c r="G11">
        <v>279.33907672166799</v>
      </c>
      <c r="H11">
        <v>308.10940971374498</v>
      </c>
      <c r="I11">
        <v>288.09503974914497</v>
      </c>
      <c r="J11">
        <v>277.44046380519802</v>
      </c>
      <c r="L11">
        <f>IF(($A11-$B11)*(C11-$B11)&gt;0,1,0)</f>
        <v>1</v>
      </c>
      <c r="M11">
        <f t="shared" si="2"/>
        <v>1</v>
      </c>
      <c r="N11">
        <f t="shared" si="3"/>
        <v>1</v>
      </c>
      <c r="O11">
        <f t="shared" si="4"/>
        <v>0</v>
      </c>
      <c r="P11">
        <f t="shared" si="5"/>
        <v>1</v>
      </c>
      <c r="Q11">
        <f t="shared" si="6"/>
        <v>1</v>
      </c>
      <c r="R11">
        <f t="shared" si="7"/>
        <v>1</v>
      </c>
      <c r="S11">
        <f t="shared" si="8"/>
        <v>0</v>
      </c>
    </row>
    <row r="12" spans="1:19" x14ac:dyDescent="0.3">
      <c r="A12">
        <v>316.7</v>
      </c>
      <c r="B12">
        <v>277.7</v>
      </c>
      <c r="C12">
        <v>283.141352367401</v>
      </c>
      <c r="D12">
        <v>279.00607330799102</v>
      </c>
      <c r="E12">
        <v>275.90441544055898</v>
      </c>
      <c r="F12">
        <v>278.13057894706702</v>
      </c>
      <c r="G12">
        <v>278.33320350646898</v>
      </c>
      <c r="H12">
        <v>311.19275236129698</v>
      </c>
      <c r="I12">
        <v>293.84887237548799</v>
      </c>
      <c r="J12">
        <v>275.89811403751298</v>
      </c>
      <c r="L12">
        <f t="shared" si="1"/>
        <v>1</v>
      </c>
      <c r="M12">
        <f t="shared" si="2"/>
        <v>1</v>
      </c>
      <c r="N12">
        <f t="shared" si="3"/>
        <v>0</v>
      </c>
      <c r="O12">
        <f t="shared" si="4"/>
        <v>1</v>
      </c>
      <c r="P12">
        <f t="shared" si="5"/>
        <v>1</v>
      </c>
      <c r="Q12">
        <f t="shared" si="6"/>
        <v>1</v>
      </c>
      <c r="R12">
        <f t="shared" si="7"/>
        <v>1</v>
      </c>
      <c r="S12">
        <f t="shared" si="8"/>
        <v>0</v>
      </c>
    </row>
    <row r="13" spans="1:19" x14ac:dyDescent="0.3">
      <c r="A13">
        <v>317.49999847412101</v>
      </c>
      <c r="B13">
        <v>278.64999999999998</v>
      </c>
      <c r="C13">
        <v>280.84294309616001</v>
      </c>
      <c r="D13">
        <v>280.66296544074999</v>
      </c>
      <c r="E13">
        <v>276.35438075065599</v>
      </c>
      <c r="F13">
        <v>276.44594278335501</v>
      </c>
      <c r="G13">
        <v>273.960695648193</v>
      </c>
      <c r="H13">
        <v>314.12204389572099</v>
      </c>
      <c r="I13">
        <v>291.01955356597898</v>
      </c>
      <c r="J13">
        <v>275.74810113906801</v>
      </c>
      <c r="L13">
        <f t="shared" si="1"/>
        <v>1</v>
      </c>
      <c r="M13">
        <f t="shared" si="2"/>
        <v>1</v>
      </c>
      <c r="N13">
        <f t="shared" si="3"/>
        <v>0</v>
      </c>
      <c r="O13">
        <f t="shared" si="4"/>
        <v>0</v>
      </c>
      <c r="P13">
        <f t="shared" si="5"/>
        <v>0</v>
      </c>
      <c r="Q13">
        <f t="shared" si="6"/>
        <v>1</v>
      </c>
      <c r="R13">
        <f t="shared" si="7"/>
        <v>1</v>
      </c>
      <c r="S13">
        <f t="shared" si="8"/>
        <v>0</v>
      </c>
    </row>
    <row r="14" spans="1:19" x14ac:dyDescent="0.3">
      <c r="A14">
        <v>318.05000076293902</v>
      </c>
      <c r="B14">
        <v>278.35000000000002</v>
      </c>
      <c r="C14">
        <v>277.962101852893</v>
      </c>
      <c r="D14">
        <v>276.80762908458701</v>
      </c>
      <c r="E14">
        <v>277.14769241809802</v>
      </c>
      <c r="F14">
        <v>283.67211875915501</v>
      </c>
      <c r="G14">
        <v>276.70800564288999</v>
      </c>
      <c r="H14">
        <v>311.39234457015903</v>
      </c>
      <c r="I14">
        <v>292.07693347930899</v>
      </c>
      <c r="J14">
        <v>276.55270276069598</v>
      </c>
      <c r="L14">
        <f t="shared" si="1"/>
        <v>0</v>
      </c>
      <c r="M14">
        <f t="shared" si="2"/>
        <v>0</v>
      </c>
      <c r="N14">
        <f>IF(($A14-$B14)*(E14-$B14)&gt;0,1,0)</f>
        <v>0</v>
      </c>
      <c r="O14">
        <f t="shared" si="4"/>
        <v>1</v>
      </c>
      <c r="P14">
        <f t="shared" si="5"/>
        <v>0</v>
      </c>
      <c r="Q14">
        <f t="shared" si="6"/>
        <v>1</v>
      </c>
      <c r="R14">
        <f t="shared" si="7"/>
        <v>1</v>
      </c>
      <c r="S14">
        <f t="shared" si="8"/>
        <v>0</v>
      </c>
    </row>
    <row r="15" spans="1:19" x14ac:dyDescent="0.3">
      <c r="A15">
        <v>318.699998474121</v>
      </c>
      <c r="B15">
        <v>276.85000000000002</v>
      </c>
      <c r="C15">
        <v>276.11680719852399</v>
      </c>
      <c r="D15">
        <v>276.05286309719003</v>
      </c>
      <c r="E15">
        <v>276.45344189405398</v>
      </c>
      <c r="F15">
        <v>278.07632396221101</v>
      </c>
      <c r="G15">
        <v>279.541893815994</v>
      </c>
      <c r="H15">
        <v>311.11091022491399</v>
      </c>
      <c r="I15">
        <v>292.73249301910403</v>
      </c>
      <c r="J15">
        <v>276.680083608627</v>
      </c>
      <c r="L15">
        <f t="shared" si="1"/>
        <v>0</v>
      </c>
      <c r="M15">
        <f t="shared" si="2"/>
        <v>0</v>
      </c>
      <c r="N15">
        <f t="shared" si="3"/>
        <v>0</v>
      </c>
      <c r="O15">
        <f t="shared" si="4"/>
        <v>1</v>
      </c>
      <c r="P15">
        <f t="shared" si="5"/>
        <v>1</v>
      </c>
      <c r="Q15">
        <f t="shared" si="6"/>
        <v>1</v>
      </c>
      <c r="R15">
        <f t="shared" si="7"/>
        <v>1</v>
      </c>
      <c r="S15">
        <f t="shared" si="8"/>
        <v>0</v>
      </c>
    </row>
    <row r="16" spans="1:19" x14ac:dyDescent="0.3">
      <c r="A16">
        <v>319.59999847412098</v>
      </c>
      <c r="B16">
        <v>278.25</v>
      </c>
      <c r="C16">
        <v>278.16464703529999</v>
      </c>
      <c r="D16">
        <v>277.89572763442902</v>
      </c>
      <c r="E16">
        <v>279.02838879823599</v>
      </c>
      <c r="F16">
        <v>285.56834888458201</v>
      </c>
      <c r="G16">
        <v>279.24243044853199</v>
      </c>
      <c r="H16">
        <v>316.97292881011901</v>
      </c>
      <c r="I16">
        <v>291.880934715271</v>
      </c>
      <c r="J16">
        <v>276.88127279281599</v>
      </c>
      <c r="L16">
        <f t="shared" si="1"/>
        <v>0</v>
      </c>
      <c r="M16">
        <f t="shared" si="2"/>
        <v>0</v>
      </c>
      <c r="N16">
        <f t="shared" si="3"/>
        <v>1</v>
      </c>
      <c r="O16">
        <f t="shared" si="4"/>
        <v>1</v>
      </c>
      <c r="P16">
        <f t="shared" si="5"/>
        <v>1</v>
      </c>
      <c r="Q16">
        <f t="shared" si="6"/>
        <v>1</v>
      </c>
      <c r="R16">
        <f t="shared" si="7"/>
        <v>1</v>
      </c>
      <c r="S16">
        <f t="shared" si="8"/>
        <v>0</v>
      </c>
    </row>
    <row r="17" spans="1:19" x14ac:dyDescent="0.3">
      <c r="A17">
        <v>321.10000152587799</v>
      </c>
      <c r="B17">
        <v>280.7</v>
      </c>
      <c r="C17">
        <v>277.06261224746697</v>
      </c>
      <c r="D17">
        <v>278.54856057167001</v>
      </c>
      <c r="E17">
        <v>277.70022006034799</v>
      </c>
      <c r="F17">
        <v>279.99235041141498</v>
      </c>
      <c r="G17">
        <v>280.172108006477</v>
      </c>
      <c r="H17">
        <v>310.14366686344101</v>
      </c>
      <c r="I17">
        <v>291.37909908294603</v>
      </c>
      <c r="J17">
        <v>275.21542758941598</v>
      </c>
      <c r="L17">
        <f t="shared" si="1"/>
        <v>0</v>
      </c>
      <c r="M17">
        <f t="shared" si="2"/>
        <v>0</v>
      </c>
      <c r="N17">
        <f t="shared" si="3"/>
        <v>0</v>
      </c>
      <c r="O17">
        <f t="shared" si="4"/>
        <v>0</v>
      </c>
      <c r="P17">
        <f t="shared" si="5"/>
        <v>0</v>
      </c>
      <c r="Q17">
        <f t="shared" si="6"/>
        <v>1</v>
      </c>
      <c r="R17">
        <f t="shared" si="7"/>
        <v>1</v>
      </c>
      <c r="S17">
        <f t="shared" si="8"/>
        <v>0</v>
      </c>
    </row>
    <row r="18" spans="1:19" x14ac:dyDescent="0.3">
      <c r="A18">
        <v>321.25000152587802</v>
      </c>
      <c r="B18">
        <v>281.85000000000002</v>
      </c>
      <c r="C18">
        <v>279.24253449439999</v>
      </c>
      <c r="D18">
        <v>279.77758202552798</v>
      </c>
      <c r="E18">
        <v>281.69285624325198</v>
      </c>
      <c r="F18">
        <v>281.29067734479901</v>
      </c>
      <c r="G18">
        <v>285.10610852241501</v>
      </c>
      <c r="H18">
        <v>311.71457927226999</v>
      </c>
      <c r="I18">
        <v>297.09425792693997</v>
      </c>
      <c r="J18">
        <v>279.31972894668502</v>
      </c>
      <c r="L18">
        <f t="shared" si="1"/>
        <v>0</v>
      </c>
      <c r="M18">
        <f t="shared" si="2"/>
        <v>0</v>
      </c>
      <c r="N18">
        <f t="shared" si="3"/>
        <v>0</v>
      </c>
      <c r="O18">
        <f t="shared" si="4"/>
        <v>0</v>
      </c>
      <c r="P18">
        <f t="shared" si="5"/>
        <v>1</v>
      </c>
      <c r="Q18">
        <f t="shared" si="6"/>
        <v>1</v>
      </c>
      <c r="R18">
        <f t="shared" si="7"/>
        <v>1</v>
      </c>
      <c r="S18">
        <f t="shared" si="8"/>
        <v>0</v>
      </c>
    </row>
    <row r="19" spans="1:19" x14ac:dyDescent="0.3">
      <c r="A19">
        <v>319.65000076293899</v>
      </c>
      <c r="B19">
        <v>285.2</v>
      </c>
      <c r="C19">
        <v>283.327197623252</v>
      </c>
      <c r="D19">
        <v>282.44182391166601</v>
      </c>
      <c r="E19">
        <v>282.83584494590701</v>
      </c>
      <c r="F19">
        <v>285.33145434856402</v>
      </c>
      <c r="G19">
        <v>287.955205392837</v>
      </c>
      <c r="H19">
        <v>305.42470369338901</v>
      </c>
      <c r="I19">
        <v>293.81391639709398</v>
      </c>
      <c r="J19">
        <v>280.87917251586902</v>
      </c>
      <c r="L19">
        <f t="shared" si="1"/>
        <v>0</v>
      </c>
      <c r="M19">
        <f t="shared" si="2"/>
        <v>0</v>
      </c>
      <c r="N19">
        <f t="shared" si="3"/>
        <v>0</v>
      </c>
      <c r="O19">
        <f t="shared" si="4"/>
        <v>1</v>
      </c>
      <c r="P19">
        <f t="shared" si="5"/>
        <v>1</v>
      </c>
      <c r="Q19">
        <f t="shared" si="6"/>
        <v>1</v>
      </c>
      <c r="R19">
        <f t="shared" si="7"/>
        <v>1</v>
      </c>
      <c r="S19">
        <f t="shared" si="8"/>
        <v>0</v>
      </c>
    </row>
    <row r="20" spans="1:19" x14ac:dyDescent="0.3">
      <c r="A20">
        <v>318.95</v>
      </c>
      <c r="B20">
        <v>286.45</v>
      </c>
      <c r="C20">
        <v>284.190082740783</v>
      </c>
      <c r="D20">
        <v>284.24782652854901</v>
      </c>
      <c r="E20">
        <v>283.81077737808198</v>
      </c>
      <c r="F20">
        <v>286.16783244609798</v>
      </c>
      <c r="G20">
        <v>288.59937520027103</v>
      </c>
      <c r="H20">
        <v>310.694095551967</v>
      </c>
      <c r="I20">
        <v>294.63283176422101</v>
      </c>
      <c r="J20">
        <v>283.62036628723098</v>
      </c>
      <c r="L20">
        <f t="shared" si="1"/>
        <v>0</v>
      </c>
      <c r="M20">
        <f t="shared" si="2"/>
        <v>0</v>
      </c>
      <c r="N20">
        <f t="shared" si="3"/>
        <v>0</v>
      </c>
      <c r="O20">
        <f t="shared" si="4"/>
        <v>0</v>
      </c>
      <c r="P20">
        <f t="shared" si="5"/>
        <v>1</v>
      </c>
      <c r="Q20">
        <f t="shared" si="6"/>
        <v>1</v>
      </c>
      <c r="R20">
        <f t="shared" si="7"/>
        <v>1</v>
      </c>
      <c r="S20">
        <f t="shared" si="8"/>
        <v>0</v>
      </c>
    </row>
    <row r="21" spans="1:19" x14ac:dyDescent="0.3">
      <c r="A21">
        <v>319.85000000000002</v>
      </c>
      <c r="B21">
        <v>287.35000000000002</v>
      </c>
      <c r="C21">
        <v>284.50953350067101</v>
      </c>
      <c r="D21">
        <v>287.45306754708201</v>
      </c>
      <c r="E21">
        <v>288.14704815149298</v>
      </c>
      <c r="F21">
        <v>291.58621082305899</v>
      </c>
      <c r="G21">
        <v>289.62341294288598</v>
      </c>
      <c r="H21">
        <v>304.58799085616999</v>
      </c>
      <c r="I21">
        <v>299.17385253906201</v>
      </c>
      <c r="J21">
        <v>288.158359503746</v>
      </c>
      <c r="L21">
        <f t="shared" si="1"/>
        <v>0</v>
      </c>
      <c r="M21">
        <f t="shared" si="2"/>
        <v>1</v>
      </c>
      <c r="N21">
        <f t="shared" si="3"/>
        <v>1</v>
      </c>
      <c r="O21">
        <f t="shared" si="4"/>
        <v>1</v>
      </c>
      <c r="P21">
        <f t="shared" si="5"/>
        <v>1</v>
      </c>
      <c r="Q21">
        <f t="shared" si="6"/>
        <v>1</v>
      </c>
      <c r="R21">
        <f t="shared" si="7"/>
        <v>1</v>
      </c>
      <c r="S21">
        <f t="shared" si="8"/>
        <v>1</v>
      </c>
    </row>
    <row r="22" spans="1:19" x14ac:dyDescent="0.3">
      <c r="A22">
        <v>312.55</v>
      </c>
      <c r="B22">
        <v>287.8</v>
      </c>
      <c r="C22">
        <v>287.00971989631603</v>
      </c>
      <c r="D22">
        <v>287.83119518049</v>
      </c>
      <c r="E22">
        <v>289.154695916175</v>
      </c>
      <c r="F22">
        <v>290.97833805084201</v>
      </c>
      <c r="G22">
        <v>290.14757113456699</v>
      </c>
      <c r="H22">
        <v>317.297236728668</v>
      </c>
      <c r="I22">
        <v>297.78463726043702</v>
      </c>
      <c r="J22">
        <v>282.83892517089799</v>
      </c>
      <c r="L22">
        <f t="shared" si="1"/>
        <v>0</v>
      </c>
      <c r="M22">
        <f t="shared" si="2"/>
        <v>1</v>
      </c>
      <c r="N22">
        <f t="shared" si="3"/>
        <v>1</v>
      </c>
      <c r="O22">
        <f t="shared" si="4"/>
        <v>1</v>
      </c>
      <c r="P22">
        <f t="shared" si="5"/>
        <v>1</v>
      </c>
      <c r="Q22">
        <f t="shared" si="6"/>
        <v>1</v>
      </c>
      <c r="R22">
        <f t="shared" si="7"/>
        <v>1</v>
      </c>
      <c r="S22">
        <f t="shared" si="8"/>
        <v>0</v>
      </c>
    </row>
    <row r="23" spans="1:19" x14ac:dyDescent="0.3">
      <c r="A23">
        <v>313.55</v>
      </c>
      <c r="B23">
        <v>287.8</v>
      </c>
      <c r="C23">
        <v>283.16152029037403</v>
      </c>
      <c r="D23">
        <v>286.56150667667299</v>
      </c>
      <c r="E23">
        <v>288.51923226117998</v>
      </c>
      <c r="F23">
        <v>286.64613001346498</v>
      </c>
      <c r="G23">
        <v>288.60191737413402</v>
      </c>
      <c r="H23">
        <v>315.80903930663999</v>
      </c>
      <c r="I23">
        <v>297.23322944641097</v>
      </c>
      <c r="J23">
        <v>289.17448287010097</v>
      </c>
      <c r="L23">
        <f t="shared" si="1"/>
        <v>0</v>
      </c>
      <c r="M23">
        <f t="shared" si="2"/>
        <v>0</v>
      </c>
      <c r="N23">
        <f t="shared" si="3"/>
        <v>1</v>
      </c>
      <c r="O23">
        <f t="shared" si="4"/>
        <v>0</v>
      </c>
      <c r="P23">
        <f t="shared" si="5"/>
        <v>1</v>
      </c>
      <c r="Q23">
        <f t="shared" si="6"/>
        <v>1</v>
      </c>
      <c r="R23">
        <f t="shared" si="7"/>
        <v>1</v>
      </c>
      <c r="S23">
        <f t="shared" si="8"/>
        <v>1</v>
      </c>
    </row>
    <row r="24" spans="1:19" x14ac:dyDescent="0.3">
      <c r="A24">
        <v>316.55</v>
      </c>
      <c r="B24">
        <v>290.05</v>
      </c>
      <c r="C24">
        <v>284.76083784103298</v>
      </c>
      <c r="D24">
        <v>285.92936449050899</v>
      </c>
      <c r="E24">
        <v>289.849770638346</v>
      </c>
      <c r="F24">
        <v>287.31465225219699</v>
      </c>
      <c r="G24">
        <v>291.00830440521202</v>
      </c>
      <c r="H24">
        <v>314.02418985366802</v>
      </c>
      <c r="I24">
        <v>294.89103870391801</v>
      </c>
      <c r="J24">
        <v>289.526216554641</v>
      </c>
      <c r="L24">
        <f t="shared" si="1"/>
        <v>0</v>
      </c>
      <c r="M24">
        <f t="shared" si="2"/>
        <v>0</v>
      </c>
      <c r="N24">
        <f t="shared" si="3"/>
        <v>0</v>
      </c>
      <c r="O24">
        <f t="shared" si="4"/>
        <v>0</v>
      </c>
      <c r="P24">
        <f t="shared" si="5"/>
        <v>1</v>
      </c>
      <c r="Q24">
        <f t="shared" si="6"/>
        <v>1</v>
      </c>
      <c r="R24">
        <f t="shared" si="7"/>
        <v>1</v>
      </c>
      <c r="S24">
        <f t="shared" si="8"/>
        <v>0</v>
      </c>
    </row>
    <row r="25" spans="1:19" x14ac:dyDescent="0.3">
      <c r="A25">
        <v>317.150000381469</v>
      </c>
      <c r="B25">
        <v>290.05</v>
      </c>
      <c r="C25">
        <v>284.60306053161599</v>
      </c>
      <c r="D25">
        <v>285.17861347198402</v>
      </c>
      <c r="E25">
        <v>290.220725986361</v>
      </c>
      <c r="F25">
        <v>287.18267135620101</v>
      </c>
      <c r="G25">
        <v>290.82019965648601</v>
      </c>
      <c r="H25">
        <v>313.62606916427598</v>
      </c>
      <c r="I25">
        <v>291.99781053066198</v>
      </c>
      <c r="J25">
        <v>289.33558301925598</v>
      </c>
      <c r="L25">
        <f t="shared" si="1"/>
        <v>0</v>
      </c>
      <c r="M25">
        <f t="shared" si="2"/>
        <v>0</v>
      </c>
      <c r="N25">
        <f t="shared" si="3"/>
        <v>1</v>
      </c>
      <c r="O25">
        <f t="shared" si="4"/>
        <v>0</v>
      </c>
      <c r="P25">
        <f t="shared" si="5"/>
        <v>1</v>
      </c>
      <c r="Q25">
        <f t="shared" si="6"/>
        <v>1</v>
      </c>
      <c r="R25">
        <f t="shared" si="7"/>
        <v>1</v>
      </c>
      <c r="S25">
        <f t="shared" si="8"/>
        <v>0</v>
      </c>
    </row>
    <row r="26" spans="1:19" x14ac:dyDescent="0.3">
      <c r="A26">
        <v>311.64999961852999</v>
      </c>
      <c r="B26">
        <v>292.75</v>
      </c>
      <c r="C26">
        <v>285.533131122589</v>
      </c>
      <c r="D26">
        <v>289.42006468772797</v>
      </c>
      <c r="E26">
        <v>291.90014255046799</v>
      </c>
      <c r="F26">
        <v>290.38383579254099</v>
      </c>
      <c r="G26">
        <v>293.24926584959002</v>
      </c>
      <c r="H26">
        <v>310.107761836051</v>
      </c>
      <c r="I26">
        <v>290.96367359161297</v>
      </c>
      <c r="J26">
        <v>290.61532068252501</v>
      </c>
      <c r="L26">
        <f t="shared" si="1"/>
        <v>0</v>
      </c>
      <c r="M26">
        <f t="shared" si="2"/>
        <v>0</v>
      </c>
      <c r="N26">
        <f t="shared" si="3"/>
        <v>0</v>
      </c>
      <c r="O26">
        <f t="shared" si="4"/>
        <v>0</v>
      </c>
      <c r="P26">
        <f t="shared" si="5"/>
        <v>1</v>
      </c>
      <c r="Q26">
        <f t="shared" si="6"/>
        <v>1</v>
      </c>
      <c r="R26">
        <f t="shared" si="7"/>
        <v>0</v>
      </c>
      <c r="S26">
        <f t="shared" si="8"/>
        <v>0</v>
      </c>
    </row>
    <row r="27" spans="1:19" x14ac:dyDescent="0.3">
      <c r="A27">
        <v>312.85000038146899</v>
      </c>
      <c r="B27">
        <v>292.75</v>
      </c>
      <c r="C27">
        <v>286.52174425125099</v>
      </c>
      <c r="D27">
        <v>289.69216609001103</v>
      </c>
      <c r="E27">
        <v>291.469941496849</v>
      </c>
      <c r="F27">
        <v>289.95232820510802</v>
      </c>
      <c r="G27">
        <v>291.74974036216702</v>
      </c>
      <c r="H27">
        <v>311.82108318805598</v>
      </c>
      <c r="I27">
        <v>287.30831623077302</v>
      </c>
      <c r="J27">
        <v>291.61787760257698</v>
      </c>
      <c r="L27">
        <f t="shared" si="1"/>
        <v>0</v>
      </c>
      <c r="M27">
        <f t="shared" si="2"/>
        <v>0</v>
      </c>
      <c r="N27">
        <f t="shared" si="3"/>
        <v>0</v>
      </c>
      <c r="O27">
        <f t="shared" si="4"/>
        <v>0</v>
      </c>
      <c r="P27">
        <f t="shared" si="5"/>
        <v>0</v>
      </c>
      <c r="Q27">
        <f t="shared" si="6"/>
        <v>1</v>
      </c>
      <c r="R27">
        <f t="shared" si="7"/>
        <v>0</v>
      </c>
      <c r="S27">
        <f t="shared" si="8"/>
        <v>0</v>
      </c>
    </row>
    <row r="28" spans="1:19" x14ac:dyDescent="0.3">
      <c r="A28">
        <v>312.89999980926501</v>
      </c>
      <c r="B28">
        <v>300.7</v>
      </c>
      <c r="C28">
        <v>296.03909893035802</v>
      </c>
      <c r="D28">
        <v>296.98812575340202</v>
      </c>
      <c r="E28">
        <v>298.93781359195702</v>
      </c>
      <c r="F28">
        <v>296.32845277786203</v>
      </c>
      <c r="G28">
        <v>298.85415275096801</v>
      </c>
      <c r="H28">
        <v>310.87534347474502</v>
      </c>
      <c r="I28">
        <v>300.60797210484702</v>
      </c>
      <c r="J28">
        <v>295.605043601989</v>
      </c>
      <c r="L28">
        <f t="shared" si="1"/>
        <v>0</v>
      </c>
      <c r="M28">
        <f t="shared" si="2"/>
        <v>0</v>
      </c>
      <c r="N28">
        <f t="shared" si="3"/>
        <v>0</v>
      </c>
      <c r="O28">
        <f t="shared" si="4"/>
        <v>0</v>
      </c>
      <c r="P28">
        <f t="shared" si="5"/>
        <v>0</v>
      </c>
      <c r="Q28">
        <f t="shared" si="6"/>
        <v>1</v>
      </c>
      <c r="R28">
        <f t="shared" si="7"/>
        <v>0</v>
      </c>
      <c r="S28">
        <f t="shared" si="8"/>
        <v>0</v>
      </c>
    </row>
    <row r="29" spans="1:19" x14ac:dyDescent="0.3">
      <c r="A29">
        <v>312.84999961852998</v>
      </c>
      <c r="B29">
        <v>300.7</v>
      </c>
      <c r="C29">
        <v>296.86913676261901</v>
      </c>
      <c r="D29">
        <v>296.834785413742</v>
      </c>
      <c r="E29">
        <v>298.23801655769302</v>
      </c>
      <c r="F29">
        <v>295.41877622604301</v>
      </c>
      <c r="G29">
        <v>298.25503368377599</v>
      </c>
      <c r="H29">
        <v>310.65762348175002</v>
      </c>
      <c r="I29">
        <v>295.96466703414899</v>
      </c>
      <c r="J29">
        <v>295.90783472061099</v>
      </c>
      <c r="L29">
        <f t="shared" si="1"/>
        <v>0</v>
      </c>
      <c r="M29">
        <f t="shared" si="2"/>
        <v>0</v>
      </c>
      <c r="N29">
        <f t="shared" si="3"/>
        <v>0</v>
      </c>
      <c r="O29">
        <f t="shared" si="4"/>
        <v>0</v>
      </c>
      <c r="P29">
        <f t="shared" si="5"/>
        <v>0</v>
      </c>
      <c r="Q29">
        <f t="shared" si="6"/>
        <v>1</v>
      </c>
      <c r="R29">
        <f t="shared" si="7"/>
        <v>0</v>
      </c>
      <c r="S29">
        <f t="shared" si="8"/>
        <v>0</v>
      </c>
    </row>
    <row r="30" spans="1:19" x14ac:dyDescent="0.3">
      <c r="A30">
        <v>308.64999980926501</v>
      </c>
      <c r="B30">
        <v>296.45</v>
      </c>
      <c r="C30">
        <v>292.49221534729003</v>
      </c>
      <c r="D30">
        <v>294.659650635719</v>
      </c>
      <c r="E30">
        <v>296.222688090801</v>
      </c>
      <c r="F30">
        <v>294.21772212982103</v>
      </c>
      <c r="G30">
        <v>295.907879304885</v>
      </c>
      <c r="H30">
        <v>316.289033269882</v>
      </c>
      <c r="I30">
        <v>297.85201497077901</v>
      </c>
      <c r="J30">
        <v>295.61198217868798</v>
      </c>
      <c r="L30">
        <f t="shared" si="1"/>
        <v>0</v>
      </c>
      <c r="M30">
        <f t="shared" si="2"/>
        <v>0</v>
      </c>
      <c r="N30">
        <f t="shared" si="3"/>
        <v>0</v>
      </c>
      <c r="O30">
        <f t="shared" si="4"/>
        <v>0</v>
      </c>
      <c r="P30">
        <f t="shared" si="5"/>
        <v>0</v>
      </c>
      <c r="Q30">
        <f t="shared" si="6"/>
        <v>1</v>
      </c>
      <c r="R30">
        <f t="shared" si="7"/>
        <v>1</v>
      </c>
      <c r="S30">
        <f t="shared" si="8"/>
        <v>0</v>
      </c>
    </row>
    <row r="31" spans="1:19" x14ac:dyDescent="0.3">
      <c r="A31">
        <v>307.250000095367</v>
      </c>
      <c r="B31">
        <v>300.10000000000002</v>
      </c>
      <c r="C31">
        <v>296.886932706832</v>
      </c>
      <c r="D31">
        <v>297.776683425903</v>
      </c>
      <c r="E31">
        <v>302.078398442268</v>
      </c>
      <c r="F31">
        <v>296.32317552566502</v>
      </c>
      <c r="G31">
        <v>298.82349858283999</v>
      </c>
      <c r="H31">
        <v>311.97345857620201</v>
      </c>
      <c r="I31">
        <v>297.85817322730998</v>
      </c>
      <c r="J31">
        <v>295.58785638809201</v>
      </c>
      <c r="L31">
        <f t="shared" si="1"/>
        <v>0</v>
      </c>
      <c r="M31">
        <f t="shared" si="2"/>
        <v>0</v>
      </c>
      <c r="N31">
        <f t="shared" si="3"/>
        <v>1</v>
      </c>
      <c r="O31">
        <f t="shared" si="4"/>
        <v>0</v>
      </c>
      <c r="P31">
        <f t="shared" si="5"/>
        <v>0</v>
      </c>
      <c r="Q31">
        <f t="shared" si="6"/>
        <v>1</v>
      </c>
      <c r="R31">
        <f t="shared" si="7"/>
        <v>0</v>
      </c>
      <c r="S31">
        <f t="shared" si="8"/>
        <v>0</v>
      </c>
    </row>
    <row r="32" spans="1:19" x14ac:dyDescent="0.3">
      <c r="A32">
        <v>301.49999990463198</v>
      </c>
      <c r="B32">
        <v>298.64999999999998</v>
      </c>
      <c r="C32">
        <v>297.47205164432501</v>
      </c>
      <c r="D32">
        <v>298.134603464603</v>
      </c>
      <c r="E32">
        <v>300.01175227165197</v>
      </c>
      <c r="F32">
        <v>299.15545150041498</v>
      </c>
      <c r="G32">
        <v>297.95722385644899</v>
      </c>
      <c r="H32">
        <v>318.34749467372802</v>
      </c>
      <c r="I32">
        <v>299.87092819213802</v>
      </c>
      <c r="J32">
        <v>299.159826660156</v>
      </c>
      <c r="L32">
        <f t="shared" si="1"/>
        <v>0</v>
      </c>
      <c r="M32">
        <f t="shared" si="2"/>
        <v>0</v>
      </c>
      <c r="N32">
        <f t="shared" si="3"/>
        <v>1</v>
      </c>
      <c r="O32">
        <f t="shared" si="4"/>
        <v>1</v>
      </c>
      <c r="P32">
        <f t="shared" si="5"/>
        <v>0</v>
      </c>
      <c r="Q32">
        <f t="shared" si="6"/>
        <v>1</v>
      </c>
      <c r="R32">
        <f t="shared" si="7"/>
        <v>1</v>
      </c>
      <c r="S32">
        <f t="shared" si="8"/>
        <v>1</v>
      </c>
    </row>
    <row r="33" spans="1:19" x14ac:dyDescent="0.3">
      <c r="A33">
        <v>304.599999809265</v>
      </c>
      <c r="B33">
        <v>299.64999999999998</v>
      </c>
      <c r="C33">
        <v>298.995803797245</v>
      </c>
      <c r="D33">
        <v>299.58077315390102</v>
      </c>
      <c r="E33">
        <v>297.62782325744598</v>
      </c>
      <c r="F33">
        <v>298.02537324428499</v>
      </c>
      <c r="G33">
        <v>296.74155297279299</v>
      </c>
      <c r="H33">
        <v>316.36015653610201</v>
      </c>
      <c r="I33">
        <v>299.17434986829699</v>
      </c>
      <c r="J33">
        <v>300.722314977645</v>
      </c>
      <c r="L33">
        <f t="shared" si="1"/>
        <v>0</v>
      </c>
      <c r="M33">
        <f t="shared" si="2"/>
        <v>0</v>
      </c>
      <c r="N33">
        <f t="shared" si="3"/>
        <v>0</v>
      </c>
      <c r="O33">
        <f t="shared" si="4"/>
        <v>0</v>
      </c>
      <c r="P33">
        <f t="shared" si="5"/>
        <v>0</v>
      </c>
      <c r="Q33">
        <f t="shared" si="6"/>
        <v>1</v>
      </c>
      <c r="R33">
        <f t="shared" si="7"/>
        <v>0</v>
      </c>
      <c r="S33">
        <f t="shared" si="8"/>
        <v>1</v>
      </c>
    </row>
    <row r="34" spans="1:19" x14ac:dyDescent="0.3">
      <c r="A34">
        <v>304.599999904632</v>
      </c>
      <c r="B34">
        <v>299.25</v>
      </c>
      <c r="C34">
        <v>297.75957691669402</v>
      </c>
      <c r="D34">
        <v>297.689408659935</v>
      </c>
      <c r="E34">
        <v>293.21552038192698</v>
      </c>
      <c r="F34">
        <v>296.39297342300398</v>
      </c>
      <c r="G34">
        <v>297.46581947803497</v>
      </c>
      <c r="H34">
        <v>316.84999053478202</v>
      </c>
      <c r="I34">
        <v>298.23966825008301</v>
      </c>
      <c r="J34">
        <v>299.76717901229802</v>
      </c>
      <c r="L34">
        <f t="shared" si="1"/>
        <v>0</v>
      </c>
      <c r="M34">
        <f t="shared" si="2"/>
        <v>0</v>
      </c>
      <c r="N34">
        <f t="shared" si="3"/>
        <v>0</v>
      </c>
      <c r="O34">
        <f t="shared" si="4"/>
        <v>0</v>
      </c>
      <c r="P34">
        <f t="shared" si="5"/>
        <v>0</v>
      </c>
      <c r="Q34">
        <f t="shared" si="6"/>
        <v>1</v>
      </c>
      <c r="R34">
        <f t="shared" si="7"/>
        <v>0</v>
      </c>
      <c r="S34">
        <f t="shared" si="8"/>
        <v>1</v>
      </c>
    </row>
    <row r="35" spans="1:19" x14ac:dyDescent="0.3">
      <c r="A35">
        <v>306.25</v>
      </c>
      <c r="B35">
        <v>299.5</v>
      </c>
      <c r="C35">
        <v>299.515415146946</v>
      </c>
      <c r="D35">
        <v>300.458428919315</v>
      </c>
      <c r="E35">
        <v>294.83324050903298</v>
      </c>
      <c r="F35">
        <v>294.36460018157902</v>
      </c>
      <c r="G35">
        <v>295.29197072982703</v>
      </c>
      <c r="H35">
        <v>318.30805207490903</v>
      </c>
      <c r="I35">
        <v>291.41971111297602</v>
      </c>
      <c r="J35">
        <v>297.46172022819502</v>
      </c>
      <c r="L35">
        <f t="shared" si="1"/>
        <v>1</v>
      </c>
      <c r="M35">
        <f t="shared" si="2"/>
        <v>1</v>
      </c>
      <c r="N35">
        <f t="shared" si="3"/>
        <v>0</v>
      </c>
      <c r="O35">
        <f t="shared" si="4"/>
        <v>0</v>
      </c>
      <c r="P35">
        <f t="shared" si="5"/>
        <v>0</v>
      </c>
      <c r="Q35">
        <f t="shared" si="6"/>
        <v>1</v>
      </c>
      <c r="R35">
        <f t="shared" si="7"/>
        <v>0</v>
      </c>
      <c r="S35">
        <f t="shared" si="8"/>
        <v>0</v>
      </c>
    </row>
    <row r="36" spans="1:19" x14ac:dyDescent="0.3">
      <c r="A36">
        <v>307.89999999999998</v>
      </c>
      <c r="B36">
        <v>298.64999999999998</v>
      </c>
      <c r="C36">
        <v>298.448918038606</v>
      </c>
      <c r="D36">
        <v>298.252293014526</v>
      </c>
      <c r="E36">
        <v>296.764939332008</v>
      </c>
      <c r="F36">
        <v>297.94546296596502</v>
      </c>
      <c r="G36">
        <v>293.19080152511498</v>
      </c>
      <c r="H36">
        <v>319.55506303012299</v>
      </c>
      <c r="I36">
        <v>295.32008996009802</v>
      </c>
      <c r="J36">
        <v>292.40271844863798</v>
      </c>
      <c r="L36">
        <f t="shared" si="1"/>
        <v>0</v>
      </c>
      <c r="M36">
        <f t="shared" si="2"/>
        <v>0</v>
      </c>
      <c r="N36">
        <f t="shared" si="3"/>
        <v>0</v>
      </c>
      <c r="O36">
        <f t="shared" si="4"/>
        <v>0</v>
      </c>
      <c r="P36">
        <f t="shared" si="5"/>
        <v>0</v>
      </c>
      <c r="Q36">
        <f t="shared" si="6"/>
        <v>1</v>
      </c>
      <c r="R36">
        <f t="shared" si="7"/>
        <v>0</v>
      </c>
      <c r="S36">
        <f t="shared" si="8"/>
        <v>0</v>
      </c>
    </row>
    <row r="37" spans="1:19" x14ac:dyDescent="0.3">
      <c r="A37">
        <v>307.75</v>
      </c>
      <c r="B37">
        <v>298.25</v>
      </c>
      <c r="C37">
        <v>296.53820717334702</v>
      </c>
      <c r="D37">
        <v>295.398210287094</v>
      </c>
      <c r="E37">
        <v>296.36243474483399</v>
      </c>
      <c r="F37">
        <v>297.33630120754202</v>
      </c>
      <c r="G37">
        <v>293.79680633544899</v>
      </c>
      <c r="H37">
        <v>320.173566854</v>
      </c>
      <c r="I37">
        <v>296.03837156295702</v>
      </c>
      <c r="J37">
        <v>291.49428462982098</v>
      </c>
      <c r="L37">
        <f t="shared" si="1"/>
        <v>0</v>
      </c>
      <c r="M37">
        <f t="shared" si="2"/>
        <v>0</v>
      </c>
      <c r="N37">
        <f t="shared" si="3"/>
        <v>0</v>
      </c>
      <c r="O37">
        <f t="shared" si="4"/>
        <v>0</v>
      </c>
      <c r="P37">
        <f t="shared" si="5"/>
        <v>0</v>
      </c>
      <c r="Q37">
        <f t="shared" si="6"/>
        <v>1</v>
      </c>
      <c r="R37">
        <f t="shared" si="7"/>
        <v>0</v>
      </c>
      <c r="S37">
        <f t="shared" si="8"/>
        <v>0</v>
      </c>
    </row>
    <row r="38" spans="1:19" x14ac:dyDescent="0.3">
      <c r="A38">
        <v>307.04999980926499</v>
      </c>
      <c r="B38">
        <v>300.60000000000002</v>
      </c>
      <c r="C38">
        <v>297.56651792526202</v>
      </c>
      <c r="D38">
        <v>295.71927795410102</v>
      </c>
      <c r="E38">
        <v>293.82322750091498</v>
      </c>
      <c r="F38">
        <v>291.02944622039797</v>
      </c>
      <c r="G38">
        <v>293.70428094863797</v>
      </c>
      <c r="H38">
        <v>322.26511180400797</v>
      </c>
      <c r="I38">
        <v>297.10279307365403</v>
      </c>
      <c r="J38">
        <v>288.02868041992099</v>
      </c>
      <c r="L38">
        <f t="shared" si="1"/>
        <v>0</v>
      </c>
      <c r="M38">
        <f t="shared" si="2"/>
        <v>0</v>
      </c>
      <c r="N38">
        <f t="shared" si="3"/>
        <v>0</v>
      </c>
      <c r="O38">
        <f t="shared" si="4"/>
        <v>0</v>
      </c>
      <c r="P38">
        <f t="shared" si="5"/>
        <v>0</v>
      </c>
      <c r="Q38">
        <f t="shared" si="6"/>
        <v>1</v>
      </c>
      <c r="R38">
        <f t="shared" si="7"/>
        <v>0</v>
      </c>
      <c r="S38">
        <f t="shared" si="8"/>
        <v>0</v>
      </c>
    </row>
    <row r="39" spans="1:19" x14ac:dyDescent="0.3">
      <c r="A39">
        <v>308.70000009536699</v>
      </c>
      <c r="B39">
        <v>301.05</v>
      </c>
      <c r="C39">
        <v>297.508234548568</v>
      </c>
      <c r="D39">
        <v>297.54797224998401</v>
      </c>
      <c r="E39">
        <v>296.45263271331697</v>
      </c>
      <c r="F39">
        <v>296.27766351699802</v>
      </c>
      <c r="G39">
        <v>294.53516273498502</v>
      </c>
      <c r="H39">
        <v>322.64915051460201</v>
      </c>
      <c r="I39">
        <v>300.520290482044</v>
      </c>
      <c r="J39">
        <v>295.88805561065601</v>
      </c>
      <c r="L39">
        <f t="shared" si="1"/>
        <v>0</v>
      </c>
      <c r="M39">
        <f t="shared" si="2"/>
        <v>0</v>
      </c>
      <c r="N39">
        <f t="shared" si="3"/>
        <v>0</v>
      </c>
      <c r="O39">
        <f t="shared" si="4"/>
        <v>0</v>
      </c>
      <c r="P39">
        <f t="shared" si="5"/>
        <v>0</v>
      </c>
      <c r="Q39">
        <f t="shared" si="6"/>
        <v>1</v>
      </c>
      <c r="R39">
        <f t="shared" si="7"/>
        <v>0</v>
      </c>
      <c r="S39">
        <f t="shared" si="8"/>
        <v>0</v>
      </c>
    </row>
    <row r="40" spans="1:19" x14ac:dyDescent="0.3">
      <c r="A40">
        <v>308.599999809265</v>
      </c>
      <c r="B40">
        <v>301.89999999999998</v>
      </c>
      <c r="C40">
        <v>297.87285938262897</v>
      </c>
      <c r="D40">
        <v>299.36022200584398</v>
      </c>
      <c r="E40">
        <v>302.18541827201801</v>
      </c>
      <c r="F40">
        <v>303.753114962577</v>
      </c>
      <c r="G40">
        <v>299.17262234687797</v>
      </c>
      <c r="H40">
        <v>321.79676361083898</v>
      </c>
      <c r="I40">
        <v>306.604541683197</v>
      </c>
      <c r="J40">
        <v>300.358859920501</v>
      </c>
      <c r="L40">
        <f t="shared" si="1"/>
        <v>0</v>
      </c>
      <c r="M40">
        <f t="shared" si="2"/>
        <v>0</v>
      </c>
      <c r="N40">
        <f t="shared" si="3"/>
        <v>1</v>
      </c>
      <c r="O40">
        <f t="shared" si="4"/>
        <v>1</v>
      </c>
      <c r="P40">
        <f t="shared" si="5"/>
        <v>0</v>
      </c>
      <c r="Q40">
        <f t="shared" si="6"/>
        <v>1</v>
      </c>
      <c r="R40">
        <f t="shared" si="7"/>
        <v>1</v>
      </c>
      <c r="S40">
        <f t="shared" si="8"/>
        <v>0</v>
      </c>
    </row>
    <row r="41" spans="1:19" x14ac:dyDescent="0.3">
      <c r="A41">
        <v>310.099999904632</v>
      </c>
      <c r="B41">
        <v>305.5</v>
      </c>
      <c r="C41">
        <v>302.543053150177</v>
      </c>
      <c r="D41">
        <v>300.94773674011202</v>
      </c>
      <c r="E41">
        <v>304.22714507579798</v>
      </c>
      <c r="F41">
        <v>305.53355787694397</v>
      </c>
      <c r="G41">
        <v>305.16208267211903</v>
      </c>
      <c r="H41">
        <v>326.705948448181</v>
      </c>
      <c r="I41">
        <v>314.18767070770201</v>
      </c>
      <c r="J41">
        <v>301.08344078063902</v>
      </c>
      <c r="L41">
        <f t="shared" si="1"/>
        <v>0</v>
      </c>
      <c r="M41">
        <f t="shared" si="2"/>
        <v>0</v>
      </c>
      <c r="N41">
        <f t="shared" si="3"/>
        <v>0</v>
      </c>
      <c r="O41">
        <f t="shared" si="4"/>
        <v>1</v>
      </c>
      <c r="P41">
        <f t="shared" si="5"/>
        <v>0</v>
      </c>
      <c r="Q41">
        <f t="shared" si="6"/>
        <v>1</v>
      </c>
      <c r="R41">
        <f t="shared" si="7"/>
        <v>1</v>
      </c>
      <c r="S41">
        <f t="shared" si="8"/>
        <v>0</v>
      </c>
    </row>
    <row r="42" spans="1:19" x14ac:dyDescent="0.3">
      <c r="A42">
        <v>310.250000095367</v>
      </c>
      <c r="B42">
        <v>307.35000000000002</v>
      </c>
      <c r="C42">
        <v>307.73119795918399</v>
      </c>
      <c r="D42">
        <v>306.68398616313902</v>
      </c>
      <c r="E42">
        <v>309.882927989959</v>
      </c>
      <c r="F42">
        <v>308.00971112251199</v>
      </c>
      <c r="G42">
        <v>307.795561051368</v>
      </c>
      <c r="H42">
        <v>318.913215923309</v>
      </c>
      <c r="I42">
        <v>315.13019094467103</v>
      </c>
      <c r="J42">
        <v>304.07589492797803</v>
      </c>
      <c r="L42">
        <f t="shared" si="1"/>
        <v>1</v>
      </c>
      <c r="M42">
        <f t="shared" si="2"/>
        <v>0</v>
      </c>
      <c r="N42">
        <f t="shared" si="3"/>
        <v>1</v>
      </c>
      <c r="O42">
        <f t="shared" si="4"/>
        <v>1</v>
      </c>
      <c r="P42">
        <f t="shared" si="5"/>
        <v>1</v>
      </c>
      <c r="Q42">
        <f t="shared" si="6"/>
        <v>1</v>
      </c>
      <c r="R42">
        <f t="shared" si="7"/>
        <v>1</v>
      </c>
      <c r="S42">
        <f t="shared" si="8"/>
        <v>0</v>
      </c>
    </row>
    <row r="43" spans="1:19" x14ac:dyDescent="0.3">
      <c r="A43">
        <v>308.19999997615798</v>
      </c>
      <c r="B43">
        <v>306.8</v>
      </c>
      <c r="C43">
        <v>306.38376935124398</v>
      </c>
      <c r="D43">
        <v>308.542604374885</v>
      </c>
      <c r="E43">
        <v>303.79876761436401</v>
      </c>
      <c r="F43">
        <v>305.06302742958002</v>
      </c>
      <c r="G43">
        <v>306.68343883305698</v>
      </c>
      <c r="H43">
        <v>313.9954190135</v>
      </c>
      <c r="I43">
        <v>315.79958896636901</v>
      </c>
      <c r="J43">
        <v>302.47588901519703</v>
      </c>
      <c r="L43">
        <f t="shared" si="1"/>
        <v>0</v>
      </c>
      <c r="M43">
        <f t="shared" si="2"/>
        <v>1</v>
      </c>
      <c r="N43">
        <f t="shared" si="3"/>
        <v>0</v>
      </c>
      <c r="O43">
        <f t="shared" si="4"/>
        <v>0</v>
      </c>
      <c r="P43">
        <f t="shared" si="5"/>
        <v>0</v>
      </c>
      <c r="Q43">
        <f t="shared" si="6"/>
        <v>1</v>
      </c>
      <c r="R43">
        <f t="shared" si="7"/>
        <v>1</v>
      </c>
      <c r="S43">
        <f t="shared" si="8"/>
        <v>0</v>
      </c>
    </row>
    <row r="44" spans="1:19" x14ac:dyDescent="0.3">
      <c r="A44">
        <v>307.14999995231602</v>
      </c>
      <c r="B44">
        <v>304.35000000000002</v>
      </c>
      <c r="C44">
        <v>304.38919179737502</v>
      </c>
      <c r="D44">
        <v>304.68616220950997</v>
      </c>
      <c r="E44">
        <v>307.28103671073899</v>
      </c>
      <c r="F44">
        <v>305.74077472686702</v>
      </c>
      <c r="G44">
        <v>307.43496332168502</v>
      </c>
      <c r="H44">
        <v>320.20188121795599</v>
      </c>
      <c r="I44">
        <v>314.68481025695797</v>
      </c>
      <c r="J44">
        <v>301.50831518173197</v>
      </c>
      <c r="L44">
        <f t="shared" si="1"/>
        <v>1</v>
      </c>
      <c r="M44">
        <f t="shared" si="2"/>
        <v>1</v>
      </c>
      <c r="N44">
        <f t="shared" si="3"/>
        <v>1</v>
      </c>
      <c r="O44">
        <f t="shared" si="4"/>
        <v>1</v>
      </c>
      <c r="P44">
        <f t="shared" si="5"/>
        <v>1</v>
      </c>
      <c r="Q44">
        <f t="shared" si="6"/>
        <v>1</v>
      </c>
      <c r="R44">
        <f t="shared" si="7"/>
        <v>1</v>
      </c>
      <c r="S44">
        <f t="shared" si="8"/>
        <v>0</v>
      </c>
    </row>
    <row r="45" spans="1:19" x14ac:dyDescent="0.3">
      <c r="A45">
        <v>309.00000004768299</v>
      </c>
      <c r="B45">
        <v>305.05</v>
      </c>
      <c r="C45">
        <v>305.549674052</v>
      </c>
      <c r="D45">
        <v>306.36795418262398</v>
      </c>
      <c r="E45">
        <v>305.87595449686</v>
      </c>
      <c r="F45">
        <v>307.36252431869502</v>
      </c>
      <c r="G45">
        <v>307.17801313400201</v>
      </c>
      <c r="H45">
        <v>316.92024494111502</v>
      </c>
      <c r="I45">
        <v>310.09000902175899</v>
      </c>
      <c r="J45">
        <v>306.43316965103099</v>
      </c>
      <c r="L45">
        <f t="shared" si="1"/>
        <v>1</v>
      </c>
      <c r="M45">
        <f t="shared" si="2"/>
        <v>1</v>
      </c>
      <c r="N45">
        <f t="shared" si="3"/>
        <v>1</v>
      </c>
      <c r="O45">
        <f t="shared" si="4"/>
        <v>1</v>
      </c>
      <c r="P45">
        <f t="shared" si="5"/>
        <v>1</v>
      </c>
      <c r="Q45">
        <f t="shared" si="6"/>
        <v>1</v>
      </c>
      <c r="R45">
        <f t="shared" si="7"/>
        <v>1</v>
      </c>
      <c r="S45">
        <f t="shared" si="8"/>
        <v>1</v>
      </c>
    </row>
    <row r="46" spans="1:19" x14ac:dyDescent="0.3">
      <c r="A46">
        <v>306.64999999999998</v>
      </c>
      <c r="B46">
        <v>304.14999999999998</v>
      </c>
      <c r="C46">
        <v>304.80532040596</v>
      </c>
      <c r="D46">
        <v>304.37200827300501</v>
      </c>
      <c r="E46">
        <v>303.30354830026602</v>
      </c>
      <c r="F46">
        <v>306.08673908710398</v>
      </c>
      <c r="G46">
        <v>307.71725621223402</v>
      </c>
      <c r="H46">
        <v>319.94168128967198</v>
      </c>
      <c r="I46">
        <v>310.774450206756</v>
      </c>
      <c r="J46">
        <v>304.65002795457798</v>
      </c>
      <c r="L46">
        <f t="shared" si="1"/>
        <v>1</v>
      </c>
      <c r="M46">
        <f t="shared" si="2"/>
        <v>1</v>
      </c>
      <c r="N46">
        <f t="shared" si="3"/>
        <v>0</v>
      </c>
      <c r="O46">
        <f t="shared" si="4"/>
        <v>1</v>
      </c>
      <c r="P46">
        <f t="shared" si="5"/>
        <v>1</v>
      </c>
      <c r="Q46">
        <f t="shared" si="6"/>
        <v>1</v>
      </c>
      <c r="R46">
        <f t="shared" si="7"/>
        <v>1</v>
      </c>
      <c r="S46">
        <f t="shared" si="8"/>
        <v>1</v>
      </c>
    </row>
    <row r="47" spans="1:19" x14ac:dyDescent="0.3">
      <c r="A47">
        <v>306.299999952316</v>
      </c>
      <c r="B47">
        <v>307.75</v>
      </c>
      <c r="C47">
        <v>307.64107411354701</v>
      </c>
      <c r="D47">
        <v>306.24588119983599</v>
      </c>
      <c r="E47">
        <v>307.921339675784</v>
      </c>
      <c r="F47">
        <v>307.91641432046799</v>
      </c>
      <c r="G47">
        <v>308.868186235427</v>
      </c>
      <c r="H47">
        <v>315.326237773895</v>
      </c>
      <c r="I47">
        <v>316.92342472076399</v>
      </c>
      <c r="J47">
        <v>308.34864652156801</v>
      </c>
      <c r="L47">
        <f t="shared" si="1"/>
        <v>1</v>
      </c>
      <c r="M47">
        <f t="shared" si="2"/>
        <v>1</v>
      </c>
      <c r="N47">
        <f t="shared" si="3"/>
        <v>0</v>
      </c>
      <c r="O47">
        <f t="shared" si="4"/>
        <v>0</v>
      </c>
      <c r="P47">
        <f t="shared" si="5"/>
        <v>0</v>
      </c>
      <c r="Q47">
        <f t="shared" si="6"/>
        <v>0</v>
      </c>
      <c r="R47">
        <f t="shared" si="7"/>
        <v>0</v>
      </c>
      <c r="S47">
        <f t="shared" si="8"/>
        <v>0</v>
      </c>
    </row>
    <row r="48" spans="1:19" x14ac:dyDescent="0.3">
      <c r="A48">
        <v>303.500000095367</v>
      </c>
      <c r="B48">
        <v>307.60000000000002</v>
      </c>
      <c r="C48">
        <v>307.64483961313903</v>
      </c>
      <c r="D48">
        <v>306.79551199674597</v>
      </c>
      <c r="E48">
        <v>307.716097196936</v>
      </c>
      <c r="F48">
        <v>306.79275546073899</v>
      </c>
      <c r="G48">
        <v>308.94066021442399</v>
      </c>
      <c r="H48">
        <v>314.23264243602699</v>
      </c>
      <c r="I48">
        <v>314.44749364852902</v>
      </c>
      <c r="J48">
        <v>305.39916334152201</v>
      </c>
      <c r="L48">
        <f t="shared" si="1"/>
        <v>0</v>
      </c>
      <c r="M48">
        <f t="shared" si="2"/>
        <v>1</v>
      </c>
      <c r="N48">
        <f t="shared" si="3"/>
        <v>0</v>
      </c>
      <c r="O48">
        <f t="shared" si="4"/>
        <v>1</v>
      </c>
      <c r="P48">
        <f t="shared" si="5"/>
        <v>0</v>
      </c>
      <c r="Q48">
        <f t="shared" si="6"/>
        <v>0</v>
      </c>
      <c r="R48">
        <f t="shared" si="7"/>
        <v>0</v>
      </c>
      <c r="S48">
        <f t="shared" si="8"/>
        <v>1</v>
      </c>
    </row>
    <row r="49" spans="1:19" x14ac:dyDescent="0.3">
      <c r="A49">
        <v>302.69999990463202</v>
      </c>
      <c r="B49">
        <v>307.60000000000002</v>
      </c>
      <c r="C49">
        <v>307.17919377088498</v>
      </c>
      <c r="D49">
        <v>306.33839700222001</v>
      </c>
      <c r="E49">
        <v>308.157375490665</v>
      </c>
      <c r="F49">
        <v>306.94897619485801</v>
      </c>
      <c r="G49">
        <v>308.90401670932698</v>
      </c>
      <c r="H49">
        <v>315.320106601715</v>
      </c>
      <c r="I49">
        <v>314.68302116394</v>
      </c>
      <c r="J49">
        <v>306.54570720195699</v>
      </c>
      <c r="L49">
        <f t="shared" si="1"/>
        <v>1</v>
      </c>
      <c r="M49">
        <f t="shared" si="2"/>
        <v>1</v>
      </c>
      <c r="N49">
        <f t="shared" si="3"/>
        <v>0</v>
      </c>
      <c r="O49">
        <f t="shared" si="4"/>
        <v>1</v>
      </c>
      <c r="P49">
        <f t="shared" si="5"/>
        <v>0</v>
      </c>
      <c r="Q49">
        <f t="shared" si="6"/>
        <v>0</v>
      </c>
      <c r="R49">
        <f t="shared" si="7"/>
        <v>0</v>
      </c>
      <c r="S49">
        <f t="shared" si="8"/>
        <v>1</v>
      </c>
    </row>
    <row r="50" spans="1:19" x14ac:dyDescent="0.3">
      <c r="A50">
        <v>302.30000009536701</v>
      </c>
      <c r="B50">
        <v>305.39999999999998</v>
      </c>
      <c r="C50">
        <v>306.08071746826101</v>
      </c>
      <c r="D50">
        <v>304.34998800754499</v>
      </c>
      <c r="E50">
        <v>308.83572568893402</v>
      </c>
      <c r="F50">
        <v>307.25508406162197</v>
      </c>
      <c r="G50">
        <v>307.062635564804</v>
      </c>
      <c r="H50">
        <v>317.66444530487001</v>
      </c>
      <c r="I50">
        <v>313.66077270507799</v>
      </c>
      <c r="J50">
        <v>308.921867752075</v>
      </c>
      <c r="L50">
        <f t="shared" si="1"/>
        <v>0</v>
      </c>
      <c r="M50">
        <f t="shared" si="2"/>
        <v>1</v>
      </c>
      <c r="N50">
        <f t="shared" si="3"/>
        <v>0</v>
      </c>
      <c r="O50">
        <f t="shared" si="4"/>
        <v>0</v>
      </c>
      <c r="P50">
        <f t="shared" si="5"/>
        <v>0</v>
      </c>
      <c r="Q50">
        <f t="shared" si="6"/>
        <v>0</v>
      </c>
      <c r="R50">
        <f t="shared" si="7"/>
        <v>0</v>
      </c>
      <c r="S50">
        <f t="shared" si="8"/>
        <v>0</v>
      </c>
    </row>
    <row r="51" spans="1:19" x14ac:dyDescent="0.3">
      <c r="A51">
        <v>306.20000001192</v>
      </c>
      <c r="B51">
        <v>306.64999999999998</v>
      </c>
      <c r="C51">
        <v>309.640787267684</v>
      </c>
      <c r="D51">
        <v>309.13950481414702</v>
      </c>
      <c r="E51">
        <v>309.41915621757499</v>
      </c>
      <c r="F51">
        <v>308.222623133659</v>
      </c>
      <c r="G51">
        <v>305.88105728626198</v>
      </c>
      <c r="H51">
        <v>313.438954830169</v>
      </c>
      <c r="I51">
        <v>317.20931758880602</v>
      </c>
      <c r="J51">
        <v>311.28331842422398</v>
      </c>
      <c r="L51">
        <f t="shared" si="1"/>
        <v>0</v>
      </c>
      <c r="M51">
        <f t="shared" si="2"/>
        <v>0</v>
      </c>
      <c r="N51">
        <f t="shared" si="3"/>
        <v>0</v>
      </c>
      <c r="O51">
        <f t="shared" si="4"/>
        <v>0</v>
      </c>
      <c r="P51">
        <f t="shared" si="5"/>
        <v>1</v>
      </c>
      <c r="Q51">
        <f t="shared" si="6"/>
        <v>0</v>
      </c>
      <c r="R51">
        <f t="shared" si="7"/>
        <v>0</v>
      </c>
      <c r="S51">
        <f t="shared" si="8"/>
        <v>0</v>
      </c>
    </row>
    <row r="52" spans="1:19" x14ac:dyDescent="0.3">
      <c r="A52">
        <v>306.25000004768299</v>
      </c>
      <c r="B52">
        <v>308.55</v>
      </c>
      <c r="C52">
        <v>310.06214253902402</v>
      </c>
      <c r="D52">
        <v>309.10524742603297</v>
      </c>
      <c r="E52">
        <v>311.47961454391401</v>
      </c>
      <c r="F52">
        <v>310.367138075828</v>
      </c>
      <c r="G52">
        <v>308.60290914326902</v>
      </c>
      <c r="H52">
        <v>312.17773532867398</v>
      </c>
      <c r="I52">
        <v>319.60634784698402</v>
      </c>
      <c r="J52">
        <v>314.84539871215799</v>
      </c>
      <c r="L52">
        <f t="shared" si="1"/>
        <v>0</v>
      </c>
      <c r="M52">
        <f t="shared" si="2"/>
        <v>0</v>
      </c>
      <c r="N52">
        <f t="shared" si="3"/>
        <v>0</v>
      </c>
      <c r="O52">
        <f t="shared" si="4"/>
        <v>0</v>
      </c>
      <c r="P52">
        <f t="shared" si="5"/>
        <v>0</v>
      </c>
      <c r="Q52">
        <f t="shared" si="6"/>
        <v>0</v>
      </c>
      <c r="R52">
        <f t="shared" si="7"/>
        <v>0</v>
      </c>
      <c r="S52">
        <f t="shared" si="8"/>
        <v>0</v>
      </c>
    </row>
    <row r="53" spans="1:19" x14ac:dyDescent="0.3">
      <c r="A53">
        <v>309.25000004768299</v>
      </c>
      <c r="B53">
        <v>305.3</v>
      </c>
      <c r="C53">
        <v>307.49970703125001</v>
      </c>
      <c r="D53">
        <v>306.291208255291</v>
      </c>
      <c r="E53">
        <v>308.89315562248203</v>
      </c>
      <c r="F53">
        <v>310.045405197143</v>
      </c>
      <c r="G53">
        <v>308.98748068809499</v>
      </c>
      <c r="H53">
        <v>314.95326480865401</v>
      </c>
      <c r="I53">
        <v>321.05629043579103</v>
      </c>
      <c r="J53">
        <v>316.49263839721601</v>
      </c>
      <c r="L53">
        <f t="shared" si="1"/>
        <v>1</v>
      </c>
      <c r="M53">
        <f t="shared" si="2"/>
        <v>1</v>
      </c>
      <c r="N53">
        <f t="shared" si="3"/>
        <v>1</v>
      </c>
      <c r="O53">
        <f t="shared" si="4"/>
        <v>1</v>
      </c>
      <c r="P53">
        <f t="shared" si="5"/>
        <v>1</v>
      </c>
      <c r="Q53">
        <f t="shared" si="6"/>
        <v>1</v>
      </c>
      <c r="R53">
        <f t="shared" si="7"/>
        <v>1</v>
      </c>
      <c r="S53">
        <f t="shared" si="8"/>
        <v>1</v>
      </c>
    </row>
    <row r="54" spans="1:19" x14ac:dyDescent="0.3">
      <c r="A54">
        <v>309.20000009536699</v>
      </c>
      <c r="B54">
        <v>307.05</v>
      </c>
      <c r="C54">
        <v>309.39538459777799</v>
      </c>
      <c r="D54">
        <v>307.25518590509802</v>
      </c>
      <c r="E54">
        <v>307.05238191336298</v>
      </c>
      <c r="F54">
        <v>308.17096416950199</v>
      </c>
      <c r="G54">
        <v>312.13897113799999</v>
      </c>
      <c r="H54">
        <v>315.475078201293</v>
      </c>
      <c r="I54">
        <v>318.040046501159</v>
      </c>
      <c r="J54">
        <v>314.13996772766097</v>
      </c>
      <c r="L54">
        <f t="shared" si="1"/>
        <v>1</v>
      </c>
      <c r="M54">
        <f t="shared" si="2"/>
        <v>1</v>
      </c>
      <c r="N54">
        <f t="shared" si="3"/>
        <v>1</v>
      </c>
      <c r="O54">
        <f t="shared" si="4"/>
        <v>1</v>
      </c>
      <c r="P54">
        <f t="shared" si="5"/>
        <v>1</v>
      </c>
      <c r="Q54">
        <f t="shared" si="6"/>
        <v>1</v>
      </c>
      <c r="R54">
        <f t="shared" si="7"/>
        <v>1</v>
      </c>
      <c r="S54">
        <f t="shared" si="8"/>
        <v>1</v>
      </c>
    </row>
    <row r="55" spans="1:19" x14ac:dyDescent="0.3">
      <c r="A55">
        <v>308.54999997615801</v>
      </c>
      <c r="B55">
        <v>307.39999999999998</v>
      </c>
      <c r="C55">
        <v>309.12193527221598</v>
      </c>
      <c r="D55">
        <v>308.165319347381</v>
      </c>
      <c r="E55">
        <v>310.42607417106598</v>
      </c>
      <c r="F55">
        <v>309.50366535186703</v>
      </c>
      <c r="G55">
        <v>311.33946099281297</v>
      </c>
      <c r="H55">
        <v>315.53927898406903</v>
      </c>
      <c r="I55">
        <v>314.63175096511799</v>
      </c>
      <c r="J55">
        <v>313.96367588043199</v>
      </c>
      <c r="L55">
        <f t="shared" si="1"/>
        <v>1</v>
      </c>
      <c r="M55">
        <f t="shared" si="2"/>
        <v>1</v>
      </c>
      <c r="N55">
        <f t="shared" si="3"/>
        <v>1</v>
      </c>
      <c r="O55">
        <f t="shared" si="4"/>
        <v>1</v>
      </c>
      <c r="P55">
        <f t="shared" si="5"/>
        <v>1</v>
      </c>
      <c r="Q55">
        <f t="shared" si="6"/>
        <v>1</v>
      </c>
      <c r="R55">
        <f t="shared" si="7"/>
        <v>1</v>
      </c>
      <c r="S55">
        <f t="shared" si="8"/>
        <v>1</v>
      </c>
    </row>
    <row r="56" spans="1:19" x14ac:dyDescent="0.3">
      <c r="A56">
        <v>310.24999990463198</v>
      </c>
      <c r="B56">
        <v>305.64999999999998</v>
      </c>
      <c r="C56">
        <v>309.16222658157301</v>
      </c>
      <c r="D56">
        <v>307.17423238754202</v>
      </c>
      <c r="E56">
        <v>306.81200077533703</v>
      </c>
      <c r="F56">
        <v>310.32342662811197</v>
      </c>
      <c r="G56">
        <v>309.76135005950903</v>
      </c>
      <c r="H56">
        <v>318.36077442169102</v>
      </c>
      <c r="I56">
        <v>315.36249008178697</v>
      </c>
      <c r="J56">
        <v>313.31536140441801</v>
      </c>
      <c r="L56">
        <f t="shared" si="1"/>
        <v>1</v>
      </c>
      <c r="M56">
        <f t="shared" si="2"/>
        <v>1</v>
      </c>
      <c r="N56">
        <f t="shared" si="3"/>
        <v>1</v>
      </c>
      <c r="O56">
        <f t="shared" si="4"/>
        <v>1</v>
      </c>
      <c r="P56">
        <f t="shared" si="5"/>
        <v>1</v>
      </c>
      <c r="Q56">
        <f t="shared" si="6"/>
        <v>1</v>
      </c>
      <c r="R56">
        <f t="shared" si="7"/>
        <v>1</v>
      </c>
      <c r="S56">
        <f t="shared" si="8"/>
        <v>1</v>
      </c>
    </row>
    <row r="57" spans="1:19" x14ac:dyDescent="0.3">
      <c r="A57">
        <v>311.19999980926502</v>
      </c>
      <c r="B57">
        <v>306</v>
      </c>
      <c r="C57">
        <v>309.36034202575598</v>
      </c>
      <c r="D57">
        <v>307.960415482521</v>
      </c>
      <c r="E57">
        <v>307.836505651474</v>
      </c>
      <c r="F57">
        <v>310.08298778533901</v>
      </c>
      <c r="G57">
        <v>311.17654085159302</v>
      </c>
      <c r="H57">
        <v>316.78107357025101</v>
      </c>
      <c r="I57">
        <v>315.52925300598099</v>
      </c>
      <c r="J57">
        <v>314.11774158477698</v>
      </c>
      <c r="L57">
        <f t="shared" si="1"/>
        <v>1</v>
      </c>
      <c r="M57">
        <f t="shared" si="2"/>
        <v>1</v>
      </c>
      <c r="N57">
        <f t="shared" si="3"/>
        <v>1</v>
      </c>
      <c r="O57">
        <f t="shared" si="4"/>
        <v>1</v>
      </c>
      <c r="P57">
        <f t="shared" si="5"/>
        <v>1</v>
      </c>
      <c r="Q57">
        <f t="shared" si="6"/>
        <v>1</v>
      </c>
      <c r="R57">
        <f t="shared" si="7"/>
        <v>1</v>
      </c>
      <c r="S57">
        <f t="shared" si="8"/>
        <v>1</v>
      </c>
    </row>
    <row r="58" spans="1:19" x14ac:dyDescent="0.3">
      <c r="A58">
        <v>316.69999961853</v>
      </c>
      <c r="B58">
        <v>307.8</v>
      </c>
      <c r="C58">
        <v>309.79178159236898</v>
      </c>
      <c r="D58">
        <v>309.12037889957401</v>
      </c>
      <c r="E58">
        <v>311.22693376541099</v>
      </c>
      <c r="F58">
        <v>316.12338714599599</v>
      </c>
      <c r="G58">
        <v>312.99010639190601</v>
      </c>
      <c r="H58">
        <v>317.21441822051997</v>
      </c>
      <c r="I58">
        <v>310.301237154006</v>
      </c>
      <c r="J58">
        <v>312.93928794860801</v>
      </c>
      <c r="L58">
        <f t="shared" si="1"/>
        <v>1</v>
      </c>
      <c r="M58">
        <f t="shared" si="2"/>
        <v>1</v>
      </c>
      <c r="N58">
        <f t="shared" si="3"/>
        <v>1</v>
      </c>
      <c r="O58">
        <f t="shared" si="4"/>
        <v>1</v>
      </c>
      <c r="P58">
        <f t="shared" si="5"/>
        <v>1</v>
      </c>
      <c r="Q58">
        <f t="shared" si="6"/>
        <v>1</v>
      </c>
      <c r="R58">
        <f t="shared" si="7"/>
        <v>1</v>
      </c>
      <c r="S58">
        <f t="shared" si="8"/>
        <v>1</v>
      </c>
    </row>
    <row r="59" spans="1:19" x14ac:dyDescent="0.3">
      <c r="A59">
        <v>316.04999980926499</v>
      </c>
      <c r="B59">
        <v>308.10000000000002</v>
      </c>
      <c r="C59">
        <v>309.40294942855797</v>
      </c>
      <c r="D59">
        <v>308.97523376941598</v>
      </c>
      <c r="E59">
        <v>310.02419946193697</v>
      </c>
      <c r="F59">
        <v>313.166078662872</v>
      </c>
      <c r="G59">
        <v>312.53766880035403</v>
      </c>
      <c r="H59">
        <v>319.22116298675502</v>
      </c>
      <c r="I59">
        <v>310.54453740119902</v>
      </c>
      <c r="J59">
        <v>310.340373134613</v>
      </c>
      <c r="L59">
        <f t="shared" si="1"/>
        <v>1</v>
      </c>
      <c r="M59">
        <f t="shared" si="2"/>
        <v>1</v>
      </c>
      <c r="N59">
        <f t="shared" si="3"/>
        <v>1</v>
      </c>
      <c r="O59">
        <f t="shared" si="4"/>
        <v>1</v>
      </c>
      <c r="P59">
        <f t="shared" si="5"/>
        <v>1</v>
      </c>
      <c r="Q59">
        <f t="shared" si="6"/>
        <v>1</v>
      </c>
      <c r="R59">
        <f t="shared" si="7"/>
        <v>1</v>
      </c>
      <c r="S59">
        <f t="shared" si="8"/>
        <v>1</v>
      </c>
    </row>
    <row r="60" spans="1:19" x14ac:dyDescent="0.3">
      <c r="A60">
        <v>315.8</v>
      </c>
      <c r="B60">
        <v>306.8</v>
      </c>
      <c r="C60">
        <v>309.41151623725801</v>
      </c>
      <c r="D60">
        <v>307.45100193023598</v>
      </c>
      <c r="E60">
        <v>313.98171596527101</v>
      </c>
      <c r="F60">
        <v>313.08906631469699</v>
      </c>
      <c r="G60">
        <v>313.34330253601001</v>
      </c>
      <c r="H60">
        <v>316.99151668548501</v>
      </c>
      <c r="I60">
        <v>315.35389499664302</v>
      </c>
      <c r="J60">
        <v>311.81260852813699</v>
      </c>
      <c r="L60">
        <f t="shared" si="1"/>
        <v>1</v>
      </c>
      <c r="M60">
        <f t="shared" si="2"/>
        <v>1</v>
      </c>
      <c r="N60">
        <f t="shared" si="3"/>
        <v>1</v>
      </c>
      <c r="O60">
        <f t="shared" si="4"/>
        <v>1</v>
      </c>
      <c r="P60">
        <f t="shared" si="5"/>
        <v>1</v>
      </c>
      <c r="Q60">
        <f t="shared" si="6"/>
        <v>1</v>
      </c>
      <c r="R60">
        <f t="shared" si="7"/>
        <v>1</v>
      </c>
      <c r="S60">
        <f t="shared" si="8"/>
        <v>1</v>
      </c>
    </row>
    <row r="61" spans="1:19" x14ac:dyDescent="0.3">
      <c r="A61">
        <v>316.05</v>
      </c>
      <c r="B61">
        <v>308.55</v>
      </c>
      <c r="C61">
        <v>310.376388001441</v>
      </c>
      <c r="D61">
        <v>309.23386954069099</v>
      </c>
      <c r="E61">
        <v>313.97075634002601</v>
      </c>
      <c r="F61">
        <v>316.353889751434</v>
      </c>
      <c r="G61">
        <v>315.34013824462801</v>
      </c>
      <c r="H61">
        <v>321.29526386260898</v>
      </c>
      <c r="I61">
        <v>319.48452167510902</v>
      </c>
      <c r="J61">
        <v>313.34599285125699</v>
      </c>
      <c r="L61">
        <f t="shared" si="1"/>
        <v>1</v>
      </c>
      <c r="M61">
        <f t="shared" si="2"/>
        <v>1</v>
      </c>
      <c r="N61">
        <f t="shared" si="3"/>
        <v>1</v>
      </c>
      <c r="O61">
        <f t="shared" si="4"/>
        <v>1</v>
      </c>
      <c r="P61">
        <f t="shared" si="5"/>
        <v>1</v>
      </c>
      <c r="Q61">
        <f t="shared" si="6"/>
        <v>1</v>
      </c>
      <c r="R61">
        <f t="shared" si="7"/>
        <v>1</v>
      </c>
      <c r="S61">
        <f t="shared" si="8"/>
        <v>1</v>
      </c>
    </row>
    <row r="62" spans="1:19" x14ac:dyDescent="0.3">
      <c r="A62">
        <v>313.75</v>
      </c>
      <c r="B62">
        <v>309.25</v>
      </c>
      <c r="C62">
        <v>309.191136293113</v>
      </c>
      <c r="D62">
        <v>309.56577971577599</v>
      </c>
      <c r="E62">
        <v>313.436695575714</v>
      </c>
      <c r="F62">
        <v>312.31193065643299</v>
      </c>
      <c r="G62">
        <v>316.26763916015602</v>
      </c>
      <c r="H62">
        <v>311.75030815601298</v>
      </c>
      <c r="I62">
        <v>316.64861345291098</v>
      </c>
      <c r="J62">
        <v>308.93554115295399</v>
      </c>
      <c r="L62">
        <f t="shared" si="1"/>
        <v>0</v>
      </c>
      <c r="M62">
        <f t="shared" si="2"/>
        <v>1</v>
      </c>
      <c r="N62">
        <f t="shared" si="3"/>
        <v>1</v>
      </c>
      <c r="O62">
        <f t="shared" si="4"/>
        <v>1</v>
      </c>
      <c r="P62">
        <f t="shared" si="5"/>
        <v>1</v>
      </c>
      <c r="Q62">
        <f t="shared" si="6"/>
        <v>1</v>
      </c>
      <c r="R62">
        <f t="shared" si="7"/>
        <v>1</v>
      </c>
      <c r="S62">
        <f t="shared" si="8"/>
        <v>0</v>
      </c>
    </row>
    <row r="63" spans="1:19" x14ac:dyDescent="0.3">
      <c r="A63">
        <v>313.8</v>
      </c>
      <c r="B63">
        <v>310.55</v>
      </c>
      <c r="C63">
        <v>309.09816460609397</v>
      </c>
      <c r="D63">
        <v>310.57111434377703</v>
      </c>
      <c r="E63">
        <v>313.92550330161998</v>
      </c>
      <c r="F63">
        <v>312.87279586791902</v>
      </c>
      <c r="G63">
        <v>316.630854415893</v>
      </c>
      <c r="H63">
        <v>311.23170347213699</v>
      </c>
      <c r="I63">
        <v>316.02464179992597</v>
      </c>
      <c r="J63">
        <v>309.22727470397899</v>
      </c>
      <c r="L63">
        <f t="shared" si="1"/>
        <v>0</v>
      </c>
      <c r="M63">
        <f t="shared" si="2"/>
        <v>1</v>
      </c>
      <c r="N63">
        <f t="shared" si="3"/>
        <v>1</v>
      </c>
      <c r="O63">
        <f t="shared" si="4"/>
        <v>1</v>
      </c>
      <c r="P63">
        <f t="shared" si="5"/>
        <v>1</v>
      </c>
      <c r="Q63">
        <f t="shared" si="6"/>
        <v>1</v>
      </c>
      <c r="R63">
        <f t="shared" si="7"/>
        <v>1</v>
      </c>
      <c r="S63">
        <f t="shared" si="8"/>
        <v>0</v>
      </c>
    </row>
    <row r="64" spans="1:19" x14ac:dyDescent="0.3">
      <c r="A64">
        <v>311.79999998807898</v>
      </c>
      <c r="B64">
        <v>311.10000000000002</v>
      </c>
      <c r="C64">
        <v>311.02590026557402</v>
      </c>
      <c r="D64">
        <v>310.85975646078498</v>
      </c>
      <c r="E64">
        <v>309.40825185775702</v>
      </c>
      <c r="F64">
        <v>312.808716511726</v>
      </c>
      <c r="G64">
        <v>315.54777584075902</v>
      </c>
      <c r="H64">
        <v>309.56447186470001</v>
      </c>
      <c r="I64">
        <v>311.72720173597298</v>
      </c>
      <c r="J64">
        <v>310.50791797637902</v>
      </c>
      <c r="L64">
        <f t="shared" si="1"/>
        <v>0</v>
      </c>
      <c r="M64">
        <f t="shared" si="2"/>
        <v>0</v>
      </c>
      <c r="N64">
        <f t="shared" si="3"/>
        <v>0</v>
      </c>
      <c r="O64">
        <f t="shared" si="4"/>
        <v>1</v>
      </c>
      <c r="P64">
        <f t="shared" si="5"/>
        <v>1</v>
      </c>
      <c r="Q64">
        <f t="shared" si="6"/>
        <v>0</v>
      </c>
      <c r="R64">
        <f t="shared" si="7"/>
        <v>1</v>
      </c>
      <c r="S64">
        <f t="shared" si="8"/>
        <v>0</v>
      </c>
    </row>
    <row r="65" spans="1:19" x14ac:dyDescent="0.3">
      <c r="A65">
        <v>311.39999997615803</v>
      </c>
      <c r="B65">
        <v>310.25</v>
      </c>
      <c r="C65">
        <v>311.47418153285901</v>
      </c>
      <c r="D65">
        <v>311.30596315860703</v>
      </c>
      <c r="E65">
        <v>314.321617603302</v>
      </c>
      <c r="F65">
        <v>312.96814203262301</v>
      </c>
      <c r="G65">
        <v>316.63870096206603</v>
      </c>
      <c r="H65">
        <v>311.63447785377502</v>
      </c>
      <c r="I65">
        <v>315.40218782424898</v>
      </c>
      <c r="J65">
        <v>312.39628791809002</v>
      </c>
      <c r="L65">
        <f t="shared" si="1"/>
        <v>1</v>
      </c>
      <c r="M65">
        <f t="shared" si="2"/>
        <v>1</v>
      </c>
      <c r="N65">
        <f t="shared" si="3"/>
        <v>1</v>
      </c>
      <c r="O65">
        <f t="shared" si="4"/>
        <v>1</v>
      </c>
      <c r="P65">
        <f t="shared" si="5"/>
        <v>1</v>
      </c>
      <c r="Q65">
        <f t="shared" si="6"/>
        <v>1</v>
      </c>
      <c r="R65">
        <f t="shared" si="7"/>
        <v>1</v>
      </c>
      <c r="S65">
        <f t="shared" si="8"/>
        <v>1</v>
      </c>
    </row>
    <row r="66" spans="1:19" x14ac:dyDescent="0.3">
      <c r="A66">
        <v>311.60000000000002</v>
      </c>
      <c r="B66">
        <v>312.35000000000002</v>
      </c>
      <c r="C66">
        <v>312.400439037382</v>
      </c>
      <c r="D66">
        <v>312.14976603388698</v>
      </c>
      <c r="E66">
        <v>313.01870397329299</v>
      </c>
      <c r="F66">
        <v>313.39999101161902</v>
      </c>
      <c r="G66">
        <v>315.50249323844901</v>
      </c>
      <c r="H66">
        <v>308.04859306812199</v>
      </c>
      <c r="I66">
        <v>319.81391677856402</v>
      </c>
      <c r="J66">
        <v>309.77491793632498</v>
      </c>
      <c r="L66">
        <f t="shared" si="1"/>
        <v>0</v>
      </c>
      <c r="M66">
        <f t="shared" si="2"/>
        <v>1</v>
      </c>
      <c r="N66">
        <f t="shared" si="3"/>
        <v>0</v>
      </c>
      <c r="O66">
        <f t="shared" si="4"/>
        <v>0</v>
      </c>
      <c r="P66">
        <f t="shared" si="5"/>
        <v>0</v>
      </c>
      <c r="Q66">
        <f t="shared" si="6"/>
        <v>1</v>
      </c>
      <c r="R66">
        <f t="shared" si="7"/>
        <v>0</v>
      </c>
      <c r="S66">
        <f t="shared" si="8"/>
        <v>1</v>
      </c>
    </row>
    <row r="67" spans="1:19" x14ac:dyDescent="0.3">
      <c r="A67">
        <v>314.3</v>
      </c>
      <c r="B67">
        <v>311.55</v>
      </c>
      <c r="C67">
        <v>311.13748593926402</v>
      </c>
      <c r="D67">
        <v>312.351397383213</v>
      </c>
      <c r="E67">
        <v>313.60114388465797</v>
      </c>
      <c r="F67">
        <v>320.39532546996998</v>
      </c>
      <c r="G67">
        <v>318.181422519683</v>
      </c>
      <c r="H67">
        <v>310.46452932357698</v>
      </c>
      <c r="I67">
        <v>321.69898777008001</v>
      </c>
      <c r="J67">
        <v>315.16862397193898</v>
      </c>
      <c r="L67">
        <f t="shared" ref="L67:L130" si="9">IF(($A67-$B67)*(C67-$B67)&gt;0,1,0)</f>
        <v>0</v>
      </c>
      <c r="M67">
        <f t="shared" ref="M67:M130" si="10">IF(($A67-$B67)*(D67-$B67)&gt;0,1,0)</f>
        <v>1</v>
      </c>
      <c r="N67">
        <f t="shared" ref="N67:N130" si="11">IF(($A67-$B67)*(E67-$B67)&gt;0,1,0)</f>
        <v>1</v>
      </c>
      <c r="O67">
        <f t="shared" ref="O67:O130" si="12">IF(($A67-$B67)*(F67-$B67)&gt;0,1,0)</f>
        <v>1</v>
      </c>
      <c r="P67">
        <f t="shared" ref="P67:P130" si="13">IF(($A67-$B67)*(G67-$B67)&gt;0,1,0)</f>
        <v>1</v>
      </c>
      <c r="Q67">
        <f t="shared" ref="Q67:Q130" si="14">IF(($A67-$B67)*(H67-$B67)&gt;0,1,0)</f>
        <v>0</v>
      </c>
      <c r="R67">
        <f t="shared" ref="R67:R130" si="15">IF(($A67-$B67)*(I67-$B67)&gt;0,1,0)</f>
        <v>1</v>
      </c>
      <c r="S67">
        <f t="shared" ref="S67:S130" si="16">IF(($A67-$B67)*(J67-$B67)&gt;0,1,0)</f>
        <v>1</v>
      </c>
    </row>
    <row r="68" spans="1:19" x14ac:dyDescent="0.3">
      <c r="A68">
        <v>314.29999990463199</v>
      </c>
      <c r="B68">
        <v>311.95</v>
      </c>
      <c r="C68">
        <v>310.03499062061297</v>
      </c>
      <c r="D68">
        <v>312.11082550585201</v>
      </c>
      <c r="E68">
        <v>313.680302929878</v>
      </c>
      <c r="F68">
        <v>321.590846252441</v>
      </c>
      <c r="G68">
        <v>318.66838378906198</v>
      </c>
      <c r="H68">
        <v>311.97948169708201</v>
      </c>
      <c r="I68">
        <v>321.46086711883498</v>
      </c>
      <c r="J68">
        <v>312.49807364940602</v>
      </c>
      <c r="L68">
        <f t="shared" si="9"/>
        <v>0</v>
      </c>
      <c r="M68">
        <f t="shared" si="10"/>
        <v>1</v>
      </c>
      <c r="N68">
        <f t="shared" si="11"/>
        <v>1</v>
      </c>
      <c r="O68">
        <f t="shared" si="12"/>
        <v>1</v>
      </c>
      <c r="P68">
        <f t="shared" si="13"/>
        <v>1</v>
      </c>
      <c r="Q68">
        <f t="shared" si="14"/>
        <v>1</v>
      </c>
      <c r="R68">
        <f t="shared" si="15"/>
        <v>1</v>
      </c>
      <c r="S68">
        <f t="shared" si="16"/>
        <v>1</v>
      </c>
    </row>
    <row r="69" spans="1:19" x14ac:dyDescent="0.3">
      <c r="A69">
        <v>314.30000009536701</v>
      </c>
      <c r="B69">
        <v>309.64999999999998</v>
      </c>
      <c r="C69">
        <v>309.05015923976799</v>
      </c>
      <c r="D69">
        <v>311.94017758369398</v>
      </c>
      <c r="E69">
        <v>312.04074063300999</v>
      </c>
      <c r="F69">
        <v>316.34660615921001</v>
      </c>
      <c r="G69">
        <v>316.283825302124</v>
      </c>
      <c r="H69">
        <v>305.46547026634198</v>
      </c>
      <c r="I69">
        <v>320.104637527465</v>
      </c>
      <c r="J69">
        <v>309.02806379794998</v>
      </c>
      <c r="L69">
        <f t="shared" si="9"/>
        <v>0</v>
      </c>
      <c r="M69">
        <f t="shared" si="10"/>
        <v>1</v>
      </c>
      <c r="N69">
        <f t="shared" si="11"/>
        <v>1</v>
      </c>
      <c r="O69">
        <f t="shared" si="12"/>
        <v>1</v>
      </c>
      <c r="P69">
        <f t="shared" si="13"/>
        <v>1</v>
      </c>
      <c r="Q69">
        <f t="shared" si="14"/>
        <v>0</v>
      </c>
      <c r="R69">
        <f t="shared" si="15"/>
        <v>1</v>
      </c>
      <c r="S69">
        <f t="shared" si="16"/>
        <v>0</v>
      </c>
    </row>
    <row r="70" spans="1:19" x14ac:dyDescent="0.3">
      <c r="A70">
        <v>314.300000047683</v>
      </c>
      <c r="B70">
        <v>311.10000000000002</v>
      </c>
      <c r="C70">
        <v>310.63705227374999</v>
      </c>
      <c r="D70">
        <v>312.38137457370698</v>
      </c>
      <c r="E70">
        <v>315.29142150878903</v>
      </c>
      <c r="F70">
        <v>317.24272689819298</v>
      </c>
      <c r="G70">
        <v>317.18476257324198</v>
      </c>
      <c r="H70">
        <v>304.65324740409801</v>
      </c>
      <c r="I70">
        <v>319.51045665740901</v>
      </c>
      <c r="J70">
        <v>309.36363933086398</v>
      </c>
      <c r="L70">
        <f t="shared" si="9"/>
        <v>0</v>
      </c>
      <c r="M70">
        <f t="shared" si="10"/>
        <v>1</v>
      </c>
      <c r="N70">
        <f t="shared" si="11"/>
        <v>1</v>
      </c>
      <c r="O70">
        <f t="shared" si="12"/>
        <v>1</v>
      </c>
      <c r="P70">
        <f t="shared" si="13"/>
        <v>1</v>
      </c>
      <c r="Q70">
        <f t="shared" si="14"/>
        <v>0</v>
      </c>
      <c r="R70">
        <f t="shared" si="15"/>
        <v>1</v>
      </c>
      <c r="S70">
        <f t="shared" si="16"/>
        <v>0</v>
      </c>
    </row>
    <row r="71" spans="1:19" x14ac:dyDescent="0.3">
      <c r="A71">
        <v>314.300000047683</v>
      </c>
      <c r="B71">
        <v>311.10000000000002</v>
      </c>
      <c r="C71">
        <v>309.732181286811</v>
      </c>
      <c r="D71">
        <v>311.27256794869902</v>
      </c>
      <c r="E71">
        <v>313.98819432258603</v>
      </c>
      <c r="F71">
        <v>313.62483701705901</v>
      </c>
      <c r="G71">
        <v>316.20221481323199</v>
      </c>
      <c r="H71">
        <v>305.94638265371299</v>
      </c>
      <c r="I71">
        <v>319.99355182647702</v>
      </c>
      <c r="J71">
        <v>310.568912184238</v>
      </c>
      <c r="L71">
        <f t="shared" si="9"/>
        <v>0</v>
      </c>
      <c r="M71">
        <f t="shared" si="10"/>
        <v>1</v>
      </c>
      <c r="N71">
        <f t="shared" si="11"/>
        <v>1</v>
      </c>
      <c r="O71">
        <f t="shared" si="12"/>
        <v>1</v>
      </c>
      <c r="P71">
        <f t="shared" si="13"/>
        <v>1</v>
      </c>
      <c r="Q71">
        <f t="shared" si="14"/>
        <v>0</v>
      </c>
      <c r="R71">
        <f t="shared" si="15"/>
        <v>1</v>
      </c>
      <c r="S71">
        <f t="shared" si="16"/>
        <v>0</v>
      </c>
    </row>
    <row r="72" spans="1:19" x14ac:dyDescent="0.3">
      <c r="A72">
        <v>314.30000019073401</v>
      </c>
      <c r="B72">
        <v>310.25</v>
      </c>
      <c r="C72">
        <v>309.64540559053398</v>
      </c>
      <c r="D72">
        <v>310.68053662776902</v>
      </c>
      <c r="E72">
        <v>312.35244393348597</v>
      </c>
      <c r="F72">
        <v>315.47312736511202</v>
      </c>
      <c r="G72">
        <v>313.281122922897</v>
      </c>
      <c r="H72">
        <v>309.694073915481</v>
      </c>
      <c r="I72">
        <v>323.26667499542202</v>
      </c>
      <c r="J72">
        <v>312.05540919303797</v>
      </c>
      <c r="L72">
        <f t="shared" si="9"/>
        <v>0</v>
      </c>
      <c r="M72">
        <f t="shared" si="10"/>
        <v>1</v>
      </c>
      <c r="N72">
        <f t="shared" si="11"/>
        <v>1</v>
      </c>
      <c r="O72">
        <f t="shared" si="12"/>
        <v>1</v>
      </c>
      <c r="P72">
        <f t="shared" si="13"/>
        <v>1</v>
      </c>
      <c r="Q72">
        <f t="shared" si="14"/>
        <v>0</v>
      </c>
      <c r="R72">
        <f t="shared" si="15"/>
        <v>1</v>
      </c>
      <c r="S72">
        <f t="shared" si="16"/>
        <v>1</v>
      </c>
    </row>
    <row r="73" spans="1:19" x14ac:dyDescent="0.3">
      <c r="A73">
        <v>314.3</v>
      </c>
      <c r="B73">
        <v>310.8</v>
      </c>
      <c r="C73">
        <v>310.53130324482902</v>
      </c>
      <c r="D73">
        <v>310.79588314257501</v>
      </c>
      <c r="E73">
        <v>312.34394567012703</v>
      </c>
      <c r="F73">
        <v>313.28580646514803</v>
      </c>
      <c r="G73">
        <v>314.26512198448103</v>
      </c>
      <c r="H73">
        <v>312.03854012489302</v>
      </c>
      <c r="I73">
        <v>322.65836219787599</v>
      </c>
      <c r="J73">
        <v>313.32810192108099</v>
      </c>
      <c r="L73">
        <f t="shared" si="9"/>
        <v>0</v>
      </c>
      <c r="M73">
        <f t="shared" si="10"/>
        <v>0</v>
      </c>
      <c r="N73">
        <f t="shared" si="11"/>
        <v>1</v>
      </c>
      <c r="O73">
        <f t="shared" si="12"/>
        <v>1</v>
      </c>
      <c r="P73">
        <f t="shared" si="13"/>
        <v>1</v>
      </c>
      <c r="Q73">
        <f t="shared" si="14"/>
        <v>1</v>
      </c>
      <c r="R73">
        <f t="shared" si="15"/>
        <v>1</v>
      </c>
      <c r="S73">
        <f t="shared" si="16"/>
        <v>1</v>
      </c>
    </row>
    <row r="74" spans="1:19" x14ac:dyDescent="0.3">
      <c r="A74">
        <v>320.14999980926501</v>
      </c>
      <c r="B74">
        <v>312.7</v>
      </c>
      <c r="C74">
        <v>311.62978370189597</v>
      </c>
      <c r="D74">
        <v>309.78134317398002</v>
      </c>
      <c r="E74">
        <v>310.10336203575099</v>
      </c>
      <c r="F74">
        <v>317.42521209716699</v>
      </c>
      <c r="G74">
        <v>316.42682070732099</v>
      </c>
      <c r="H74">
        <v>308.47398800849902</v>
      </c>
      <c r="I74">
        <v>318.49753589630097</v>
      </c>
      <c r="J74">
        <v>311.91396571397701</v>
      </c>
      <c r="L74">
        <f t="shared" si="9"/>
        <v>0</v>
      </c>
      <c r="M74">
        <f t="shared" si="10"/>
        <v>0</v>
      </c>
      <c r="N74">
        <f t="shared" si="11"/>
        <v>0</v>
      </c>
      <c r="O74">
        <f t="shared" si="12"/>
        <v>1</v>
      </c>
      <c r="P74">
        <f t="shared" si="13"/>
        <v>1</v>
      </c>
      <c r="Q74">
        <f t="shared" si="14"/>
        <v>0</v>
      </c>
      <c r="R74">
        <f t="shared" si="15"/>
        <v>1</v>
      </c>
      <c r="S74">
        <f t="shared" si="16"/>
        <v>0</v>
      </c>
    </row>
    <row r="75" spans="1:19" x14ac:dyDescent="0.3">
      <c r="A75">
        <v>323.24999961853001</v>
      </c>
      <c r="B75">
        <v>312.60000000000002</v>
      </c>
      <c r="C75">
        <v>311.97099111080098</v>
      </c>
      <c r="D75">
        <v>309.752089834213</v>
      </c>
      <c r="E75">
        <v>315.78944144248902</v>
      </c>
      <c r="F75">
        <v>315.62380657196002</v>
      </c>
      <c r="G75">
        <v>315.819755172729</v>
      </c>
      <c r="H75">
        <v>304.33097677230802</v>
      </c>
      <c r="I75">
        <v>316.06748328208897</v>
      </c>
      <c r="J75">
        <v>315.04332504272401</v>
      </c>
      <c r="L75">
        <f t="shared" si="9"/>
        <v>0</v>
      </c>
      <c r="M75">
        <f t="shared" si="10"/>
        <v>0</v>
      </c>
      <c r="N75">
        <f t="shared" si="11"/>
        <v>1</v>
      </c>
      <c r="O75">
        <f t="shared" si="12"/>
        <v>1</v>
      </c>
      <c r="P75">
        <f t="shared" si="13"/>
        <v>1</v>
      </c>
      <c r="Q75">
        <f t="shared" si="14"/>
        <v>0</v>
      </c>
      <c r="R75">
        <f t="shared" si="15"/>
        <v>1</v>
      </c>
      <c r="S75">
        <f t="shared" si="16"/>
        <v>1</v>
      </c>
    </row>
    <row r="76" spans="1:19" x14ac:dyDescent="0.3">
      <c r="A76">
        <v>325.650000381469</v>
      </c>
      <c r="B76">
        <v>316.55</v>
      </c>
      <c r="C76">
        <v>314.11880187988203</v>
      </c>
      <c r="D76">
        <v>314.618063378334</v>
      </c>
      <c r="E76">
        <v>316.12118356227802</v>
      </c>
      <c r="F76">
        <v>316.94672136306701</v>
      </c>
      <c r="G76">
        <v>321.496398735046</v>
      </c>
      <c r="H76">
        <v>307.06814408302301</v>
      </c>
      <c r="I76">
        <v>314.03473262786798</v>
      </c>
      <c r="J76">
        <v>314.92677061557703</v>
      </c>
      <c r="L76">
        <f t="shared" si="9"/>
        <v>0</v>
      </c>
      <c r="M76">
        <f t="shared" si="10"/>
        <v>0</v>
      </c>
      <c r="N76">
        <f t="shared" si="11"/>
        <v>0</v>
      </c>
      <c r="O76">
        <f t="shared" si="12"/>
        <v>1</v>
      </c>
      <c r="P76">
        <f t="shared" si="13"/>
        <v>1</v>
      </c>
      <c r="Q76">
        <f t="shared" si="14"/>
        <v>0</v>
      </c>
      <c r="R76">
        <f t="shared" si="15"/>
        <v>0</v>
      </c>
      <c r="S76">
        <f t="shared" si="16"/>
        <v>0</v>
      </c>
    </row>
    <row r="77" spans="1:19" x14ac:dyDescent="0.3">
      <c r="A77">
        <v>325.30000038146898</v>
      </c>
      <c r="B77">
        <v>316.7</v>
      </c>
      <c r="C77">
        <v>315.560600352287</v>
      </c>
      <c r="D77">
        <v>315.13868863582599</v>
      </c>
      <c r="E77">
        <v>318.32002646923002</v>
      </c>
      <c r="F77">
        <v>317.66021687984397</v>
      </c>
      <c r="G77">
        <v>317.32149250507302</v>
      </c>
      <c r="H77">
        <v>309.51253802776301</v>
      </c>
      <c r="I77">
        <v>323.52253503799398</v>
      </c>
      <c r="J77">
        <v>317.82081766128499</v>
      </c>
      <c r="L77">
        <f t="shared" si="9"/>
        <v>0</v>
      </c>
      <c r="M77">
        <f t="shared" si="10"/>
        <v>0</v>
      </c>
      <c r="N77">
        <f t="shared" si="11"/>
        <v>1</v>
      </c>
      <c r="O77">
        <f t="shared" si="12"/>
        <v>1</v>
      </c>
      <c r="P77">
        <f t="shared" si="13"/>
        <v>1</v>
      </c>
      <c r="Q77">
        <f t="shared" si="14"/>
        <v>0</v>
      </c>
      <c r="R77">
        <f t="shared" si="15"/>
        <v>1</v>
      </c>
      <c r="S77">
        <f t="shared" si="16"/>
        <v>1</v>
      </c>
    </row>
    <row r="78" spans="1:19" x14ac:dyDescent="0.3">
      <c r="A78">
        <v>325.5</v>
      </c>
      <c r="B78">
        <v>317.5</v>
      </c>
      <c r="C78">
        <v>315.02803421020502</v>
      </c>
      <c r="D78">
        <v>316.56133085489199</v>
      </c>
      <c r="E78">
        <v>316.97334986925102</v>
      </c>
      <c r="F78">
        <v>315.76171040534899</v>
      </c>
      <c r="G78">
        <v>316.44603455066601</v>
      </c>
      <c r="H78">
        <v>315.26780576705897</v>
      </c>
      <c r="I78">
        <v>322.73478031158402</v>
      </c>
      <c r="J78">
        <v>319.882167816162</v>
      </c>
      <c r="L78">
        <f t="shared" si="9"/>
        <v>0</v>
      </c>
      <c r="M78">
        <f t="shared" si="10"/>
        <v>0</v>
      </c>
      <c r="N78">
        <f t="shared" si="11"/>
        <v>0</v>
      </c>
      <c r="O78">
        <f t="shared" si="12"/>
        <v>0</v>
      </c>
      <c r="P78">
        <f t="shared" si="13"/>
        <v>0</v>
      </c>
      <c r="Q78">
        <f t="shared" si="14"/>
        <v>0</v>
      </c>
      <c r="R78">
        <f t="shared" si="15"/>
        <v>1</v>
      </c>
      <c r="S78">
        <f t="shared" si="16"/>
        <v>1</v>
      </c>
    </row>
    <row r="79" spans="1:19" x14ac:dyDescent="0.3">
      <c r="A79">
        <v>325.8</v>
      </c>
      <c r="B79">
        <v>318.05</v>
      </c>
      <c r="C79">
        <v>315.30202846527101</v>
      </c>
      <c r="D79">
        <v>314.70582442283597</v>
      </c>
      <c r="E79">
        <v>317.46345989704099</v>
      </c>
      <c r="F79">
        <v>315.43166189193698</v>
      </c>
      <c r="G79">
        <v>317.48450891971498</v>
      </c>
      <c r="H79">
        <v>316.83925830125798</v>
      </c>
      <c r="I79">
        <v>321.29226546287498</v>
      </c>
      <c r="J79">
        <v>318.93266324996898</v>
      </c>
      <c r="L79">
        <f t="shared" si="9"/>
        <v>0</v>
      </c>
      <c r="M79">
        <f t="shared" si="10"/>
        <v>0</v>
      </c>
      <c r="N79">
        <f t="shared" si="11"/>
        <v>0</v>
      </c>
      <c r="O79">
        <f t="shared" si="12"/>
        <v>0</v>
      </c>
      <c r="P79">
        <f t="shared" si="13"/>
        <v>0</v>
      </c>
      <c r="Q79">
        <f t="shared" si="14"/>
        <v>0</v>
      </c>
      <c r="R79">
        <f t="shared" si="15"/>
        <v>1</v>
      </c>
      <c r="S79">
        <f t="shared" si="16"/>
        <v>1</v>
      </c>
    </row>
    <row r="80" spans="1:19" x14ac:dyDescent="0.3">
      <c r="A80">
        <v>325.85000009536702</v>
      </c>
      <c r="B80">
        <v>318.7</v>
      </c>
      <c r="C80">
        <v>316.45599884986802</v>
      </c>
      <c r="D80">
        <v>317.17430956363597</v>
      </c>
      <c r="E80">
        <v>318.18177462816197</v>
      </c>
      <c r="F80">
        <v>318.85542232990201</v>
      </c>
      <c r="G80">
        <v>319.801171135902</v>
      </c>
      <c r="H80">
        <v>313.91284053325597</v>
      </c>
      <c r="I80">
        <v>323.38628025054902</v>
      </c>
      <c r="J80">
        <v>320.07595009803703</v>
      </c>
      <c r="L80">
        <f t="shared" si="9"/>
        <v>0</v>
      </c>
      <c r="M80">
        <f t="shared" si="10"/>
        <v>0</v>
      </c>
      <c r="N80">
        <f t="shared" si="11"/>
        <v>0</v>
      </c>
      <c r="O80">
        <f t="shared" si="12"/>
        <v>1</v>
      </c>
      <c r="P80">
        <f t="shared" si="13"/>
        <v>1</v>
      </c>
      <c r="Q80">
        <f t="shared" si="14"/>
        <v>0</v>
      </c>
      <c r="R80">
        <f t="shared" si="15"/>
        <v>1</v>
      </c>
      <c r="S80">
        <f t="shared" si="16"/>
        <v>1</v>
      </c>
    </row>
    <row r="81" spans="1:19" x14ac:dyDescent="0.3">
      <c r="A81">
        <v>324.10000000000002</v>
      </c>
      <c r="B81">
        <v>319.60000000000002</v>
      </c>
      <c r="C81">
        <v>318.968640899658</v>
      </c>
      <c r="D81">
        <v>318.67098877429902</v>
      </c>
      <c r="E81">
        <v>319.61657931506602</v>
      </c>
      <c r="F81">
        <v>319.76333124041503</v>
      </c>
      <c r="G81">
        <v>320.98643550872799</v>
      </c>
      <c r="H81">
        <v>320.69831066131502</v>
      </c>
      <c r="I81">
        <v>323.24280676841698</v>
      </c>
      <c r="J81">
        <v>320.51239845752701</v>
      </c>
      <c r="L81">
        <f t="shared" si="9"/>
        <v>0</v>
      </c>
      <c r="M81">
        <f t="shared" si="10"/>
        <v>0</v>
      </c>
      <c r="N81">
        <f t="shared" si="11"/>
        <v>1</v>
      </c>
      <c r="O81">
        <f t="shared" si="12"/>
        <v>1</v>
      </c>
      <c r="P81">
        <f t="shared" si="13"/>
        <v>1</v>
      </c>
      <c r="Q81">
        <f t="shared" si="14"/>
        <v>1</v>
      </c>
      <c r="R81">
        <f t="shared" si="15"/>
        <v>1</v>
      </c>
      <c r="S81">
        <f t="shared" si="16"/>
        <v>1</v>
      </c>
    </row>
    <row r="82" spans="1:19" x14ac:dyDescent="0.3">
      <c r="A82">
        <v>326.250000095367</v>
      </c>
      <c r="B82">
        <v>321.10000000000002</v>
      </c>
      <c r="C82">
        <v>317.94976530075002</v>
      </c>
      <c r="D82">
        <v>318.38224539756698</v>
      </c>
      <c r="E82">
        <v>321.40400657653799</v>
      </c>
      <c r="F82">
        <v>315.21229133605902</v>
      </c>
      <c r="G82">
        <v>321.92915389537802</v>
      </c>
      <c r="H82">
        <v>318.80570507049498</v>
      </c>
      <c r="I82">
        <v>320.93373349904999</v>
      </c>
      <c r="J82">
        <v>320.18417254686301</v>
      </c>
      <c r="L82">
        <f t="shared" si="9"/>
        <v>0</v>
      </c>
      <c r="M82">
        <f t="shared" si="10"/>
        <v>0</v>
      </c>
      <c r="N82">
        <f t="shared" si="11"/>
        <v>1</v>
      </c>
      <c r="O82">
        <f t="shared" si="12"/>
        <v>0</v>
      </c>
      <c r="P82">
        <f t="shared" si="13"/>
        <v>1</v>
      </c>
      <c r="Q82">
        <f t="shared" si="14"/>
        <v>0</v>
      </c>
      <c r="R82">
        <f t="shared" si="15"/>
        <v>0</v>
      </c>
      <c r="S82">
        <f t="shared" si="16"/>
        <v>0</v>
      </c>
    </row>
    <row r="83" spans="1:19" x14ac:dyDescent="0.3">
      <c r="A83">
        <v>327.05000019073401</v>
      </c>
      <c r="B83">
        <v>321.25</v>
      </c>
      <c r="C83">
        <v>318.70404267311</v>
      </c>
      <c r="D83">
        <v>318.77125048637299</v>
      </c>
      <c r="E83">
        <v>322.26292741298602</v>
      </c>
      <c r="F83">
        <v>318.42277431487997</v>
      </c>
      <c r="G83">
        <v>320.26836419105501</v>
      </c>
      <c r="H83">
        <v>319.12251501083301</v>
      </c>
      <c r="I83">
        <v>321.95378547906802</v>
      </c>
      <c r="J83">
        <v>321.57064485549898</v>
      </c>
      <c r="L83">
        <f t="shared" si="9"/>
        <v>0</v>
      </c>
      <c r="M83">
        <f t="shared" si="10"/>
        <v>0</v>
      </c>
      <c r="N83">
        <f t="shared" si="11"/>
        <v>1</v>
      </c>
      <c r="O83">
        <f t="shared" si="12"/>
        <v>0</v>
      </c>
      <c r="P83">
        <f t="shared" si="13"/>
        <v>0</v>
      </c>
      <c r="Q83">
        <f t="shared" si="14"/>
        <v>0</v>
      </c>
      <c r="R83">
        <f t="shared" si="15"/>
        <v>1</v>
      </c>
      <c r="S83">
        <f t="shared" si="16"/>
        <v>1</v>
      </c>
    </row>
    <row r="84" spans="1:19" x14ac:dyDescent="0.3">
      <c r="A84">
        <v>326.55000009536701</v>
      </c>
      <c r="B84">
        <v>319.64999999999998</v>
      </c>
      <c r="C84">
        <v>320.93770124912197</v>
      </c>
      <c r="D84">
        <v>321.55239703655201</v>
      </c>
      <c r="E84">
        <v>323.77809848785398</v>
      </c>
      <c r="F84">
        <v>322.03754272460901</v>
      </c>
      <c r="G84">
        <v>323.19400062560999</v>
      </c>
      <c r="H84">
        <v>317.38371782302801</v>
      </c>
      <c r="I84">
        <v>319.32460459470701</v>
      </c>
      <c r="J84">
        <v>324.32507266998198</v>
      </c>
      <c r="L84">
        <f t="shared" si="9"/>
        <v>1</v>
      </c>
      <c r="M84">
        <f t="shared" si="10"/>
        <v>1</v>
      </c>
      <c r="N84">
        <f t="shared" si="11"/>
        <v>1</v>
      </c>
      <c r="O84">
        <f t="shared" si="12"/>
        <v>1</v>
      </c>
      <c r="P84">
        <f t="shared" si="13"/>
        <v>1</v>
      </c>
      <c r="Q84">
        <f t="shared" si="14"/>
        <v>0</v>
      </c>
      <c r="R84">
        <f t="shared" si="15"/>
        <v>0</v>
      </c>
      <c r="S84">
        <f t="shared" si="16"/>
        <v>1</v>
      </c>
    </row>
    <row r="85" spans="1:19" x14ac:dyDescent="0.3">
      <c r="A85">
        <v>326.750000190734</v>
      </c>
      <c r="B85">
        <v>318.95</v>
      </c>
      <c r="C85">
        <v>317.65140182971902</v>
      </c>
      <c r="D85">
        <v>318.41961367130199</v>
      </c>
      <c r="E85">
        <v>322.44583721160802</v>
      </c>
      <c r="F85">
        <v>321.87984390258703</v>
      </c>
      <c r="G85">
        <v>323.82460994720401</v>
      </c>
      <c r="H85">
        <v>319.00623788833599</v>
      </c>
      <c r="I85">
        <v>318.63484807014402</v>
      </c>
      <c r="J85">
        <v>321.51985616683902</v>
      </c>
      <c r="L85">
        <f t="shared" si="9"/>
        <v>0</v>
      </c>
      <c r="M85">
        <f t="shared" si="10"/>
        <v>0</v>
      </c>
      <c r="N85">
        <f t="shared" si="11"/>
        <v>1</v>
      </c>
      <c r="O85">
        <f t="shared" si="12"/>
        <v>1</v>
      </c>
      <c r="P85">
        <f t="shared" si="13"/>
        <v>1</v>
      </c>
      <c r="Q85">
        <f t="shared" si="14"/>
        <v>1</v>
      </c>
      <c r="R85">
        <f t="shared" si="15"/>
        <v>0</v>
      </c>
      <c r="S85">
        <f t="shared" si="16"/>
        <v>1</v>
      </c>
    </row>
    <row r="86" spans="1:19" x14ac:dyDescent="0.3">
      <c r="A86">
        <v>323.750000095367</v>
      </c>
      <c r="B86">
        <v>319.85000000000002</v>
      </c>
      <c r="C86">
        <v>320.72160277366601</v>
      </c>
      <c r="D86">
        <v>320.09889160692597</v>
      </c>
      <c r="E86">
        <v>325.67650566101003</v>
      </c>
      <c r="F86">
        <v>326.464317417144</v>
      </c>
      <c r="G86">
        <v>326.763974761962</v>
      </c>
      <c r="H86">
        <v>319.63310489654498</v>
      </c>
      <c r="I86">
        <v>321.01500985622403</v>
      </c>
      <c r="J86">
        <v>321.69999644756302</v>
      </c>
      <c r="L86">
        <f t="shared" si="9"/>
        <v>1</v>
      </c>
      <c r="M86">
        <f t="shared" si="10"/>
        <v>1</v>
      </c>
      <c r="N86">
        <f t="shared" si="11"/>
        <v>1</v>
      </c>
      <c r="O86">
        <f t="shared" si="12"/>
        <v>1</v>
      </c>
      <c r="P86">
        <f t="shared" si="13"/>
        <v>1</v>
      </c>
      <c r="Q86">
        <f t="shared" si="14"/>
        <v>0</v>
      </c>
      <c r="R86">
        <f t="shared" si="15"/>
        <v>1</v>
      </c>
      <c r="S86">
        <f t="shared" si="16"/>
        <v>1</v>
      </c>
    </row>
    <row r="87" spans="1:19" x14ac:dyDescent="0.3">
      <c r="A87">
        <v>326.85000019073402</v>
      </c>
      <c r="B87">
        <v>312.55</v>
      </c>
      <c r="C87">
        <v>315.804713535308</v>
      </c>
      <c r="D87">
        <v>315.29992728233299</v>
      </c>
      <c r="E87">
        <v>319.21045570373502</v>
      </c>
      <c r="F87">
        <v>318.99054031371998</v>
      </c>
      <c r="G87">
        <v>317.89739971160799</v>
      </c>
      <c r="H87">
        <v>313.96210913658098</v>
      </c>
      <c r="I87">
        <v>316.62879066467201</v>
      </c>
      <c r="J87">
        <v>315.935888338089</v>
      </c>
      <c r="L87">
        <f t="shared" si="9"/>
        <v>1</v>
      </c>
      <c r="M87">
        <f t="shared" si="10"/>
        <v>1</v>
      </c>
      <c r="N87">
        <f t="shared" si="11"/>
        <v>1</v>
      </c>
      <c r="O87">
        <f t="shared" si="12"/>
        <v>1</v>
      </c>
      <c r="P87">
        <f t="shared" si="13"/>
        <v>1</v>
      </c>
      <c r="Q87">
        <f t="shared" si="14"/>
        <v>1</v>
      </c>
      <c r="R87">
        <f t="shared" si="15"/>
        <v>1</v>
      </c>
      <c r="S87">
        <f t="shared" si="16"/>
        <v>1</v>
      </c>
    </row>
    <row r="88" spans="1:19" x14ac:dyDescent="0.3">
      <c r="A88">
        <v>327.44999961853</v>
      </c>
      <c r="B88">
        <v>313.55</v>
      </c>
      <c r="C88">
        <v>312.84347121715501</v>
      </c>
      <c r="D88">
        <v>311.44218878746</v>
      </c>
      <c r="E88">
        <v>313.90026824474302</v>
      </c>
      <c r="F88">
        <v>314.37612699270198</v>
      </c>
      <c r="G88">
        <v>316.67401366233798</v>
      </c>
      <c r="H88">
        <v>313.92678682804097</v>
      </c>
      <c r="I88">
        <v>317.28038697242698</v>
      </c>
      <c r="J88">
        <v>313.94978551864602</v>
      </c>
      <c r="L88">
        <f t="shared" si="9"/>
        <v>0</v>
      </c>
      <c r="M88">
        <f t="shared" si="10"/>
        <v>0</v>
      </c>
      <c r="N88">
        <f t="shared" si="11"/>
        <v>1</v>
      </c>
      <c r="O88">
        <f t="shared" si="12"/>
        <v>1</v>
      </c>
      <c r="P88">
        <f t="shared" si="13"/>
        <v>1</v>
      </c>
      <c r="Q88">
        <f t="shared" si="14"/>
        <v>1</v>
      </c>
      <c r="R88">
        <f t="shared" si="15"/>
        <v>1</v>
      </c>
      <c r="S88">
        <f t="shared" si="16"/>
        <v>1</v>
      </c>
    </row>
    <row r="89" spans="1:19" x14ac:dyDescent="0.3">
      <c r="A89">
        <v>331.05</v>
      </c>
      <c r="B89">
        <v>316.55</v>
      </c>
      <c r="C89">
        <v>315.884567189216</v>
      </c>
      <c r="D89">
        <v>313.74687199592501</v>
      </c>
      <c r="E89">
        <v>317.29388581514303</v>
      </c>
      <c r="F89">
        <v>317.55538241863201</v>
      </c>
      <c r="G89">
        <v>318.12697463035499</v>
      </c>
      <c r="H89">
        <v>315.30500988960199</v>
      </c>
      <c r="I89">
        <v>317.10002337694101</v>
      </c>
      <c r="J89">
        <v>317.80954198837202</v>
      </c>
      <c r="L89">
        <f t="shared" si="9"/>
        <v>0</v>
      </c>
      <c r="M89">
        <f t="shared" si="10"/>
        <v>0</v>
      </c>
      <c r="N89">
        <f t="shared" si="11"/>
        <v>1</v>
      </c>
      <c r="O89">
        <f t="shared" si="12"/>
        <v>1</v>
      </c>
      <c r="P89">
        <f t="shared" si="13"/>
        <v>1</v>
      </c>
      <c r="Q89">
        <f t="shared" si="14"/>
        <v>0</v>
      </c>
      <c r="R89">
        <f t="shared" si="15"/>
        <v>1</v>
      </c>
      <c r="S89">
        <f t="shared" si="16"/>
        <v>1</v>
      </c>
    </row>
    <row r="90" spans="1:19" x14ac:dyDescent="0.3">
      <c r="A90">
        <v>336.54999961853002</v>
      </c>
      <c r="B90">
        <v>317.14999999999998</v>
      </c>
      <c r="C90">
        <v>315.187799954414</v>
      </c>
      <c r="D90">
        <v>316.07712831497099</v>
      </c>
      <c r="E90">
        <v>318.02319451570497</v>
      </c>
      <c r="F90">
        <v>318.18138291835697</v>
      </c>
      <c r="G90">
        <v>317.72995712757103</v>
      </c>
      <c r="H90">
        <v>313.12674658298403</v>
      </c>
      <c r="I90">
        <v>312.92866172790502</v>
      </c>
      <c r="J90">
        <v>318.24168410301201</v>
      </c>
      <c r="L90">
        <f t="shared" si="9"/>
        <v>0</v>
      </c>
      <c r="M90">
        <f t="shared" si="10"/>
        <v>0</v>
      </c>
      <c r="N90">
        <f t="shared" si="11"/>
        <v>1</v>
      </c>
      <c r="O90">
        <f t="shared" si="12"/>
        <v>1</v>
      </c>
      <c r="P90">
        <f t="shared" si="13"/>
        <v>1</v>
      </c>
      <c r="Q90">
        <f t="shared" si="14"/>
        <v>0</v>
      </c>
      <c r="R90">
        <f t="shared" si="15"/>
        <v>0</v>
      </c>
      <c r="S90">
        <f t="shared" si="16"/>
        <v>1</v>
      </c>
    </row>
    <row r="91" spans="1:19" x14ac:dyDescent="0.3">
      <c r="A91">
        <v>335.04999961853002</v>
      </c>
      <c r="B91">
        <v>311.64999999999998</v>
      </c>
      <c r="C91">
        <v>315.74327697753898</v>
      </c>
      <c r="D91">
        <v>312.05420234203302</v>
      </c>
      <c r="E91">
        <v>314.589909219741</v>
      </c>
      <c r="F91">
        <v>317.48442401885899</v>
      </c>
      <c r="G91">
        <v>315.27565517425501</v>
      </c>
      <c r="H91">
        <v>314.166692587733</v>
      </c>
      <c r="I91">
        <v>313.08468749523098</v>
      </c>
      <c r="J91">
        <v>317.59404458999597</v>
      </c>
      <c r="L91">
        <f t="shared" si="9"/>
        <v>1</v>
      </c>
      <c r="M91">
        <f t="shared" si="10"/>
        <v>1</v>
      </c>
      <c r="N91">
        <f t="shared" si="11"/>
        <v>1</v>
      </c>
      <c r="O91">
        <f t="shared" si="12"/>
        <v>1</v>
      </c>
      <c r="P91">
        <f t="shared" si="13"/>
        <v>1</v>
      </c>
      <c r="Q91">
        <f t="shared" si="14"/>
        <v>1</v>
      </c>
      <c r="R91">
        <f t="shared" si="15"/>
        <v>1</v>
      </c>
      <c r="S91">
        <f t="shared" si="16"/>
        <v>1</v>
      </c>
    </row>
    <row r="92" spans="1:19" x14ac:dyDescent="0.3">
      <c r="A92">
        <v>336.35</v>
      </c>
      <c r="B92">
        <v>312.85000000000002</v>
      </c>
      <c r="C92">
        <v>313.57667789459202</v>
      </c>
      <c r="D92">
        <v>312.71212787032101</v>
      </c>
      <c r="E92">
        <v>314.57579073905902</v>
      </c>
      <c r="F92">
        <v>316.426470375061</v>
      </c>
      <c r="G92">
        <v>312.27359507083798</v>
      </c>
      <c r="H92">
        <v>316.185228514671</v>
      </c>
      <c r="I92">
        <v>310.07512269019998</v>
      </c>
      <c r="J92">
        <v>316.05870995521502</v>
      </c>
      <c r="L92">
        <f t="shared" si="9"/>
        <v>1</v>
      </c>
      <c r="M92">
        <f t="shared" si="10"/>
        <v>0</v>
      </c>
      <c r="N92">
        <f t="shared" si="11"/>
        <v>1</v>
      </c>
      <c r="O92">
        <f t="shared" si="12"/>
        <v>1</v>
      </c>
      <c r="P92">
        <f t="shared" si="13"/>
        <v>0</v>
      </c>
      <c r="Q92">
        <f t="shared" si="14"/>
        <v>1</v>
      </c>
      <c r="R92">
        <f t="shared" si="15"/>
        <v>0</v>
      </c>
      <c r="S92">
        <f t="shared" si="16"/>
        <v>1</v>
      </c>
    </row>
    <row r="93" spans="1:19" x14ac:dyDescent="0.3">
      <c r="A93">
        <v>334.15</v>
      </c>
      <c r="B93">
        <v>312.89999999999998</v>
      </c>
      <c r="C93">
        <v>313.76905986070602</v>
      </c>
      <c r="D93">
        <v>312.88107766546301</v>
      </c>
      <c r="E93">
        <v>314.38657763004301</v>
      </c>
      <c r="F93">
        <v>315.20841302871702</v>
      </c>
      <c r="G93">
        <v>312.86300954371598</v>
      </c>
      <c r="H93">
        <v>314.57011704444801</v>
      </c>
      <c r="I93">
        <v>311.71527507305098</v>
      </c>
      <c r="J93">
        <v>314.06033196449198</v>
      </c>
      <c r="L93">
        <f t="shared" si="9"/>
        <v>1</v>
      </c>
      <c r="M93">
        <f t="shared" si="10"/>
        <v>0</v>
      </c>
      <c r="N93">
        <f t="shared" si="11"/>
        <v>1</v>
      </c>
      <c r="O93">
        <f t="shared" si="12"/>
        <v>1</v>
      </c>
      <c r="P93">
        <f t="shared" si="13"/>
        <v>0</v>
      </c>
      <c r="Q93">
        <f t="shared" si="14"/>
        <v>1</v>
      </c>
      <c r="R93">
        <f t="shared" si="15"/>
        <v>0</v>
      </c>
      <c r="S93">
        <f t="shared" si="16"/>
        <v>1</v>
      </c>
    </row>
    <row r="94" spans="1:19" x14ac:dyDescent="0.3">
      <c r="A94">
        <v>333.74999961853001</v>
      </c>
      <c r="B94">
        <v>312.85000000000002</v>
      </c>
      <c r="C94">
        <v>314.86467561721798</v>
      </c>
      <c r="D94">
        <v>314.850482082366</v>
      </c>
      <c r="E94">
        <v>316.46364483833298</v>
      </c>
      <c r="F94">
        <v>316.12484607696501</v>
      </c>
      <c r="G94">
        <v>314.38931844234401</v>
      </c>
      <c r="H94">
        <v>318.60426356792402</v>
      </c>
      <c r="I94">
        <v>314.55474851131402</v>
      </c>
      <c r="J94">
        <v>316.25332770347597</v>
      </c>
      <c r="L94">
        <f t="shared" si="9"/>
        <v>1</v>
      </c>
      <c r="M94">
        <f t="shared" si="10"/>
        <v>1</v>
      </c>
      <c r="N94">
        <f t="shared" si="11"/>
        <v>1</v>
      </c>
      <c r="O94">
        <f t="shared" si="12"/>
        <v>1</v>
      </c>
      <c r="P94">
        <f t="shared" si="13"/>
        <v>1</v>
      </c>
      <c r="Q94">
        <f t="shared" si="14"/>
        <v>1</v>
      </c>
      <c r="R94">
        <f t="shared" si="15"/>
        <v>1</v>
      </c>
      <c r="S94">
        <f t="shared" si="16"/>
        <v>1</v>
      </c>
    </row>
    <row r="95" spans="1:19" x14ac:dyDescent="0.3">
      <c r="A95">
        <v>335.25000038146902</v>
      </c>
      <c r="B95">
        <v>308.64999999999998</v>
      </c>
      <c r="C95">
        <v>311.21275129318201</v>
      </c>
      <c r="D95">
        <v>312.45138254165602</v>
      </c>
      <c r="E95">
        <v>316.73893489837599</v>
      </c>
      <c r="F95">
        <v>313.61704769134502</v>
      </c>
      <c r="G95">
        <v>313.34322729110698</v>
      </c>
      <c r="H95">
        <v>320.05893135070801</v>
      </c>
      <c r="I95">
        <v>312.76671829223602</v>
      </c>
      <c r="J95">
        <v>318.29655685424802</v>
      </c>
      <c r="L95">
        <f t="shared" si="9"/>
        <v>1</v>
      </c>
      <c r="M95">
        <f t="shared" si="10"/>
        <v>1</v>
      </c>
      <c r="N95">
        <f t="shared" si="11"/>
        <v>1</v>
      </c>
      <c r="O95">
        <f t="shared" si="12"/>
        <v>1</v>
      </c>
      <c r="P95">
        <f t="shared" si="13"/>
        <v>1</v>
      </c>
      <c r="Q95">
        <f t="shared" si="14"/>
        <v>1</v>
      </c>
      <c r="R95">
        <f t="shared" si="15"/>
        <v>1</v>
      </c>
      <c r="S95">
        <f t="shared" si="16"/>
        <v>1</v>
      </c>
    </row>
    <row r="96" spans="1:19" x14ac:dyDescent="0.3">
      <c r="A96">
        <v>333.64999961852999</v>
      </c>
      <c r="B96">
        <v>307.25</v>
      </c>
      <c r="C96">
        <v>309.14238941669402</v>
      </c>
      <c r="D96">
        <v>310.53665089607199</v>
      </c>
      <c r="E96">
        <v>317.81205081939697</v>
      </c>
      <c r="F96">
        <v>313.49093246459898</v>
      </c>
      <c r="G96">
        <v>312.47905921936001</v>
      </c>
      <c r="H96">
        <v>319.601779842376</v>
      </c>
      <c r="I96">
        <v>315.952081680297</v>
      </c>
      <c r="J96">
        <v>317.83168983459399</v>
      </c>
      <c r="L96">
        <f t="shared" si="9"/>
        <v>1</v>
      </c>
      <c r="M96">
        <f t="shared" si="10"/>
        <v>1</v>
      </c>
      <c r="N96">
        <f t="shared" si="11"/>
        <v>1</v>
      </c>
      <c r="O96">
        <f t="shared" si="12"/>
        <v>1</v>
      </c>
      <c r="P96">
        <f t="shared" si="13"/>
        <v>1</v>
      </c>
      <c r="Q96">
        <f t="shared" si="14"/>
        <v>1</v>
      </c>
      <c r="R96">
        <f t="shared" si="15"/>
        <v>1</v>
      </c>
      <c r="S96">
        <f t="shared" si="16"/>
        <v>1</v>
      </c>
    </row>
    <row r="97" spans="1:19" x14ac:dyDescent="0.3">
      <c r="A97">
        <v>332.89999961852999</v>
      </c>
      <c r="B97">
        <v>301.5</v>
      </c>
      <c r="C97">
        <v>305.47123098373402</v>
      </c>
      <c r="D97">
        <v>304.54080176353398</v>
      </c>
      <c r="E97">
        <v>311.556089401245</v>
      </c>
      <c r="F97">
        <v>309.20518159866299</v>
      </c>
      <c r="G97">
        <v>313.27202796936001</v>
      </c>
      <c r="H97">
        <v>324.07931976318298</v>
      </c>
      <c r="I97">
        <v>318.82069969177201</v>
      </c>
      <c r="J97">
        <v>315.01326847076399</v>
      </c>
      <c r="L97">
        <f t="shared" si="9"/>
        <v>1</v>
      </c>
      <c r="M97">
        <f t="shared" si="10"/>
        <v>1</v>
      </c>
      <c r="N97">
        <f t="shared" si="11"/>
        <v>1</v>
      </c>
      <c r="O97">
        <f t="shared" si="12"/>
        <v>1</v>
      </c>
      <c r="P97">
        <f t="shared" si="13"/>
        <v>1</v>
      </c>
      <c r="Q97">
        <f t="shared" si="14"/>
        <v>1</v>
      </c>
      <c r="R97">
        <f t="shared" si="15"/>
        <v>1</v>
      </c>
      <c r="S97">
        <f t="shared" si="16"/>
        <v>1</v>
      </c>
    </row>
    <row r="98" spans="1:19" x14ac:dyDescent="0.3">
      <c r="A98">
        <v>331.55000076293902</v>
      </c>
      <c r="B98">
        <v>304.60000000000002</v>
      </c>
      <c r="C98">
        <v>306.75288686752299</v>
      </c>
      <c r="D98">
        <v>309.30028638839701</v>
      </c>
      <c r="E98">
        <v>315.963847732543</v>
      </c>
      <c r="F98">
        <v>308.54904804229699</v>
      </c>
      <c r="G98">
        <v>311.57139358520499</v>
      </c>
      <c r="H98">
        <v>321.13851690292302</v>
      </c>
      <c r="I98">
        <v>321.672845458984</v>
      </c>
      <c r="J98">
        <v>317.99034271240203</v>
      </c>
      <c r="L98">
        <f t="shared" si="9"/>
        <v>1</v>
      </c>
      <c r="M98">
        <f t="shared" si="10"/>
        <v>1</v>
      </c>
      <c r="N98">
        <f t="shared" si="11"/>
        <v>1</v>
      </c>
      <c r="O98">
        <f t="shared" si="12"/>
        <v>1</v>
      </c>
      <c r="P98">
        <f t="shared" si="13"/>
        <v>1</v>
      </c>
      <c r="Q98">
        <f t="shared" si="14"/>
        <v>1</v>
      </c>
      <c r="R98">
        <f t="shared" si="15"/>
        <v>1</v>
      </c>
      <c r="S98">
        <f t="shared" si="16"/>
        <v>1</v>
      </c>
    </row>
    <row r="99" spans="1:19" x14ac:dyDescent="0.3">
      <c r="A99">
        <v>331.30000076293902</v>
      </c>
      <c r="B99">
        <v>304.60000000000002</v>
      </c>
      <c r="C99">
        <v>307.63943157196002</v>
      </c>
      <c r="D99">
        <v>310.06470022201501</v>
      </c>
      <c r="E99">
        <v>315.30806694030701</v>
      </c>
      <c r="F99">
        <v>309.35296974182103</v>
      </c>
      <c r="G99">
        <v>312.21730957031201</v>
      </c>
      <c r="H99">
        <v>326.82004837989803</v>
      </c>
      <c r="I99">
        <v>317.26780567169101</v>
      </c>
      <c r="J99">
        <v>318.675387001037</v>
      </c>
      <c r="L99">
        <f t="shared" si="9"/>
        <v>1</v>
      </c>
      <c r="M99">
        <f t="shared" si="10"/>
        <v>1</v>
      </c>
      <c r="N99">
        <f t="shared" si="11"/>
        <v>1</v>
      </c>
      <c r="O99">
        <f t="shared" si="12"/>
        <v>1</v>
      </c>
      <c r="P99">
        <f t="shared" si="13"/>
        <v>1</v>
      </c>
      <c r="Q99">
        <f t="shared" si="14"/>
        <v>1</v>
      </c>
      <c r="R99">
        <f t="shared" si="15"/>
        <v>1</v>
      </c>
      <c r="S99">
        <f t="shared" si="16"/>
        <v>1</v>
      </c>
    </row>
    <row r="100" spans="1:19" x14ac:dyDescent="0.3">
      <c r="A100">
        <v>329.14999961852999</v>
      </c>
      <c r="B100">
        <v>306.25</v>
      </c>
      <c r="C100">
        <v>310.97911977767899</v>
      </c>
      <c r="D100">
        <v>310.43065118789599</v>
      </c>
      <c r="E100">
        <v>316.20427131652798</v>
      </c>
      <c r="F100">
        <v>310.40711307525601</v>
      </c>
      <c r="G100">
        <v>315.500409126281</v>
      </c>
      <c r="H100">
        <v>329.86481103897</v>
      </c>
      <c r="I100">
        <v>321.84942340850802</v>
      </c>
      <c r="J100">
        <v>323.130689620971</v>
      </c>
      <c r="L100">
        <f t="shared" si="9"/>
        <v>1</v>
      </c>
      <c r="M100">
        <f t="shared" si="10"/>
        <v>1</v>
      </c>
      <c r="N100">
        <f t="shared" si="11"/>
        <v>1</v>
      </c>
      <c r="O100">
        <f t="shared" si="12"/>
        <v>1</v>
      </c>
      <c r="P100">
        <f t="shared" si="13"/>
        <v>1</v>
      </c>
      <c r="Q100">
        <f t="shared" si="14"/>
        <v>1</v>
      </c>
      <c r="R100">
        <f t="shared" si="15"/>
        <v>1</v>
      </c>
      <c r="S100">
        <f t="shared" si="16"/>
        <v>1</v>
      </c>
    </row>
    <row r="101" spans="1:19" x14ac:dyDescent="0.3">
      <c r="A101">
        <v>331.29999961853002</v>
      </c>
      <c r="B101">
        <v>307.89999999999998</v>
      </c>
      <c r="C101">
        <v>311.45308485031097</v>
      </c>
      <c r="D101">
        <v>310.63493552207899</v>
      </c>
      <c r="E101">
        <v>317.10212936401302</v>
      </c>
      <c r="F101">
        <v>314.13518276214597</v>
      </c>
      <c r="G101">
        <v>318.796184921264</v>
      </c>
      <c r="H101">
        <v>329.40915832519499</v>
      </c>
      <c r="I101">
        <v>320.64067020416201</v>
      </c>
      <c r="J101">
        <v>321.883459472656</v>
      </c>
      <c r="L101">
        <f t="shared" si="9"/>
        <v>1</v>
      </c>
      <c r="M101">
        <f t="shared" si="10"/>
        <v>1</v>
      </c>
      <c r="N101">
        <f t="shared" si="11"/>
        <v>1</v>
      </c>
      <c r="O101">
        <f t="shared" si="12"/>
        <v>1</v>
      </c>
      <c r="P101">
        <f t="shared" si="13"/>
        <v>1</v>
      </c>
      <c r="Q101">
        <f t="shared" si="14"/>
        <v>1</v>
      </c>
      <c r="R101">
        <f t="shared" si="15"/>
        <v>1</v>
      </c>
      <c r="S101">
        <f t="shared" si="16"/>
        <v>1</v>
      </c>
    </row>
    <row r="102" spans="1:19" x14ac:dyDescent="0.3">
      <c r="A102">
        <v>330.950000762939</v>
      </c>
      <c r="B102">
        <v>307.75</v>
      </c>
      <c r="C102">
        <v>310.87405252456603</v>
      </c>
      <c r="D102">
        <v>311.18472266197199</v>
      </c>
      <c r="E102">
        <v>315.29203271865799</v>
      </c>
      <c r="F102">
        <v>311.94345188140801</v>
      </c>
      <c r="G102">
        <v>317.57485294342001</v>
      </c>
      <c r="H102">
        <v>331.08974695205598</v>
      </c>
      <c r="I102">
        <v>316.687830924987</v>
      </c>
      <c r="J102">
        <v>319.37958145141602</v>
      </c>
      <c r="L102">
        <f t="shared" si="9"/>
        <v>1</v>
      </c>
      <c r="M102">
        <f t="shared" si="10"/>
        <v>1</v>
      </c>
      <c r="N102">
        <f t="shared" si="11"/>
        <v>1</v>
      </c>
      <c r="O102">
        <f t="shared" si="12"/>
        <v>1</v>
      </c>
      <c r="P102">
        <f t="shared" si="13"/>
        <v>1</v>
      </c>
      <c r="Q102">
        <f t="shared" si="14"/>
        <v>1</v>
      </c>
      <c r="R102">
        <f t="shared" si="15"/>
        <v>1</v>
      </c>
      <c r="S102">
        <f t="shared" si="16"/>
        <v>1</v>
      </c>
    </row>
    <row r="103" spans="1:19" x14ac:dyDescent="0.3">
      <c r="A103">
        <v>329.44999961853</v>
      </c>
      <c r="B103">
        <v>307.05</v>
      </c>
      <c r="C103">
        <v>309.50495271682701</v>
      </c>
      <c r="D103">
        <v>309.97026209831199</v>
      </c>
      <c r="E103">
        <v>318.034807014465</v>
      </c>
      <c r="F103">
        <v>312.89248638152998</v>
      </c>
      <c r="G103">
        <v>315.65208606719898</v>
      </c>
      <c r="H103">
        <v>325.31955521106698</v>
      </c>
      <c r="I103">
        <v>316.32641677856401</v>
      </c>
      <c r="J103">
        <v>322.524666595459</v>
      </c>
      <c r="L103">
        <f t="shared" si="9"/>
        <v>1</v>
      </c>
      <c r="M103">
        <f t="shared" si="10"/>
        <v>1</v>
      </c>
      <c r="N103">
        <f t="shared" si="11"/>
        <v>1</v>
      </c>
      <c r="O103">
        <f t="shared" si="12"/>
        <v>1</v>
      </c>
      <c r="P103">
        <f t="shared" si="13"/>
        <v>1</v>
      </c>
      <c r="Q103">
        <f t="shared" si="14"/>
        <v>1</v>
      </c>
      <c r="R103">
        <f t="shared" si="15"/>
        <v>1</v>
      </c>
      <c r="S103">
        <f t="shared" si="16"/>
        <v>1</v>
      </c>
    </row>
    <row r="104" spans="1:19" x14ac:dyDescent="0.3">
      <c r="A104">
        <v>330.84999961852998</v>
      </c>
      <c r="B104">
        <v>308.7</v>
      </c>
      <c r="C104">
        <v>311.53242988586402</v>
      </c>
      <c r="D104">
        <v>311.94586629867501</v>
      </c>
      <c r="E104">
        <v>321.30996246337799</v>
      </c>
      <c r="F104">
        <v>316.75320358276298</v>
      </c>
      <c r="G104">
        <v>318.959243965148</v>
      </c>
      <c r="H104">
        <v>327.43178157806398</v>
      </c>
      <c r="I104">
        <v>314.21911783218297</v>
      </c>
      <c r="J104">
        <v>322.77853507995599</v>
      </c>
      <c r="L104">
        <f t="shared" si="9"/>
        <v>1</v>
      </c>
      <c r="M104">
        <f t="shared" si="10"/>
        <v>1</v>
      </c>
      <c r="N104">
        <f t="shared" si="11"/>
        <v>1</v>
      </c>
      <c r="O104">
        <f t="shared" si="12"/>
        <v>1</v>
      </c>
      <c r="P104">
        <f t="shared" si="13"/>
        <v>1</v>
      </c>
      <c r="Q104">
        <f t="shared" si="14"/>
        <v>1</v>
      </c>
      <c r="R104">
        <f t="shared" si="15"/>
        <v>1</v>
      </c>
      <c r="S104">
        <f t="shared" si="16"/>
        <v>1</v>
      </c>
    </row>
    <row r="105" spans="1:19" x14ac:dyDescent="0.3">
      <c r="A105">
        <v>332.55000076293902</v>
      </c>
      <c r="B105">
        <v>308.60000000000002</v>
      </c>
      <c r="C105">
        <v>313.57342157363797</v>
      </c>
      <c r="D105">
        <v>313.16033182144099</v>
      </c>
      <c r="E105">
        <v>319.11231002807602</v>
      </c>
      <c r="F105">
        <v>318.70338592529299</v>
      </c>
      <c r="G105">
        <v>319.25366649627603</v>
      </c>
      <c r="H105">
        <v>324.27700328826899</v>
      </c>
      <c r="I105">
        <v>314.10617599487301</v>
      </c>
      <c r="J105">
        <v>322.31852016448897</v>
      </c>
      <c r="L105">
        <f t="shared" si="9"/>
        <v>1</v>
      </c>
      <c r="M105">
        <f t="shared" si="10"/>
        <v>1</v>
      </c>
      <c r="N105">
        <f t="shared" si="11"/>
        <v>1</v>
      </c>
      <c r="O105">
        <f t="shared" si="12"/>
        <v>1</v>
      </c>
      <c r="P105">
        <f t="shared" si="13"/>
        <v>1</v>
      </c>
      <c r="Q105">
        <f t="shared" si="14"/>
        <v>1</v>
      </c>
      <c r="R105">
        <f t="shared" si="15"/>
        <v>1</v>
      </c>
      <c r="S105">
        <f t="shared" si="16"/>
        <v>1</v>
      </c>
    </row>
    <row r="106" spans="1:19" x14ac:dyDescent="0.3">
      <c r="A106">
        <v>331.45000038146901</v>
      </c>
      <c r="B106">
        <v>310.10000000000002</v>
      </c>
      <c r="C106">
        <v>311.473557448387</v>
      </c>
      <c r="D106">
        <v>314.68072042465201</v>
      </c>
      <c r="E106">
        <v>320.78476676940898</v>
      </c>
      <c r="F106">
        <v>320.32202301025302</v>
      </c>
      <c r="G106">
        <v>320.83376941680899</v>
      </c>
      <c r="H106">
        <v>325.23247516155197</v>
      </c>
      <c r="I106">
        <v>315.92183122634799</v>
      </c>
      <c r="J106">
        <v>318.08728561401301</v>
      </c>
      <c r="L106">
        <f t="shared" si="9"/>
        <v>1</v>
      </c>
      <c r="M106">
        <f t="shared" si="10"/>
        <v>1</v>
      </c>
      <c r="N106">
        <f t="shared" si="11"/>
        <v>1</v>
      </c>
      <c r="O106">
        <f t="shared" si="12"/>
        <v>1</v>
      </c>
      <c r="P106">
        <f t="shared" si="13"/>
        <v>1</v>
      </c>
      <c r="Q106">
        <f t="shared" si="14"/>
        <v>1</v>
      </c>
      <c r="R106">
        <f t="shared" si="15"/>
        <v>1</v>
      </c>
      <c r="S106">
        <f t="shared" si="16"/>
        <v>1</v>
      </c>
    </row>
    <row r="107" spans="1:19" x14ac:dyDescent="0.3">
      <c r="A107">
        <v>332.25</v>
      </c>
      <c r="B107">
        <v>310.25</v>
      </c>
      <c r="C107">
        <v>311.547571063041</v>
      </c>
      <c r="D107">
        <v>312.72261404991099</v>
      </c>
      <c r="E107">
        <v>320.33316707610999</v>
      </c>
      <c r="F107">
        <v>317.32369947433398</v>
      </c>
      <c r="G107">
        <v>317.95787048339798</v>
      </c>
      <c r="H107">
        <v>329.14473614692599</v>
      </c>
      <c r="I107">
        <v>314.42940807342501</v>
      </c>
      <c r="J107">
        <v>316.61053848266602</v>
      </c>
      <c r="L107">
        <f t="shared" si="9"/>
        <v>1</v>
      </c>
      <c r="M107">
        <f t="shared" si="10"/>
        <v>1</v>
      </c>
      <c r="N107">
        <f t="shared" si="11"/>
        <v>1</v>
      </c>
      <c r="O107">
        <f t="shared" si="12"/>
        <v>1</v>
      </c>
      <c r="P107">
        <f t="shared" si="13"/>
        <v>1</v>
      </c>
      <c r="Q107">
        <f t="shared" si="14"/>
        <v>1</v>
      </c>
      <c r="R107">
        <f t="shared" si="15"/>
        <v>1</v>
      </c>
      <c r="S107">
        <f t="shared" si="16"/>
        <v>1</v>
      </c>
    </row>
    <row r="108" spans="1:19" x14ac:dyDescent="0.3">
      <c r="A108">
        <v>325.90000076293899</v>
      </c>
      <c r="B108">
        <v>308.2</v>
      </c>
      <c r="C108">
        <v>308.64732785224902</v>
      </c>
      <c r="D108">
        <v>311.10882539749099</v>
      </c>
      <c r="E108">
        <v>316.91468544006301</v>
      </c>
      <c r="F108">
        <v>312.93693609237602</v>
      </c>
      <c r="G108">
        <v>315.33901996612502</v>
      </c>
      <c r="H108">
        <v>324.87329263687099</v>
      </c>
      <c r="I108">
        <v>314.54074497222899</v>
      </c>
      <c r="J108">
        <v>311.09965438842698</v>
      </c>
      <c r="L108">
        <f t="shared" si="9"/>
        <v>1</v>
      </c>
      <c r="M108">
        <f t="shared" si="10"/>
        <v>1</v>
      </c>
      <c r="N108">
        <f t="shared" si="11"/>
        <v>1</v>
      </c>
      <c r="O108">
        <f t="shared" si="12"/>
        <v>1</v>
      </c>
      <c r="P108">
        <f t="shared" si="13"/>
        <v>1</v>
      </c>
      <c r="Q108">
        <f t="shared" si="14"/>
        <v>1</v>
      </c>
      <c r="R108">
        <f t="shared" si="15"/>
        <v>1</v>
      </c>
      <c r="S108">
        <f t="shared" si="16"/>
        <v>1</v>
      </c>
    </row>
    <row r="109" spans="1:19" x14ac:dyDescent="0.3">
      <c r="A109">
        <v>327.69999923706001</v>
      </c>
      <c r="B109">
        <v>307.14999999999998</v>
      </c>
      <c r="C109">
        <v>304.77199449539103</v>
      </c>
      <c r="D109">
        <v>304.52898349761898</v>
      </c>
      <c r="E109">
        <v>310.59715714454597</v>
      </c>
      <c r="F109">
        <v>315.57103004455502</v>
      </c>
      <c r="G109">
        <v>313.43847599029499</v>
      </c>
      <c r="H109">
        <v>328.76579742431602</v>
      </c>
      <c r="I109">
        <v>317.67396488189598</v>
      </c>
      <c r="J109">
        <v>308.72208466529798</v>
      </c>
      <c r="L109">
        <f t="shared" si="9"/>
        <v>0</v>
      </c>
      <c r="M109">
        <f t="shared" si="10"/>
        <v>0</v>
      </c>
      <c r="N109">
        <f t="shared" si="11"/>
        <v>1</v>
      </c>
      <c r="O109">
        <f t="shared" si="12"/>
        <v>1</v>
      </c>
      <c r="P109">
        <f t="shared" si="13"/>
        <v>1</v>
      </c>
      <c r="Q109">
        <f t="shared" si="14"/>
        <v>1</v>
      </c>
      <c r="R109">
        <f t="shared" si="15"/>
        <v>1</v>
      </c>
      <c r="S109">
        <f t="shared" si="16"/>
        <v>1</v>
      </c>
    </row>
    <row r="110" spans="1:19" x14ac:dyDescent="0.3">
      <c r="A110">
        <v>327.700000762939</v>
      </c>
      <c r="B110">
        <v>309</v>
      </c>
      <c r="C110">
        <v>304.47836446762</v>
      </c>
      <c r="D110">
        <v>307.72744870185801</v>
      </c>
      <c r="E110">
        <v>317.22481632232598</v>
      </c>
      <c r="F110">
        <v>314.98494243621798</v>
      </c>
      <c r="G110">
        <v>313.77307510375903</v>
      </c>
      <c r="H110">
        <v>335.13129680156698</v>
      </c>
      <c r="I110">
        <v>315.99307918548499</v>
      </c>
      <c r="J110">
        <v>313.51777219772299</v>
      </c>
      <c r="L110">
        <f t="shared" si="9"/>
        <v>0</v>
      </c>
      <c r="M110">
        <f t="shared" si="10"/>
        <v>0</v>
      </c>
      <c r="N110">
        <f t="shared" si="11"/>
        <v>1</v>
      </c>
      <c r="O110">
        <f t="shared" si="12"/>
        <v>1</v>
      </c>
      <c r="P110">
        <f t="shared" si="13"/>
        <v>1</v>
      </c>
      <c r="Q110">
        <f t="shared" si="14"/>
        <v>1</v>
      </c>
      <c r="R110">
        <f t="shared" si="15"/>
        <v>1</v>
      </c>
      <c r="S110">
        <f t="shared" si="16"/>
        <v>1</v>
      </c>
    </row>
    <row r="111" spans="1:19" x14ac:dyDescent="0.3">
      <c r="A111">
        <v>322.25000038146902</v>
      </c>
      <c r="B111">
        <v>306.64999999999998</v>
      </c>
      <c r="C111">
        <v>306.96775644421501</v>
      </c>
      <c r="D111">
        <v>308.74518122672998</v>
      </c>
      <c r="E111">
        <v>311.00807561874302</v>
      </c>
      <c r="F111">
        <v>311.34927501678402</v>
      </c>
      <c r="G111">
        <v>310.62268557548498</v>
      </c>
      <c r="H111">
        <v>334.03096740245797</v>
      </c>
      <c r="I111">
        <v>315.30801143646198</v>
      </c>
      <c r="J111">
        <v>311.440479183197</v>
      </c>
      <c r="L111">
        <f t="shared" si="9"/>
        <v>1</v>
      </c>
      <c r="M111">
        <f t="shared" si="10"/>
        <v>1</v>
      </c>
      <c r="N111">
        <f t="shared" si="11"/>
        <v>1</v>
      </c>
      <c r="O111">
        <f t="shared" si="12"/>
        <v>1</v>
      </c>
      <c r="P111">
        <f t="shared" si="13"/>
        <v>1</v>
      </c>
      <c r="Q111">
        <f t="shared" si="14"/>
        <v>1</v>
      </c>
      <c r="R111">
        <f t="shared" si="15"/>
        <v>1</v>
      </c>
      <c r="S111">
        <f t="shared" si="16"/>
        <v>1</v>
      </c>
    </row>
    <row r="112" spans="1:19" x14ac:dyDescent="0.3">
      <c r="A112">
        <v>321.85000019073402</v>
      </c>
      <c r="B112">
        <v>306.3</v>
      </c>
      <c r="C112">
        <v>307.350257086753</v>
      </c>
      <c r="D112">
        <v>308.43838982582002</v>
      </c>
      <c r="E112">
        <v>310.01139025688099</v>
      </c>
      <c r="F112">
        <v>311.77043752670198</v>
      </c>
      <c r="G112">
        <v>311.29442911147999</v>
      </c>
      <c r="H112">
        <v>336.767881011962</v>
      </c>
      <c r="I112">
        <v>311.59194927215498</v>
      </c>
      <c r="J112">
        <v>310.50166015625001</v>
      </c>
      <c r="L112">
        <f t="shared" si="9"/>
        <v>1</v>
      </c>
      <c r="M112">
        <f t="shared" si="10"/>
        <v>1</v>
      </c>
      <c r="N112">
        <f t="shared" si="11"/>
        <v>1</v>
      </c>
      <c r="O112">
        <f t="shared" si="12"/>
        <v>1</v>
      </c>
      <c r="P112">
        <f t="shared" si="13"/>
        <v>1</v>
      </c>
      <c r="Q112">
        <f t="shared" si="14"/>
        <v>1</v>
      </c>
      <c r="R112">
        <f t="shared" si="15"/>
        <v>1</v>
      </c>
      <c r="S112">
        <f t="shared" si="16"/>
        <v>1</v>
      </c>
    </row>
    <row r="113" spans="1:19" x14ac:dyDescent="0.3">
      <c r="A113">
        <v>325</v>
      </c>
      <c r="B113">
        <v>303.5</v>
      </c>
      <c r="C113">
        <v>304.59040319919501</v>
      </c>
      <c r="D113">
        <v>306.39581537246698</v>
      </c>
      <c r="E113">
        <v>311.02185726165698</v>
      </c>
      <c r="F113">
        <v>308.17222166061401</v>
      </c>
      <c r="G113">
        <v>307.95229625701899</v>
      </c>
      <c r="H113">
        <v>334.06394184529699</v>
      </c>
      <c r="I113">
        <v>310.51126718521101</v>
      </c>
      <c r="J113">
        <v>311.213669300079</v>
      </c>
      <c r="L113">
        <f t="shared" si="9"/>
        <v>1</v>
      </c>
      <c r="M113">
        <f t="shared" si="10"/>
        <v>1</v>
      </c>
      <c r="N113">
        <f t="shared" si="11"/>
        <v>1</v>
      </c>
      <c r="O113">
        <f t="shared" si="12"/>
        <v>1</v>
      </c>
      <c r="P113">
        <f t="shared" si="13"/>
        <v>1</v>
      </c>
      <c r="Q113">
        <f t="shared" si="14"/>
        <v>1</v>
      </c>
      <c r="R113">
        <f t="shared" si="15"/>
        <v>1</v>
      </c>
      <c r="S113">
        <f t="shared" si="16"/>
        <v>1</v>
      </c>
    </row>
    <row r="114" spans="1:19" x14ac:dyDescent="0.3">
      <c r="A114">
        <v>326.59999961852998</v>
      </c>
      <c r="B114">
        <v>302.7</v>
      </c>
      <c r="C114">
        <v>304.49786980152101</v>
      </c>
      <c r="D114">
        <v>302.70931632704998</v>
      </c>
      <c r="E114">
        <v>308.58312768936099</v>
      </c>
      <c r="F114">
        <v>307.131261062622</v>
      </c>
      <c r="G114">
        <v>308.96398754119798</v>
      </c>
      <c r="H114">
        <v>329.51838445663401</v>
      </c>
      <c r="I114">
        <v>311.321533393859</v>
      </c>
      <c r="J114">
        <v>308.01279802322301</v>
      </c>
      <c r="L114">
        <f t="shared" si="9"/>
        <v>1</v>
      </c>
      <c r="M114">
        <f t="shared" si="10"/>
        <v>1</v>
      </c>
      <c r="N114">
        <f t="shared" si="11"/>
        <v>1</v>
      </c>
      <c r="O114">
        <f t="shared" si="12"/>
        <v>1</v>
      </c>
      <c r="P114">
        <f t="shared" si="13"/>
        <v>1</v>
      </c>
      <c r="Q114">
        <f t="shared" si="14"/>
        <v>1</v>
      </c>
      <c r="R114">
        <f t="shared" si="15"/>
        <v>1</v>
      </c>
      <c r="S114">
        <f t="shared" si="16"/>
        <v>1</v>
      </c>
    </row>
    <row r="115" spans="1:19" x14ac:dyDescent="0.3">
      <c r="A115">
        <v>321.650000381469</v>
      </c>
      <c r="B115">
        <v>302.3</v>
      </c>
      <c r="C115">
        <v>304.51657133102401</v>
      </c>
      <c r="D115">
        <v>304.04115562438898</v>
      </c>
      <c r="E115">
        <v>307.93678073883001</v>
      </c>
      <c r="F115">
        <v>306.24625568389803</v>
      </c>
      <c r="G115">
        <v>308.44249372482301</v>
      </c>
      <c r="H115">
        <v>335.85486173629698</v>
      </c>
      <c r="I115">
        <v>309.34687976837102</v>
      </c>
      <c r="J115">
        <v>310.21139984130798</v>
      </c>
      <c r="L115">
        <f t="shared" si="9"/>
        <v>1</v>
      </c>
      <c r="M115">
        <f t="shared" si="10"/>
        <v>1</v>
      </c>
      <c r="N115">
        <f t="shared" si="11"/>
        <v>1</v>
      </c>
      <c r="O115">
        <f t="shared" si="12"/>
        <v>1</v>
      </c>
      <c r="P115">
        <f t="shared" si="13"/>
        <v>1</v>
      </c>
      <c r="Q115">
        <f t="shared" si="14"/>
        <v>1</v>
      </c>
      <c r="R115">
        <f t="shared" si="15"/>
        <v>1</v>
      </c>
      <c r="S115">
        <f t="shared" si="16"/>
        <v>1</v>
      </c>
    </row>
    <row r="116" spans="1:19" x14ac:dyDescent="0.3">
      <c r="A116">
        <v>320.7</v>
      </c>
      <c r="B116">
        <v>306.2</v>
      </c>
      <c r="C116">
        <v>304.701584291458</v>
      </c>
      <c r="D116">
        <v>303.63252444267198</v>
      </c>
      <c r="E116">
        <v>307.04834516048402</v>
      </c>
      <c r="F116">
        <v>307.173139643669</v>
      </c>
      <c r="G116">
        <v>309.34969182014402</v>
      </c>
      <c r="H116">
        <v>334.81395890712702</v>
      </c>
      <c r="I116">
        <v>310.78684825897199</v>
      </c>
      <c r="J116">
        <v>306.98135561943002</v>
      </c>
      <c r="L116">
        <f t="shared" si="9"/>
        <v>0</v>
      </c>
      <c r="M116">
        <f t="shared" si="10"/>
        <v>0</v>
      </c>
      <c r="N116">
        <f t="shared" si="11"/>
        <v>1</v>
      </c>
      <c r="O116">
        <f t="shared" si="12"/>
        <v>1</v>
      </c>
      <c r="P116">
        <f t="shared" si="13"/>
        <v>1</v>
      </c>
      <c r="Q116">
        <f t="shared" si="14"/>
        <v>1</v>
      </c>
      <c r="R116">
        <f t="shared" si="15"/>
        <v>1</v>
      </c>
      <c r="S116">
        <f t="shared" si="16"/>
        <v>1</v>
      </c>
    </row>
    <row r="117" spans="1:19" x14ac:dyDescent="0.3">
      <c r="A117">
        <v>321.39999961852999</v>
      </c>
      <c r="B117">
        <v>306.25</v>
      </c>
      <c r="C117">
        <v>306.91748034954003</v>
      </c>
      <c r="D117">
        <v>306.13086073100499</v>
      </c>
      <c r="E117">
        <v>310.78814506530699</v>
      </c>
      <c r="F117">
        <v>311.80248117446899</v>
      </c>
      <c r="G117">
        <v>311.04366207122803</v>
      </c>
      <c r="H117">
        <v>323.516027832031</v>
      </c>
      <c r="I117">
        <v>312.77498531341502</v>
      </c>
      <c r="J117">
        <v>317.68853187561001</v>
      </c>
      <c r="L117">
        <f t="shared" si="9"/>
        <v>1</v>
      </c>
      <c r="M117">
        <f t="shared" si="10"/>
        <v>0</v>
      </c>
      <c r="N117">
        <f t="shared" si="11"/>
        <v>1</v>
      </c>
      <c r="O117">
        <f t="shared" si="12"/>
        <v>1</v>
      </c>
      <c r="P117">
        <f t="shared" si="13"/>
        <v>1</v>
      </c>
      <c r="Q117">
        <f t="shared" si="14"/>
        <v>1</v>
      </c>
      <c r="R117">
        <f t="shared" si="15"/>
        <v>1</v>
      </c>
      <c r="S117">
        <f t="shared" si="16"/>
        <v>1</v>
      </c>
    </row>
    <row r="118" spans="1:19" x14ac:dyDescent="0.3">
      <c r="A118">
        <v>321.5</v>
      </c>
      <c r="B118">
        <v>309.25</v>
      </c>
      <c r="C118">
        <v>305.22022533416703</v>
      </c>
      <c r="D118">
        <v>306.021182537078</v>
      </c>
      <c r="E118">
        <v>309.74686741828901</v>
      </c>
      <c r="F118">
        <v>308.78145855665201</v>
      </c>
      <c r="G118">
        <v>311.33473420143099</v>
      </c>
      <c r="H118">
        <v>322.65264205932601</v>
      </c>
      <c r="I118">
        <v>310.24715262651398</v>
      </c>
      <c r="J118">
        <v>311.68106460571198</v>
      </c>
      <c r="L118">
        <f t="shared" si="9"/>
        <v>0</v>
      </c>
      <c r="M118">
        <f t="shared" si="10"/>
        <v>0</v>
      </c>
      <c r="N118">
        <f t="shared" si="11"/>
        <v>1</v>
      </c>
      <c r="O118">
        <f t="shared" si="12"/>
        <v>0</v>
      </c>
      <c r="P118">
        <f t="shared" si="13"/>
        <v>1</v>
      </c>
      <c r="Q118">
        <f t="shared" si="14"/>
        <v>1</v>
      </c>
      <c r="R118">
        <f t="shared" si="15"/>
        <v>1</v>
      </c>
      <c r="S118">
        <f t="shared" si="16"/>
        <v>1</v>
      </c>
    </row>
    <row r="119" spans="1:19" x14ac:dyDescent="0.3">
      <c r="A119">
        <v>320.45</v>
      </c>
      <c r="B119">
        <v>309.2</v>
      </c>
      <c r="C119">
        <v>308.37765682935702</v>
      </c>
      <c r="D119">
        <v>306.98312397003099</v>
      </c>
      <c r="E119">
        <v>311.07551927566499</v>
      </c>
      <c r="F119">
        <v>311.57418031692498</v>
      </c>
      <c r="G119">
        <v>310.47670586109098</v>
      </c>
      <c r="H119">
        <v>320.99568729400602</v>
      </c>
      <c r="I119">
        <v>305.326966714859</v>
      </c>
      <c r="J119">
        <v>310.285817813873</v>
      </c>
      <c r="L119">
        <f t="shared" si="9"/>
        <v>0</v>
      </c>
      <c r="M119">
        <f t="shared" si="10"/>
        <v>0</v>
      </c>
      <c r="N119">
        <f t="shared" si="11"/>
        <v>1</v>
      </c>
      <c r="O119">
        <f t="shared" si="12"/>
        <v>1</v>
      </c>
      <c r="P119">
        <f t="shared" si="13"/>
        <v>1</v>
      </c>
      <c r="Q119">
        <f t="shared" si="14"/>
        <v>1</v>
      </c>
      <c r="R119">
        <f t="shared" si="15"/>
        <v>0</v>
      </c>
      <c r="S119">
        <f t="shared" si="16"/>
        <v>1</v>
      </c>
    </row>
    <row r="120" spans="1:19" x14ac:dyDescent="0.3">
      <c r="A120">
        <v>322.85000019073402</v>
      </c>
      <c r="B120">
        <v>308.55</v>
      </c>
      <c r="C120">
        <v>306.27083234786897</v>
      </c>
      <c r="D120">
        <v>304.57444148063598</v>
      </c>
      <c r="E120">
        <v>309.05485289096799</v>
      </c>
      <c r="F120">
        <v>308.06021564006801</v>
      </c>
      <c r="G120">
        <v>305.17681627273498</v>
      </c>
      <c r="H120">
        <v>318.02480640411301</v>
      </c>
      <c r="I120">
        <v>304.31488351821901</v>
      </c>
      <c r="J120">
        <v>307.01660387516</v>
      </c>
      <c r="L120">
        <f t="shared" si="9"/>
        <v>0</v>
      </c>
      <c r="M120">
        <f t="shared" si="10"/>
        <v>0</v>
      </c>
      <c r="N120">
        <f t="shared" si="11"/>
        <v>1</v>
      </c>
      <c r="O120">
        <f t="shared" si="12"/>
        <v>0</v>
      </c>
      <c r="P120">
        <f t="shared" si="13"/>
        <v>0</v>
      </c>
      <c r="Q120">
        <f t="shared" si="14"/>
        <v>1</v>
      </c>
      <c r="R120">
        <f t="shared" si="15"/>
        <v>0</v>
      </c>
      <c r="S120">
        <f t="shared" si="16"/>
        <v>0</v>
      </c>
    </row>
    <row r="121" spans="1:19" x14ac:dyDescent="0.3">
      <c r="A121">
        <v>324.30000019073401</v>
      </c>
      <c r="B121">
        <v>310.25</v>
      </c>
      <c r="C121">
        <v>310.72281798720297</v>
      </c>
      <c r="D121">
        <v>308.10731554031298</v>
      </c>
      <c r="E121">
        <v>313.66016721725401</v>
      </c>
      <c r="F121">
        <v>310.66952562332102</v>
      </c>
      <c r="G121">
        <v>308.79751574993099</v>
      </c>
      <c r="H121">
        <v>320.93417243957498</v>
      </c>
      <c r="I121">
        <v>304.74861812591502</v>
      </c>
      <c r="J121">
        <v>308.35111832618702</v>
      </c>
      <c r="L121">
        <f t="shared" si="9"/>
        <v>1</v>
      </c>
      <c r="M121">
        <f t="shared" si="10"/>
        <v>0</v>
      </c>
      <c r="N121">
        <f t="shared" si="11"/>
        <v>1</v>
      </c>
      <c r="O121">
        <f t="shared" si="12"/>
        <v>1</v>
      </c>
      <c r="P121">
        <f t="shared" si="13"/>
        <v>0</v>
      </c>
      <c r="Q121">
        <f t="shared" si="14"/>
        <v>1</v>
      </c>
      <c r="R121">
        <f t="shared" si="15"/>
        <v>0</v>
      </c>
      <c r="S121">
        <f t="shared" si="16"/>
        <v>0</v>
      </c>
    </row>
    <row r="122" spans="1:19" x14ac:dyDescent="0.3">
      <c r="A122">
        <v>322.750000190734</v>
      </c>
      <c r="B122">
        <v>311.2</v>
      </c>
      <c r="C122">
        <v>310.12459309101098</v>
      </c>
      <c r="D122">
        <v>309.43264825343999</v>
      </c>
      <c r="E122">
        <v>310.96570183038699</v>
      </c>
      <c r="F122">
        <v>310.54594702720601</v>
      </c>
      <c r="G122">
        <v>308.0403570652</v>
      </c>
      <c r="H122">
        <v>320.66775150298997</v>
      </c>
      <c r="I122">
        <v>307.05171127319301</v>
      </c>
      <c r="J122">
        <v>314.33136458396899</v>
      </c>
      <c r="L122">
        <f t="shared" si="9"/>
        <v>0</v>
      </c>
      <c r="M122">
        <f t="shared" si="10"/>
        <v>0</v>
      </c>
      <c r="N122">
        <f t="shared" si="11"/>
        <v>0</v>
      </c>
      <c r="O122">
        <f t="shared" si="12"/>
        <v>0</v>
      </c>
      <c r="P122">
        <f t="shared" si="13"/>
        <v>0</v>
      </c>
      <c r="Q122">
        <f t="shared" si="14"/>
        <v>1</v>
      </c>
      <c r="R122">
        <f t="shared" si="15"/>
        <v>0</v>
      </c>
      <c r="S122">
        <f t="shared" si="16"/>
        <v>1</v>
      </c>
    </row>
    <row r="123" spans="1:19" x14ac:dyDescent="0.3">
      <c r="A123">
        <v>324.14999980926501</v>
      </c>
      <c r="B123">
        <v>316.7</v>
      </c>
      <c r="C123">
        <v>312.82511062622001</v>
      </c>
      <c r="D123">
        <v>312.03362102508498</v>
      </c>
      <c r="E123">
        <v>314.52684230804402</v>
      </c>
      <c r="F123">
        <v>311.530841064453</v>
      </c>
      <c r="G123">
        <v>312.90783519744798</v>
      </c>
      <c r="H123">
        <v>321.46604223251302</v>
      </c>
      <c r="I123">
        <v>309.22461433410598</v>
      </c>
      <c r="J123">
        <v>314.24424428939801</v>
      </c>
      <c r="L123">
        <f t="shared" si="9"/>
        <v>0</v>
      </c>
      <c r="M123">
        <f t="shared" si="10"/>
        <v>0</v>
      </c>
      <c r="N123">
        <f t="shared" si="11"/>
        <v>0</v>
      </c>
      <c r="O123">
        <f t="shared" si="12"/>
        <v>0</v>
      </c>
      <c r="P123">
        <f t="shared" si="13"/>
        <v>0</v>
      </c>
      <c r="Q123">
        <f t="shared" si="14"/>
        <v>1</v>
      </c>
      <c r="R123">
        <f t="shared" si="15"/>
        <v>0</v>
      </c>
      <c r="S123">
        <f t="shared" si="16"/>
        <v>0</v>
      </c>
    </row>
    <row r="124" spans="1:19" x14ac:dyDescent="0.3">
      <c r="A124">
        <v>323.85000019073402</v>
      </c>
      <c r="B124">
        <v>316.05</v>
      </c>
      <c r="C124">
        <v>316.23016934394798</v>
      </c>
      <c r="D124">
        <v>314.03175883293102</v>
      </c>
      <c r="E124">
        <v>314.04658703804</v>
      </c>
      <c r="F124">
        <v>314.95253102779299</v>
      </c>
      <c r="G124">
        <v>314.83520238399501</v>
      </c>
      <c r="H124">
        <v>321.97901496887198</v>
      </c>
      <c r="I124">
        <v>306.90678291320802</v>
      </c>
      <c r="J124">
        <v>317.742559957504</v>
      </c>
      <c r="L124">
        <f t="shared" si="9"/>
        <v>1</v>
      </c>
      <c r="M124">
        <f t="shared" si="10"/>
        <v>0</v>
      </c>
      <c r="N124">
        <f t="shared" si="11"/>
        <v>0</v>
      </c>
      <c r="O124">
        <f t="shared" si="12"/>
        <v>0</v>
      </c>
      <c r="P124">
        <f t="shared" si="13"/>
        <v>0</v>
      </c>
      <c r="Q124">
        <f t="shared" si="14"/>
        <v>1</v>
      </c>
      <c r="R124">
        <f t="shared" si="15"/>
        <v>0</v>
      </c>
      <c r="S124">
        <f t="shared" si="16"/>
        <v>1</v>
      </c>
    </row>
    <row r="125" spans="1:19" x14ac:dyDescent="0.3">
      <c r="A125">
        <v>323.55</v>
      </c>
      <c r="B125">
        <v>315.8</v>
      </c>
      <c r="C125">
        <v>314.76992957592</v>
      </c>
      <c r="D125">
        <v>314.26901965141298</v>
      </c>
      <c r="E125">
        <v>312.61319284439003</v>
      </c>
      <c r="F125">
        <v>311.95815401077198</v>
      </c>
      <c r="G125">
        <v>311.68306140899602</v>
      </c>
      <c r="H125">
        <v>317.41031913757303</v>
      </c>
      <c r="I125">
        <v>307.659907150268</v>
      </c>
      <c r="J125">
        <v>314.32598738670299</v>
      </c>
      <c r="L125">
        <f t="shared" si="9"/>
        <v>0</v>
      </c>
      <c r="M125">
        <f t="shared" si="10"/>
        <v>0</v>
      </c>
      <c r="N125">
        <f t="shared" si="11"/>
        <v>0</v>
      </c>
      <c r="O125">
        <f t="shared" si="12"/>
        <v>0</v>
      </c>
      <c r="P125">
        <f t="shared" si="13"/>
        <v>0</v>
      </c>
      <c r="Q125">
        <f t="shared" si="14"/>
        <v>1</v>
      </c>
      <c r="R125">
        <f t="shared" si="15"/>
        <v>0</v>
      </c>
      <c r="S125">
        <f t="shared" si="16"/>
        <v>0</v>
      </c>
    </row>
    <row r="126" spans="1:19" x14ac:dyDescent="0.3">
      <c r="A126">
        <v>316.85000001191997</v>
      </c>
      <c r="B126">
        <v>316.05</v>
      </c>
      <c r="C126">
        <v>317.008710134029</v>
      </c>
      <c r="D126">
        <v>316.50581319928102</v>
      </c>
      <c r="E126">
        <v>315.33162956237697</v>
      </c>
      <c r="F126">
        <v>314.67397134304002</v>
      </c>
      <c r="G126">
        <v>313.33718137740999</v>
      </c>
      <c r="H126">
        <v>326.150090885162</v>
      </c>
      <c r="I126">
        <v>310.92329816818199</v>
      </c>
      <c r="J126">
        <v>321.138184833526</v>
      </c>
      <c r="L126">
        <f t="shared" si="9"/>
        <v>1</v>
      </c>
      <c r="M126">
        <f t="shared" si="10"/>
        <v>1</v>
      </c>
      <c r="N126">
        <f t="shared" si="11"/>
        <v>0</v>
      </c>
      <c r="O126">
        <f t="shared" si="12"/>
        <v>0</v>
      </c>
      <c r="P126">
        <f t="shared" si="13"/>
        <v>0</v>
      </c>
      <c r="Q126">
        <f t="shared" si="14"/>
        <v>1</v>
      </c>
      <c r="R126">
        <f t="shared" si="15"/>
        <v>0</v>
      </c>
      <c r="S126">
        <f t="shared" si="16"/>
        <v>1</v>
      </c>
    </row>
    <row r="127" spans="1:19" x14ac:dyDescent="0.3">
      <c r="A127">
        <v>318.5</v>
      </c>
      <c r="B127">
        <v>313.75</v>
      </c>
      <c r="C127">
        <v>314.297002792358</v>
      </c>
      <c r="D127">
        <v>313.24957108497603</v>
      </c>
      <c r="E127">
        <v>320.88230419158901</v>
      </c>
      <c r="F127">
        <v>315.17279350757599</v>
      </c>
      <c r="G127">
        <v>313.40380054712199</v>
      </c>
      <c r="H127">
        <v>327.672459125518</v>
      </c>
      <c r="I127">
        <v>310.41188597679098</v>
      </c>
      <c r="J127">
        <v>318.70461273193303</v>
      </c>
      <c r="L127">
        <f t="shared" si="9"/>
        <v>1</v>
      </c>
      <c r="M127">
        <f t="shared" si="10"/>
        <v>0</v>
      </c>
      <c r="N127">
        <f t="shared" si="11"/>
        <v>1</v>
      </c>
      <c r="O127">
        <f t="shared" si="12"/>
        <v>1</v>
      </c>
      <c r="P127">
        <f t="shared" si="13"/>
        <v>0</v>
      </c>
      <c r="Q127">
        <f t="shared" si="14"/>
        <v>1</v>
      </c>
      <c r="R127">
        <f t="shared" si="15"/>
        <v>0</v>
      </c>
      <c r="S127">
        <f t="shared" si="16"/>
        <v>1</v>
      </c>
    </row>
    <row r="128" spans="1:19" x14ac:dyDescent="0.3">
      <c r="A128">
        <v>318.49999980926498</v>
      </c>
      <c r="B128">
        <v>313.8</v>
      </c>
      <c r="C128">
        <v>315.87429885864202</v>
      </c>
      <c r="D128">
        <v>314.247643607854</v>
      </c>
      <c r="E128">
        <v>315.38536779880502</v>
      </c>
      <c r="F128">
        <v>315.89243774414001</v>
      </c>
      <c r="G128">
        <v>315.90781884193399</v>
      </c>
      <c r="H128">
        <v>327.38268926143598</v>
      </c>
      <c r="I128">
        <v>310.096607255935</v>
      </c>
      <c r="J128">
        <v>313.04217504262903</v>
      </c>
      <c r="L128">
        <f t="shared" si="9"/>
        <v>1</v>
      </c>
      <c r="M128">
        <f t="shared" si="10"/>
        <v>1</v>
      </c>
      <c r="N128">
        <f t="shared" si="11"/>
        <v>1</v>
      </c>
      <c r="O128">
        <f t="shared" si="12"/>
        <v>1</v>
      </c>
      <c r="P128">
        <f t="shared" si="13"/>
        <v>1</v>
      </c>
      <c r="Q128">
        <f t="shared" si="14"/>
        <v>1</v>
      </c>
      <c r="R128">
        <f t="shared" si="15"/>
        <v>0</v>
      </c>
      <c r="S128">
        <f t="shared" si="16"/>
        <v>0</v>
      </c>
    </row>
    <row r="129" spans="1:19" x14ac:dyDescent="0.3">
      <c r="A129">
        <v>317.45000009536699</v>
      </c>
      <c r="B129">
        <v>311.8</v>
      </c>
      <c r="C129">
        <v>314.72019605636598</v>
      </c>
      <c r="D129">
        <v>311.90729433596101</v>
      </c>
      <c r="E129">
        <v>312.99634234905199</v>
      </c>
      <c r="F129">
        <v>313.29251019954597</v>
      </c>
      <c r="G129">
        <v>315.383745241165</v>
      </c>
      <c r="H129">
        <v>329.38141722679097</v>
      </c>
      <c r="I129">
        <v>315.55117349624601</v>
      </c>
      <c r="J129">
        <v>307.36024694442699</v>
      </c>
      <c r="L129">
        <f t="shared" si="9"/>
        <v>1</v>
      </c>
      <c r="M129">
        <f t="shared" si="10"/>
        <v>1</v>
      </c>
      <c r="N129">
        <f t="shared" si="11"/>
        <v>1</v>
      </c>
      <c r="O129">
        <f t="shared" si="12"/>
        <v>1</v>
      </c>
      <c r="P129">
        <f t="shared" si="13"/>
        <v>1</v>
      </c>
      <c r="Q129">
        <f t="shared" si="14"/>
        <v>1</v>
      </c>
      <c r="R129">
        <f t="shared" si="15"/>
        <v>1</v>
      </c>
      <c r="S129">
        <f t="shared" si="16"/>
        <v>0</v>
      </c>
    </row>
    <row r="130" spans="1:19" x14ac:dyDescent="0.3">
      <c r="A130">
        <v>321.20000019073399</v>
      </c>
      <c r="B130">
        <v>311.39999999999998</v>
      </c>
      <c r="C130">
        <v>314.50654616355803</v>
      </c>
      <c r="D130">
        <v>312.69579389095298</v>
      </c>
      <c r="E130">
        <v>314.95599474906902</v>
      </c>
      <c r="F130">
        <v>311.47469929754698</v>
      </c>
      <c r="G130">
        <v>316.04591026306099</v>
      </c>
      <c r="H130">
        <v>328.65592796802503</v>
      </c>
      <c r="I130">
        <v>311.643523657321</v>
      </c>
      <c r="J130">
        <v>315.63571205139101</v>
      </c>
      <c r="L130">
        <f t="shared" si="9"/>
        <v>1</v>
      </c>
      <c r="M130">
        <f t="shared" si="10"/>
        <v>1</v>
      </c>
      <c r="N130">
        <f t="shared" si="11"/>
        <v>1</v>
      </c>
      <c r="O130">
        <f t="shared" si="12"/>
        <v>1</v>
      </c>
      <c r="P130">
        <f t="shared" si="13"/>
        <v>1</v>
      </c>
      <c r="Q130">
        <f t="shared" si="14"/>
        <v>1</v>
      </c>
      <c r="R130">
        <f t="shared" si="15"/>
        <v>1</v>
      </c>
      <c r="S130">
        <f t="shared" si="16"/>
        <v>1</v>
      </c>
    </row>
    <row r="131" spans="1:19" x14ac:dyDescent="0.3">
      <c r="A131">
        <v>325.65000019073398</v>
      </c>
      <c r="B131">
        <v>311.60000000000002</v>
      </c>
      <c r="C131">
        <v>314.025997018814</v>
      </c>
      <c r="D131">
        <v>313.87923846244797</v>
      </c>
      <c r="E131">
        <v>317.06914958953797</v>
      </c>
      <c r="F131">
        <v>313.65283927917397</v>
      </c>
      <c r="G131">
        <v>315.82595834732001</v>
      </c>
      <c r="H131">
        <v>331.43350028991699</v>
      </c>
      <c r="I131">
        <v>317.69808158874503</v>
      </c>
      <c r="J131">
        <v>309.81109139919198</v>
      </c>
      <c r="L131">
        <f t="shared" ref="L131:L194" si="17">IF(($A131-$B131)*(C131-$B131)&gt;0,1,0)</f>
        <v>1</v>
      </c>
      <c r="M131">
        <f t="shared" ref="M131:M194" si="18">IF(($A131-$B131)*(D131-$B131)&gt;0,1,0)</f>
        <v>1</v>
      </c>
      <c r="N131">
        <f t="shared" ref="N131:N194" si="19">IF(($A131-$B131)*(E131-$B131)&gt;0,1,0)</f>
        <v>1</v>
      </c>
      <c r="O131">
        <f t="shared" ref="O131:O194" si="20">IF(($A131-$B131)*(F131-$B131)&gt;0,1,0)</f>
        <v>1</v>
      </c>
      <c r="P131">
        <f t="shared" ref="P131:P194" si="21">IF(($A131-$B131)*(G131-$B131)&gt;0,1,0)</f>
        <v>1</v>
      </c>
      <c r="Q131">
        <f t="shared" ref="Q131:Q194" si="22">IF(($A131-$B131)*(H131-$B131)&gt;0,1,0)</f>
        <v>1</v>
      </c>
      <c r="R131">
        <f t="shared" ref="R131:R194" si="23">IF(($A131-$B131)*(I131-$B131)&gt;0,1,0)</f>
        <v>1</v>
      </c>
      <c r="S131">
        <f t="shared" ref="S131:S194" si="24">IF(($A131-$B131)*(J131-$B131)&gt;0,1,0)</f>
        <v>0</v>
      </c>
    </row>
    <row r="132" spans="1:19" x14ac:dyDescent="0.3">
      <c r="A132">
        <v>325.650000381469</v>
      </c>
      <c r="B132">
        <v>314.3</v>
      </c>
      <c r="C132">
        <v>315.50861899852703</v>
      </c>
      <c r="D132">
        <v>315.80951540470102</v>
      </c>
      <c r="E132">
        <v>315.33665912151298</v>
      </c>
      <c r="F132">
        <v>313.66754357814699</v>
      </c>
      <c r="G132">
        <v>317.76129631996099</v>
      </c>
      <c r="H132">
        <v>325.32899937629702</v>
      </c>
      <c r="I132">
        <v>316.172500538826</v>
      </c>
      <c r="J132">
        <v>305.755034255981</v>
      </c>
      <c r="L132">
        <f t="shared" si="17"/>
        <v>1</v>
      </c>
      <c r="M132">
        <f t="shared" si="18"/>
        <v>1</v>
      </c>
      <c r="N132">
        <f t="shared" si="19"/>
        <v>1</v>
      </c>
      <c r="O132">
        <f t="shared" si="20"/>
        <v>0</v>
      </c>
      <c r="P132">
        <f t="shared" si="21"/>
        <v>1</v>
      </c>
      <c r="Q132">
        <f t="shared" si="22"/>
        <v>1</v>
      </c>
      <c r="R132">
        <f t="shared" si="23"/>
        <v>1</v>
      </c>
      <c r="S132">
        <f t="shared" si="24"/>
        <v>0</v>
      </c>
    </row>
    <row r="133" spans="1:19" x14ac:dyDescent="0.3">
      <c r="A133">
        <v>325.650000381469</v>
      </c>
      <c r="B133">
        <v>314.3</v>
      </c>
      <c r="C133">
        <v>314.571722793579</v>
      </c>
      <c r="D133">
        <v>315.408739852905</v>
      </c>
      <c r="E133">
        <v>309.57477169036798</v>
      </c>
      <c r="F133">
        <v>310.98309020995998</v>
      </c>
      <c r="G133">
        <v>312.87740151882099</v>
      </c>
      <c r="H133">
        <v>327.53379988670298</v>
      </c>
      <c r="I133">
        <v>317.73111848831098</v>
      </c>
      <c r="J133">
        <v>316.35052185058498</v>
      </c>
      <c r="L133">
        <f t="shared" si="17"/>
        <v>1</v>
      </c>
      <c r="M133">
        <f t="shared" si="18"/>
        <v>1</v>
      </c>
      <c r="N133">
        <f t="shared" si="19"/>
        <v>0</v>
      </c>
      <c r="O133">
        <f t="shared" si="20"/>
        <v>0</v>
      </c>
      <c r="P133">
        <f t="shared" si="21"/>
        <v>0</v>
      </c>
      <c r="Q133">
        <f t="shared" si="22"/>
        <v>1</v>
      </c>
      <c r="R133">
        <f t="shared" si="23"/>
        <v>1</v>
      </c>
      <c r="S133">
        <f t="shared" si="24"/>
        <v>1</v>
      </c>
    </row>
    <row r="134" spans="1:19" x14ac:dyDescent="0.3">
      <c r="A134">
        <v>326.49999980926498</v>
      </c>
      <c r="B134">
        <v>314.3</v>
      </c>
      <c r="C134">
        <v>312.09171085357599</v>
      </c>
      <c r="D134">
        <v>315.923318076133</v>
      </c>
      <c r="E134">
        <v>307.28464012145997</v>
      </c>
      <c r="F134">
        <v>314.11985126435701</v>
      </c>
      <c r="G134">
        <v>312.42479853629999</v>
      </c>
      <c r="H134">
        <v>322.74731669425898</v>
      </c>
      <c r="I134">
        <v>321.80748872756902</v>
      </c>
      <c r="J134">
        <v>312.98533003330198</v>
      </c>
      <c r="L134">
        <f t="shared" si="17"/>
        <v>0</v>
      </c>
      <c r="M134">
        <f t="shared" si="18"/>
        <v>1</v>
      </c>
      <c r="N134">
        <f t="shared" si="19"/>
        <v>0</v>
      </c>
      <c r="O134">
        <f t="shared" si="20"/>
        <v>0</v>
      </c>
      <c r="P134">
        <f t="shared" si="21"/>
        <v>0</v>
      </c>
      <c r="Q134">
        <f t="shared" si="22"/>
        <v>1</v>
      </c>
      <c r="R134">
        <f t="shared" si="23"/>
        <v>1</v>
      </c>
      <c r="S134">
        <f t="shared" si="24"/>
        <v>0</v>
      </c>
    </row>
    <row r="135" spans="1:19" x14ac:dyDescent="0.3">
      <c r="A135">
        <v>327.69999961853</v>
      </c>
      <c r="B135">
        <v>314.3</v>
      </c>
      <c r="C135">
        <v>311.83485155105501</v>
      </c>
      <c r="D135">
        <v>315.90932183265602</v>
      </c>
      <c r="E135">
        <v>306.17879562377902</v>
      </c>
      <c r="F135">
        <v>313.53615419864599</v>
      </c>
      <c r="G135">
        <v>312.73373334407802</v>
      </c>
      <c r="H135">
        <v>321.83456082046001</v>
      </c>
      <c r="I135">
        <v>322.38267116546598</v>
      </c>
      <c r="J135">
        <v>310.68700604438698</v>
      </c>
      <c r="L135">
        <f t="shared" si="17"/>
        <v>0</v>
      </c>
      <c r="M135">
        <f t="shared" si="18"/>
        <v>1</v>
      </c>
      <c r="N135">
        <f t="shared" si="19"/>
        <v>0</v>
      </c>
      <c r="O135">
        <f t="shared" si="20"/>
        <v>0</v>
      </c>
      <c r="P135">
        <f t="shared" si="21"/>
        <v>0</v>
      </c>
      <c r="Q135">
        <f t="shared" si="22"/>
        <v>1</v>
      </c>
      <c r="R135">
        <f t="shared" si="23"/>
        <v>1</v>
      </c>
      <c r="S135">
        <f t="shared" si="24"/>
        <v>0</v>
      </c>
    </row>
    <row r="136" spans="1:19" x14ac:dyDescent="0.3">
      <c r="A136">
        <v>324.99999980926498</v>
      </c>
      <c r="B136">
        <v>314.3</v>
      </c>
      <c r="C136">
        <v>312.43930881023402</v>
      </c>
      <c r="D136">
        <v>315.84358196258501</v>
      </c>
      <c r="E136">
        <v>308.72823410034101</v>
      </c>
      <c r="F136">
        <v>314.02281214594802</v>
      </c>
      <c r="G136">
        <v>312.67492561340299</v>
      </c>
      <c r="H136">
        <v>324.74261636734002</v>
      </c>
      <c r="I136">
        <v>323.46952419281001</v>
      </c>
      <c r="J136">
        <v>310.46139554977401</v>
      </c>
      <c r="L136">
        <f t="shared" si="17"/>
        <v>0</v>
      </c>
      <c r="M136">
        <f t="shared" si="18"/>
        <v>1</v>
      </c>
      <c r="N136">
        <f t="shared" si="19"/>
        <v>0</v>
      </c>
      <c r="O136">
        <f t="shared" si="20"/>
        <v>0</v>
      </c>
      <c r="P136">
        <f t="shared" si="21"/>
        <v>0</v>
      </c>
      <c r="Q136">
        <f t="shared" si="22"/>
        <v>1</v>
      </c>
      <c r="R136">
        <f t="shared" si="23"/>
        <v>1</v>
      </c>
      <c r="S136">
        <f t="shared" si="24"/>
        <v>0</v>
      </c>
    </row>
    <row r="137" spans="1:19" x14ac:dyDescent="0.3">
      <c r="A137">
        <v>328.94999961853</v>
      </c>
      <c r="B137">
        <v>314.3</v>
      </c>
      <c r="C137">
        <v>312.29950361251798</v>
      </c>
      <c r="D137">
        <v>315.580561566352</v>
      </c>
      <c r="E137">
        <v>312.74347560405698</v>
      </c>
      <c r="F137">
        <v>313.67953871488498</v>
      </c>
      <c r="G137">
        <v>313.53801147937702</v>
      </c>
      <c r="H137">
        <v>319.21791758537199</v>
      </c>
      <c r="I137">
        <v>320.53650550842201</v>
      </c>
      <c r="J137">
        <v>314.43846504688202</v>
      </c>
      <c r="L137">
        <f t="shared" si="17"/>
        <v>0</v>
      </c>
      <c r="M137">
        <f t="shared" si="18"/>
        <v>1</v>
      </c>
      <c r="N137">
        <f t="shared" si="19"/>
        <v>0</v>
      </c>
      <c r="O137">
        <f t="shared" si="20"/>
        <v>0</v>
      </c>
      <c r="P137">
        <f t="shared" si="21"/>
        <v>0</v>
      </c>
      <c r="Q137">
        <f t="shared" si="22"/>
        <v>1</v>
      </c>
      <c r="R137">
        <f t="shared" si="23"/>
        <v>1</v>
      </c>
      <c r="S137">
        <f t="shared" si="24"/>
        <v>1</v>
      </c>
    </row>
    <row r="138" spans="1:19" x14ac:dyDescent="0.3">
      <c r="A138">
        <v>331.25000076293901</v>
      </c>
      <c r="B138">
        <v>314.3</v>
      </c>
      <c r="C138">
        <v>311.36216144561701</v>
      </c>
      <c r="D138">
        <v>315.186049866676</v>
      </c>
      <c r="E138">
        <v>311.46573262214599</v>
      </c>
      <c r="F138">
        <v>313.64307378530498</v>
      </c>
      <c r="G138">
        <v>313.905523049831</v>
      </c>
      <c r="H138">
        <v>322.89625394344301</v>
      </c>
      <c r="I138">
        <v>321.74649314880298</v>
      </c>
      <c r="J138">
        <v>311.01861577033998</v>
      </c>
      <c r="L138">
        <f t="shared" si="17"/>
        <v>0</v>
      </c>
      <c r="M138">
        <f t="shared" si="18"/>
        <v>1</v>
      </c>
      <c r="N138">
        <f t="shared" si="19"/>
        <v>0</v>
      </c>
      <c r="O138">
        <f t="shared" si="20"/>
        <v>0</v>
      </c>
      <c r="P138">
        <f t="shared" si="21"/>
        <v>0</v>
      </c>
      <c r="Q138">
        <f t="shared" si="22"/>
        <v>1</v>
      </c>
      <c r="R138">
        <f t="shared" si="23"/>
        <v>1</v>
      </c>
      <c r="S138">
        <f t="shared" si="24"/>
        <v>0</v>
      </c>
    </row>
    <row r="139" spans="1:19" x14ac:dyDescent="0.3">
      <c r="A139">
        <v>330.45000019073399</v>
      </c>
      <c r="B139">
        <v>320.14999999999998</v>
      </c>
      <c r="C139">
        <v>318.59249570369701</v>
      </c>
      <c r="D139">
        <v>320.654294157028</v>
      </c>
      <c r="E139">
        <v>317.74243369102402</v>
      </c>
      <c r="F139">
        <v>320.33201869726099</v>
      </c>
      <c r="G139">
        <v>316.31117453575098</v>
      </c>
      <c r="H139">
        <v>320.55483257472503</v>
      </c>
      <c r="I139">
        <v>322.50698819160402</v>
      </c>
      <c r="J139">
        <v>316.17277207374502</v>
      </c>
      <c r="L139">
        <f t="shared" si="17"/>
        <v>0</v>
      </c>
      <c r="M139">
        <f t="shared" si="18"/>
        <v>1</v>
      </c>
      <c r="N139">
        <f t="shared" si="19"/>
        <v>0</v>
      </c>
      <c r="O139">
        <f t="shared" si="20"/>
        <v>1</v>
      </c>
      <c r="P139">
        <f t="shared" si="21"/>
        <v>0</v>
      </c>
      <c r="Q139">
        <f t="shared" si="22"/>
        <v>1</v>
      </c>
      <c r="R139">
        <f t="shared" si="23"/>
        <v>1</v>
      </c>
      <c r="S139">
        <f t="shared" si="24"/>
        <v>0</v>
      </c>
    </row>
    <row r="140" spans="1:19" x14ac:dyDescent="0.3">
      <c r="A140">
        <v>327.849999904632</v>
      </c>
      <c r="B140">
        <v>323.25</v>
      </c>
      <c r="C140">
        <v>321.502436041831</v>
      </c>
      <c r="D140">
        <v>322.61164826154697</v>
      </c>
      <c r="E140">
        <v>321.08751368522599</v>
      </c>
      <c r="F140">
        <v>320.80730247497502</v>
      </c>
      <c r="G140">
        <v>319.048824310302</v>
      </c>
      <c r="H140">
        <v>319.63889608383101</v>
      </c>
      <c r="I140">
        <v>326.04870963096602</v>
      </c>
      <c r="J140">
        <v>319.72825169563203</v>
      </c>
      <c r="L140">
        <f t="shared" si="17"/>
        <v>0</v>
      </c>
      <c r="M140">
        <f t="shared" si="18"/>
        <v>0</v>
      </c>
      <c r="N140">
        <f t="shared" si="19"/>
        <v>0</v>
      </c>
      <c r="O140">
        <f t="shared" si="20"/>
        <v>0</v>
      </c>
      <c r="P140">
        <f t="shared" si="21"/>
        <v>0</v>
      </c>
      <c r="Q140">
        <f t="shared" si="22"/>
        <v>0</v>
      </c>
      <c r="R140">
        <f t="shared" si="23"/>
        <v>1</v>
      </c>
      <c r="S140">
        <f t="shared" si="24"/>
        <v>0</v>
      </c>
    </row>
    <row r="141" spans="1:19" x14ac:dyDescent="0.3">
      <c r="A141">
        <v>326.50000002384098</v>
      </c>
      <c r="B141">
        <v>325.64999999999998</v>
      </c>
      <c r="C141">
        <v>323.84086897373197</v>
      </c>
      <c r="D141">
        <v>326.07385083436901</v>
      </c>
      <c r="E141">
        <v>324.14586200714098</v>
      </c>
      <c r="F141">
        <v>318.72512331008897</v>
      </c>
      <c r="G141">
        <v>316.637709999084</v>
      </c>
      <c r="H141">
        <v>323.675812768936</v>
      </c>
      <c r="I141">
        <v>324.24526610374397</v>
      </c>
      <c r="J141">
        <v>319.562652492523</v>
      </c>
      <c r="L141">
        <f t="shared" si="17"/>
        <v>0</v>
      </c>
      <c r="M141">
        <f t="shared" si="18"/>
        <v>1</v>
      </c>
      <c r="N141">
        <f t="shared" si="19"/>
        <v>0</v>
      </c>
      <c r="O141">
        <f t="shared" si="20"/>
        <v>0</v>
      </c>
      <c r="P141">
        <f t="shared" si="21"/>
        <v>0</v>
      </c>
      <c r="Q141">
        <f t="shared" si="22"/>
        <v>0</v>
      </c>
      <c r="R141">
        <f t="shared" si="23"/>
        <v>0</v>
      </c>
      <c r="S141">
        <f t="shared" si="24"/>
        <v>0</v>
      </c>
    </row>
    <row r="142" spans="1:19" x14ac:dyDescent="0.3">
      <c r="A142">
        <v>326.84999995231601</v>
      </c>
      <c r="B142">
        <v>325.3</v>
      </c>
      <c r="C142">
        <v>320.85043506622299</v>
      </c>
      <c r="D142">
        <v>325.25382925868001</v>
      </c>
      <c r="E142">
        <v>322.75545649528499</v>
      </c>
      <c r="F142">
        <v>323.09657983779903</v>
      </c>
      <c r="G142">
        <v>318.55197410583497</v>
      </c>
      <c r="H142">
        <v>322.76901255548</v>
      </c>
      <c r="I142">
        <v>323.38684897422701</v>
      </c>
      <c r="J142">
        <v>322.62533049583402</v>
      </c>
      <c r="L142">
        <f t="shared" si="17"/>
        <v>0</v>
      </c>
      <c r="M142">
        <f t="shared" si="18"/>
        <v>0</v>
      </c>
      <c r="N142">
        <f t="shared" si="19"/>
        <v>0</v>
      </c>
      <c r="O142">
        <f t="shared" si="20"/>
        <v>0</v>
      </c>
      <c r="P142">
        <f t="shared" si="21"/>
        <v>0</v>
      </c>
      <c r="Q142">
        <f t="shared" si="22"/>
        <v>0</v>
      </c>
      <c r="R142">
        <f t="shared" si="23"/>
        <v>0</v>
      </c>
      <c r="S142">
        <f t="shared" si="24"/>
        <v>0</v>
      </c>
    </row>
    <row r="143" spans="1:19" x14ac:dyDescent="0.3">
      <c r="A143">
        <v>327.299999952316</v>
      </c>
      <c r="B143">
        <v>325.5</v>
      </c>
      <c r="C143">
        <v>321.84319400787302</v>
      </c>
      <c r="D143">
        <v>323.93363356590203</v>
      </c>
      <c r="E143">
        <v>322.43626356124798</v>
      </c>
      <c r="F143">
        <v>324.398141860961</v>
      </c>
      <c r="G143">
        <v>320.90051984786902</v>
      </c>
      <c r="H143">
        <v>328.52905359268101</v>
      </c>
      <c r="I143">
        <v>322.023930311203</v>
      </c>
      <c r="J143">
        <v>324.86840462684597</v>
      </c>
      <c r="L143">
        <f t="shared" si="17"/>
        <v>0</v>
      </c>
      <c r="M143">
        <f t="shared" si="18"/>
        <v>0</v>
      </c>
      <c r="N143">
        <f t="shared" si="19"/>
        <v>0</v>
      </c>
      <c r="O143">
        <f t="shared" si="20"/>
        <v>0</v>
      </c>
      <c r="P143">
        <f t="shared" si="21"/>
        <v>0</v>
      </c>
      <c r="Q143">
        <f t="shared" si="22"/>
        <v>1</v>
      </c>
      <c r="R143">
        <f t="shared" si="23"/>
        <v>0</v>
      </c>
      <c r="S143">
        <f t="shared" si="24"/>
        <v>0</v>
      </c>
    </row>
    <row r="144" spans="1:19" x14ac:dyDescent="0.3">
      <c r="A144">
        <v>330.49999980926498</v>
      </c>
      <c r="B144">
        <v>325.8</v>
      </c>
      <c r="C144">
        <v>324.94998048543903</v>
      </c>
      <c r="D144">
        <v>325.99093427062002</v>
      </c>
      <c r="E144">
        <v>324.60763399600899</v>
      </c>
      <c r="F144">
        <v>326.536641705036</v>
      </c>
      <c r="G144">
        <v>323.61903004646302</v>
      </c>
      <c r="H144">
        <v>330.486976242065</v>
      </c>
      <c r="I144">
        <v>323.67503647804199</v>
      </c>
      <c r="J144">
        <v>323.73426752090398</v>
      </c>
      <c r="L144">
        <f t="shared" si="17"/>
        <v>0</v>
      </c>
      <c r="M144">
        <f t="shared" si="18"/>
        <v>1</v>
      </c>
      <c r="N144">
        <f t="shared" si="19"/>
        <v>0</v>
      </c>
      <c r="O144">
        <f t="shared" si="20"/>
        <v>1</v>
      </c>
      <c r="P144">
        <f t="shared" si="21"/>
        <v>0</v>
      </c>
      <c r="Q144">
        <f t="shared" si="22"/>
        <v>1</v>
      </c>
      <c r="R144">
        <f t="shared" si="23"/>
        <v>0</v>
      </c>
      <c r="S144">
        <f t="shared" si="24"/>
        <v>0</v>
      </c>
    </row>
    <row r="145" spans="1:19" x14ac:dyDescent="0.3">
      <c r="A145">
        <v>329.19999990463202</v>
      </c>
      <c r="B145">
        <v>325.85000000000002</v>
      </c>
      <c r="C145">
        <v>324.648201441764</v>
      </c>
      <c r="D145">
        <v>326.58780637979498</v>
      </c>
      <c r="E145">
        <v>324.36358723640399</v>
      </c>
      <c r="F145">
        <v>326.80590770244601</v>
      </c>
      <c r="G145">
        <v>323.69462237357999</v>
      </c>
      <c r="H145">
        <v>329.09522466659502</v>
      </c>
      <c r="I145">
        <v>323.29273042678801</v>
      </c>
      <c r="J145">
        <v>323.69991955757098</v>
      </c>
      <c r="L145">
        <f t="shared" si="17"/>
        <v>0</v>
      </c>
      <c r="M145">
        <f t="shared" si="18"/>
        <v>1</v>
      </c>
      <c r="N145">
        <f t="shared" si="19"/>
        <v>0</v>
      </c>
      <c r="O145">
        <f t="shared" si="20"/>
        <v>1</v>
      </c>
      <c r="P145">
        <f t="shared" si="21"/>
        <v>0</v>
      </c>
      <c r="Q145">
        <f t="shared" si="22"/>
        <v>1</v>
      </c>
      <c r="R145">
        <f t="shared" si="23"/>
        <v>0</v>
      </c>
      <c r="S145">
        <f t="shared" si="24"/>
        <v>0</v>
      </c>
    </row>
    <row r="146" spans="1:19" x14ac:dyDescent="0.3">
      <c r="A146">
        <v>329.40000019073398</v>
      </c>
      <c r="B146">
        <v>324.10000000000002</v>
      </c>
      <c r="C146">
        <v>324.62403634786602</v>
      </c>
      <c r="D146">
        <v>325.00677154064101</v>
      </c>
      <c r="E146">
        <v>326.266259050369</v>
      </c>
      <c r="F146">
        <v>323.43973324298798</v>
      </c>
      <c r="G146">
        <v>325.053219294548</v>
      </c>
      <c r="H146">
        <v>324.908259010314</v>
      </c>
      <c r="I146">
        <v>324.95038942098603</v>
      </c>
      <c r="J146">
        <v>321.29758749008101</v>
      </c>
      <c r="L146">
        <f t="shared" si="17"/>
        <v>1</v>
      </c>
      <c r="M146">
        <f t="shared" si="18"/>
        <v>1</v>
      </c>
      <c r="N146">
        <f t="shared" si="19"/>
        <v>1</v>
      </c>
      <c r="O146">
        <f t="shared" si="20"/>
        <v>0</v>
      </c>
      <c r="P146">
        <f t="shared" si="21"/>
        <v>1</v>
      </c>
      <c r="Q146">
        <f t="shared" si="22"/>
        <v>1</v>
      </c>
      <c r="R146">
        <f t="shared" si="23"/>
        <v>1</v>
      </c>
      <c r="S146">
        <f t="shared" si="24"/>
        <v>0</v>
      </c>
    </row>
    <row r="147" spans="1:19" x14ac:dyDescent="0.3">
      <c r="A147">
        <v>329.599999904632</v>
      </c>
      <c r="B147">
        <v>326.25</v>
      </c>
      <c r="C147">
        <v>329.67673921584998</v>
      </c>
      <c r="D147">
        <v>328.098121523857</v>
      </c>
      <c r="E147">
        <v>325.01986694335898</v>
      </c>
      <c r="F147">
        <v>327.22664129734</v>
      </c>
      <c r="G147">
        <v>323.72057938575699</v>
      </c>
      <c r="H147">
        <v>321.91257858276299</v>
      </c>
      <c r="I147">
        <v>322.08162069320599</v>
      </c>
      <c r="J147">
        <v>325.20483613014198</v>
      </c>
      <c r="L147">
        <f t="shared" si="17"/>
        <v>1</v>
      </c>
      <c r="M147">
        <f t="shared" si="18"/>
        <v>1</v>
      </c>
      <c r="N147">
        <f t="shared" si="19"/>
        <v>0</v>
      </c>
      <c r="O147">
        <f t="shared" si="20"/>
        <v>1</v>
      </c>
      <c r="P147">
        <f t="shared" si="21"/>
        <v>0</v>
      </c>
      <c r="Q147">
        <f t="shared" si="22"/>
        <v>0</v>
      </c>
      <c r="R147">
        <f t="shared" si="23"/>
        <v>0</v>
      </c>
      <c r="S147">
        <f t="shared" si="24"/>
        <v>0</v>
      </c>
    </row>
    <row r="148" spans="1:19" x14ac:dyDescent="0.3">
      <c r="A148">
        <v>326.24999998807903</v>
      </c>
      <c r="B148">
        <v>327.05</v>
      </c>
      <c r="C148">
        <v>328.32435910701702</v>
      </c>
      <c r="D148">
        <v>329.82770328521701</v>
      </c>
      <c r="E148">
        <v>324.02026181220998</v>
      </c>
      <c r="F148">
        <v>327.361092197895</v>
      </c>
      <c r="G148">
        <v>326.68341853022503</v>
      </c>
      <c r="H148">
        <v>322.251794099807</v>
      </c>
      <c r="I148">
        <v>321.17660217285101</v>
      </c>
      <c r="J148">
        <v>324.315368938446</v>
      </c>
      <c r="L148">
        <f t="shared" si="17"/>
        <v>0</v>
      </c>
      <c r="M148">
        <f t="shared" si="18"/>
        <v>0</v>
      </c>
      <c r="N148">
        <f t="shared" si="19"/>
        <v>1</v>
      </c>
      <c r="O148">
        <f t="shared" si="20"/>
        <v>0</v>
      </c>
      <c r="P148">
        <f t="shared" si="21"/>
        <v>1</v>
      </c>
      <c r="Q148">
        <f t="shared" si="22"/>
        <v>1</v>
      </c>
      <c r="R148">
        <f t="shared" si="23"/>
        <v>1</v>
      </c>
      <c r="S148">
        <f t="shared" si="24"/>
        <v>1</v>
      </c>
    </row>
    <row r="149" spans="1:19" x14ac:dyDescent="0.3">
      <c r="A149">
        <v>331.24999980926498</v>
      </c>
      <c r="B149">
        <v>326.55</v>
      </c>
      <c r="C149">
        <v>327.54084055423698</v>
      </c>
      <c r="D149">
        <v>328.12694447040502</v>
      </c>
      <c r="E149">
        <v>325.93280528783799</v>
      </c>
      <c r="F149">
        <v>329.25229148864702</v>
      </c>
      <c r="G149">
        <v>324.98950831890102</v>
      </c>
      <c r="H149">
        <v>321.71581907272298</v>
      </c>
      <c r="I149">
        <v>329.99650673866199</v>
      </c>
      <c r="J149">
        <v>322.14324836730901</v>
      </c>
      <c r="L149">
        <f t="shared" si="17"/>
        <v>1</v>
      </c>
      <c r="M149">
        <f t="shared" si="18"/>
        <v>1</v>
      </c>
      <c r="N149">
        <f t="shared" si="19"/>
        <v>0</v>
      </c>
      <c r="O149">
        <f t="shared" si="20"/>
        <v>1</v>
      </c>
      <c r="P149">
        <f t="shared" si="21"/>
        <v>0</v>
      </c>
      <c r="Q149">
        <f t="shared" si="22"/>
        <v>0</v>
      </c>
      <c r="R149">
        <f t="shared" si="23"/>
        <v>1</v>
      </c>
      <c r="S149">
        <f t="shared" si="24"/>
        <v>0</v>
      </c>
    </row>
    <row r="150" spans="1:19" x14ac:dyDescent="0.3">
      <c r="A150">
        <v>331.599999904632</v>
      </c>
      <c r="B150">
        <v>326.75</v>
      </c>
      <c r="C150">
        <v>328.03552734851797</v>
      </c>
      <c r="D150">
        <v>328.41009593009898</v>
      </c>
      <c r="E150">
        <v>322.40392351150501</v>
      </c>
      <c r="F150">
        <v>328.667214989662</v>
      </c>
      <c r="G150">
        <v>326.01672774553299</v>
      </c>
      <c r="H150">
        <v>325.22419233322103</v>
      </c>
      <c r="I150">
        <v>327.66055244207303</v>
      </c>
      <c r="J150">
        <v>324.32986497879</v>
      </c>
      <c r="L150">
        <f t="shared" si="17"/>
        <v>1</v>
      </c>
      <c r="M150">
        <f t="shared" si="18"/>
        <v>1</v>
      </c>
      <c r="N150">
        <f t="shared" si="19"/>
        <v>0</v>
      </c>
      <c r="O150">
        <f t="shared" si="20"/>
        <v>1</v>
      </c>
      <c r="P150">
        <f t="shared" si="21"/>
        <v>0</v>
      </c>
      <c r="Q150">
        <f t="shared" si="22"/>
        <v>0</v>
      </c>
      <c r="R150">
        <f t="shared" si="23"/>
        <v>1</v>
      </c>
      <c r="S150">
        <f t="shared" si="24"/>
        <v>0</v>
      </c>
    </row>
    <row r="151" spans="1:19" x14ac:dyDescent="0.3">
      <c r="A151">
        <v>334.30000019073401</v>
      </c>
      <c r="B151">
        <v>323.75</v>
      </c>
      <c r="C151">
        <v>326.55249905586197</v>
      </c>
      <c r="D151">
        <v>325.97950577735901</v>
      </c>
      <c r="E151">
        <v>323.41151148080797</v>
      </c>
      <c r="F151">
        <v>323.140152692794</v>
      </c>
      <c r="G151">
        <v>324.94814026355698</v>
      </c>
      <c r="H151">
        <v>323.25072207450802</v>
      </c>
      <c r="I151">
        <v>324.58063751459099</v>
      </c>
      <c r="J151">
        <v>322.719539999961</v>
      </c>
      <c r="L151">
        <f t="shared" si="17"/>
        <v>1</v>
      </c>
      <c r="M151">
        <f t="shared" si="18"/>
        <v>1</v>
      </c>
      <c r="N151">
        <f t="shared" si="19"/>
        <v>0</v>
      </c>
      <c r="O151">
        <f t="shared" si="20"/>
        <v>0</v>
      </c>
      <c r="P151">
        <f t="shared" si="21"/>
        <v>1</v>
      </c>
      <c r="Q151">
        <f t="shared" si="22"/>
        <v>0</v>
      </c>
      <c r="R151">
        <f t="shared" si="23"/>
        <v>1</v>
      </c>
      <c r="S151">
        <f t="shared" si="24"/>
        <v>0</v>
      </c>
    </row>
    <row r="152" spans="1:19" x14ac:dyDescent="0.3">
      <c r="A152">
        <v>335.95000038146901</v>
      </c>
      <c r="B152">
        <v>326.85000000000002</v>
      </c>
      <c r="C152">
        <v>325.91581449508601</v>
      </c>
      <c r="D152">
        <v>327.87094948291701</v>
      </c>
      <c r="E152">
        <v>325.99999723434399</v>
      </c>
      <c r="F152">
        <v>326.44358829259801</v>
      </c>
      <c r="G152">
        <v>323.84336838722197</v>
      </c>
      <c r="H152">
        <v>323.20717539787199</v>
      </c>
      <c r="I152">
        <v>322.65403804778998</v>
      </c>
      <c r="J152">
        <v>322.33384714126498</v>
      </c>
      <c r="L152">
        <f t="shared" si="17"/>
        <v>0</v>
      </c>
      <c r="M152">
        <f t="shared" si="18"/>
        <v>1</v>
      </c>
      <c r="N152">
        <f t="shared" si="19"/>
        <v>0</v>
      </c>
      <c r="O152">
        <f t="shared" si="20"/>
        <v>0</v>
      </c>
      <c r="P152">
        <f t="shared" si="21"/>
        <v>0</v>
      </c>
      <c r="Q152">
        <f t="shared" si="22"/>
        <v>0</v>
      </c>
      <c r="R152">
        <f t="shared" si="23"/>
        <v>0</v>
      </c>
      <c r="S152">
        <f t="shared" si="24"/>
        <v>0</v>
      </c>
    </row>
    <row r="153" spans="1:19" x14ac:dyDescent="0.3">
      <c r="A153">
        <v>338.500000190734</v>
      </c>
      <c r="B153">
        <v>327.45</v>
      </c>
      <c r="C153">
        <v>325.542457652091</v>
      </c>
      <c r="D153">
        <v>327.61860815882602</v>
      </c>
      <c r="E153">
        <v>327.04394079446701</v>
      </c>
      <c r="F153">
        <v>327.93288637399598</v>
      </c>
      <c r="G153">
        <v>325.87539298534301</v>
      </c>
      <c r="H153">
        <v>316.83264484405498</v>
      </c>
      <c r="I153">
        <v>322.93921394348098</v>
      </c>
      <c r="J153">
        <v>323.56771297454799</v>
      </c>
      <c r="L153">
        <f t="shared" si="17"/>
        <v>0</v>
      </c>
      <c r="M153">
        <f t="shared" si="18"/>
        <v>1</v>
      </c>
      <c r="N153">
        <f t="shared" si="19"/>
        <v>0</v>
      </c>
      <c r="O153">
        <f t="shared" si="20"/>
        <v>1</v>
      </c>
      <c r="P153">
        <f t="shared" si="21"/>
        <v>0</v>
      </c>
      <c r="Q153">
        <f t="shared" si="22"/>
        <v>0</v>
      </c>
      <c r="R153">
        <f t="shared" si="23"/>
        <v>0</v>
      </c>
      <c r="S153">
        <f t="shared" si="24"/>
        <v>0</v>
      </c>
    </row>
    <row r="154" spans="1:19" x14ac:dyDescent="0.3">
      <c r="A154">
        <v>333.89999990463201</v>
      </c>
      <c r="B154">
        <v>331.05</v>
      </c>
      <c r="C154">
        <v>330.75972535014103</v>
      </c>
      <c r="D154">
        <v>332.79022400379102</v>
      </c>
      <c r="E154">
        <v>331.44824086427599</v>
      </c>
      <c r="F154">
        <v>326.73969583511303</v>
      </c>
      <c r="G154">
        <v>330.350456047058</v>
      </c>
      <c r="H154">
        <v>321.18240213394103</v>
      </c>
      <c r="I154">
        <v>329.71390264034198</v>
      </c>
      <c r="J154">
        <v>327.862502145767</v>
      </c>
      <c r="L154">
        <f t="shared" si="17"/>
        <v>0</v>
      </c>
      <c r="M154">
        <f t="shared" si="18"/>
        <v>1</v>
      </c>
      <c r="N154">
        <f t="shared" si="19"/>
        <v>1</v>
      </c>
      <c r="O154">
        <f t="shared" si="20"/>
        <v>0</v>
      </c>
      <c r="P154">
        <f t="shared" si="21"/>
        <v>0</v>
      </c>
      <c r="Q154">
        <f t="shared" si="22"/>
        <v>0</v>
      </c>
      <c r="R154">
        <f t="shared" si="23"/>
        <v>0</v>
      </c>
      <c r="S154">
        <f t="shared" si="24"/>
        <v>0</v>
      </c>
    </row>
    <row r="155" spans="1:19" x14ac:dyDescent="0.3">
      <c r="A155">
        <v>334.45000009536699</v>
      </c>
      <c r="B155">
        <v>336.55</v>
      </c>
      <c r="C155">
        <v>334.764543223381</v>
      </c>
      <c r="D155">
        <v>337.36700438260999</v>
      </c>
      <c r="E155">
        <v>334.90166192054699</v>
      </c>
      <c r="F155">
        <v>329.33431653976402</v>
      </c>
      <c r="G155">
        <v>333.13525490760799</v>
      </c>
      <c r="H155">
        <v>322.13117523193301</v>
      </c>
      <c r="I155">
        <v>334.96832339763603</v>
      </c>
      <c r="J155">
        <v>330.93626909255897</v>
      </c>
      <c r="L155">
        <f t="shared" si="17"/>
        <v>1</v>
      </c>
      <c r="M155">
        <f t="shared" si="18"/>
        <v>0</v>
      </c>
      <c r="N155">
        <f t="shared" si="19"/>
        <v>1</v>
      </c>
      <c r="O155">
        <f t="shared" si="20"/>
        <v>1</v>
      </c>
      <c r="P155">
        <f t="shared" si="21"/>
        <v>1</v>
      </c>
      <c r="Q155">
        <f t="shared" si="22"/>
        <v>1</v>
      </c>
      <c r="R155">
        <f t="shared" si="23"/>
        <v>1</v>
      </c>
      <c r="S155">
        <f t="shared" si="24"/>
        <v>1</v>
      </c>
    </row>
    <row r="156" spans="1:19" x14ac:dyDescent="0.3">
      <c r="A156">
        <v>333.65000002384102</v>
      </c>
      <c r="B156">
        <v>335.05</v>
      </c>
      <c r="C156">
        <v>332.66313843727102</v>
      </c>
      <c r="D156">
        <v>334.19290040731403</v>
      </c>
      <c r="E156">
        <v>336.56625883579198</v>
      </c>
      <c r="F156">
        <v>329.52697544097902</v>
      </c>
      <c r="G156">
        <v>331.07538132667497</v>
      </c>
      <c r="H156">
        <v>326.36891090869898</v>
      </c>
      <c r="I156">
        <v>331.85781269073402</v>
      </c>
      <c r="J156">
        <v>327.486028480529</v>
      </c>
      <c r="L156">
        <f t="shared" si="17"/>
        <v>1</v>
      </c>
      <c r="M156">
        <f t="shared" si="18"/>
        <v>1</v>
      </c>
      <c r="N156">
        <f t="shared" si="19"/>
        <v>0</v>
      </c>
      <c r="O156">
        <f t="shared" si="20"/>
        <v>1</v>
      </c>
      <c r="P156">
        <f t="shared" si="21"/>
        <v>1</v>
      </c>
      <c r="Q156">
        <f t="shared" si="22"/>
        <v>1</v>
      </c>
      <c r="R156">
        <f t="shared" si="23"/>
        <v>1</v>
      </c>
      <c r="S156">
        <f t="shared" si="24"/>
        <v>1</v>
      </c>
    </row>
    <row r="157" spans="1:19" x14ac:dyDescent="0.3">
      <c r="A157">
        <v>327.40000019073398</v>
      </c>
      <c r="B157">
        <v>336.35</v>
      </c>
      <c r="C157">
        <v>335.66570875644601</v>
      </c>
      <c r="D157">
        <v>334.800878024101</v>
      </c>
      <c r="E157">
        <v>339.14487490653897</v>
      </c>
      <c r="F157">
        <v>332.544863319397</v>
      </c>
      <c r="G157">
        <v>333.28693184852602</v>
      </c>
      <c r="H157">
        <v>328.57354868650401</v>
      </c>
      <c r="I157">
        <v>329.77692327499301</v>
      </c>
      <c r="J157">
        <v>329.80485305786101</v>
      </c>
      <c r="L157">
        <f t="shared" si="17"/>
        <v>1</v>
      </c>
      <c r="M157">
        <f t="shared" si="18"/>
        <v>1</v>
      </c>
      <c r="N157">
        <f t="shared" si="19"/>
        <v>0</v>
      </c>
      <c r="O157">
        <f t="shared" si="20"/>
        <v>1</v>
      </c>
      <c r="P157">
        <f t="shared" si="21"/>
        <v>1</v>
      </c>
      <c r="Q157">
        <f t="shared" si="22"/>
        <v>1</v>
      </c>
      <c r="R157">
        <f t="shared" si="23"/>
        <v>1</v>
      </c>
      <c r="S157">
        <f t="shared" si="24"/>
        <v>1</v>
      </c>
    </row>
    <row r="158" spans="1:19" x14ac:dyDescent="0.3">
      <c r="A158">
        <v>323.00000038146902</v>
      </c>
      <c r="B158">
        <v>334.15</v>
      </c>
      <c r="C158">
        <v>332.20406105518299</v>
      </c>
      <c r="D158">
        <v>334.05452356636499</v>
      </c>
      <c r="E158">
        <v>336.83901371955801</v>
      </c>
      <c r="F158">
        <v>329.748339557647</v>
      </c>
      <c r="G158">
        <v>327.68325605392403</v>
      </c>
      <c r="H158">
        <v>332.22258913516998</v>
      </c>
      <c r="I158">
        <v>334.251345844566</v>
      </c>
      <c r="J158">
        <v>332.081195497512</v>
      </c>
      <c r="L158">
        <f t="shared" si="17"/>
        <v>1</v>
      </c>
      <c r="M158">
        <f t="shared" si="18"/>
        <v>1</v>
      </c>
      <c r="N158">
        <f t="shared" si="19"/>
        <v>0</v>
      </c>
      <c r="O158">
        <f t="shared" si="20"/>
        <v>1</v>
      </c>
      <c r="P158">
        <f t="shared" si="21"/>
        <v>1</v>
      </c>
      <c r="Q158">
        <f t="shared" si="22"/>
        <v>1</v>
      </c>
      <c r="R158">
        <f t="shared" si="23"/>
        <v>0</v>
      </c>
      <c r="S158">
        <f t="shared" si="24"/>
        <v>1</v>
      </c>
    </row>
    <row r="159" spans="1:19" x14ac:dyDescent="0.3">
      <c r="A159">
        <v>317.64999961852999</v>
      </c>
      <c r="B159">
        <v>333.75</v>
      </c>
      <c r="C159">
        <v>332.57937633991202</v>
      </c>
      <c r="D159">
        <v>332.565411806106</v>
      </c>
      <c r="E159">
        <v>332.21780073642702</v>
      </c>
      <c r="F159">
        <v>322.77043056487997</v>
      </c>
      <c r="G159">
        <v>325.19873523712101</v>
      </c>
      <c r="H159">
        <v>331.56775386333402</v>
      </c>
      <c r="I159">
        <v>327.82107782363801</v>
      </c>
      <c r="J159">
        <v>328.554145812988</v>
      </c>
      <c r="L159">
        <f t="shared" si="17"/>
        <v>1</v>
      </c>
      <c r="M159">
        <f t="shared" si="18"/>
        <v>1</v>
      </c>
      <c r="N159">
        <f t="shared" si="19"/>
        <v>1</v>
      </c>
      <c r="O159">
        <f t="shared" si="20"/>
        <v>1</v>
      </c>
      <c r="P159">
        <f t="shared" si="21"/>
        <v>1</v>
      </c>
      <c r="Q159">
        <f t="shared" si="22"/>
        <v>1</v>
      </c>
      <c r="R159">
        <f t="shared" si="23"/>
        <v>1</v>
      </c>
      <c r="S159">
        <f t="shared" si="24"/>
        <v>1</v>
      </c>
    </row>
    <row r="160" spans="1:19" x14ac:dyDescent="0.3">
      <c r="A160">
        <v>309.5</v>
      </c>
      <c r="B160">
        <v>335.25</v>
      </c>
      <c r="C160">
        <v>333.13464879989601</v>
      </c>
      <c r="D160">
        <v>334.52608811855299</v>
      </c>
      <c r="E160">
        <v>335.48626871406998</v>
      </c>
      <c r="F160">
        <v>330.59732103347699</v>
      </c>
      <c r="G160">
        <v>325.849235534667</v>
      </c>
      <c r="H160">
        <v>327.29255375862101</v>
      </c>
      <c r="I160">
        <v>330.15287685394202</v>
      </c>
      <c r="J160">
        <v>330.27359533309902</v>
      </c>
      <c r="L160">
        <f t="shared" si="17"/>
        <v>1</v>
      </c>
      <c r="M160">
        <f t="shared" si="18"/>
        <v>1</v>
      </c>
      <c r="N160">
        <f t="shared" si="19"/>
        <v>0</v>
      </c>
      <c r="O160">
        <f t="shared" si="20"/>
        <v>1</v>
      </c>
      <c r="P160">
        <f t="shared" si="21"/>
        <v>1</v>
      </c>
      <c r="Q160">
        <f t="shared" si="22"/>
        <v>1</v>
      </c>
      <c r="R160">
        <f t="shared" si="23"/>
        <v>1</v>
      </c>
      <c r="S160">
        <f t="shared" si="24"/>
        <v>1</v>
      </c>
    </row>
    <row r="161" spans="1:19" x14ac:dyDescent="0.3">
      <c r="A161">
        <v>312.50000038146902</v>
      </c>
      <c r="B161">
        <v>333.65</v>
      </c>
      <c r="C161">
        <v>330.87875356674101</v>
      </c>
      <c r="D161">
        <v>331.61870899200397</v>
      </c>
      <c r="E161">
        <v>332.102401995658</v>
      </c>
      <c r="F161">
        <v>327.52166500091499</v>
      </c>
      <c r="G161">
        <v>330.78073277473402</v>
      </c>
      <c r="H161">
        <v>326.16363066434798</v>
      </c>
      <c r="I161">
        <v>319.45324077606199</v>
      </c>
      <c r="J161">
        <v>327.27826538085901</v>
      </c>
      <c r="L161">
        <f t="shared" si="17"/>
        <v>1</v>
      </c>
      <c r="M161">
        <f t="shared" si="18"/>
        <v>1</v>
      </c>
      <c r="N161">
        <f t="shared" si="19"/>
        <v>1</v>
      </c>
      <c r="O161">
        <f t="shared" si="20"/>
        <v>1</v>
      </c>
      <c r="P161">
        <f t="shared" si="21"/>
        <v>1</v>
      </c>
      <c r="Q161">
        <f t="shared" si="22"/>
        <v>1</v>
      </c>
      <c r="R161">
        <f t="shared" si="23"/>
        <v>1</v>
      </c>
      <c r="S161">
        <f t="shared" si="24"/>
        <v>1</v>
      </c>
    </row>
    <row r="162" spans="1:19" x14ac:dyDescent="0.3">
      <c r="A162">
        <v>303.85000076293898</v>
      </c>
      <c r="B162">
        <v>332.9</v>
      </c>
      <c r="C162">
        <v>330.24396648406901</v>
      </c>
      <c r="D162">
        <v>334.14393129348701</v>
      </c>
      <c r="E162">
        <v>325.19029417037899</v>
      </c>
      <c r="F162">
        <v>325.88816871643002</v>
      </c>
      <c r="G162">
        <v>324.37507381439201</v>
      </c>
      <c r="H162">
        <v>323.264421319961</v>
      </c>
      <c r="I162">
        <v>322.12993373870802</v>
      </c>
      <c r="J162">
        <v>325.78311815261799</v>
      </c>
      <c r="L162">
        <f t="shared" si="17"/>
        <v>1</v>
      </c>
      <c r="M162">
        <f t="shared" si="18"/>
        <v>0</v>
      </c>
      <c r="N162">
        <f t="shared" si="19"/>
        <v>1</v>
      </c>
      <c r="O162">
        <f t="shared" si="20"/>
        <v>1</v>
      </c>
      <c r="P162">
        <f t="shared" si="21"/>
        <v>1</v>
      </c>
      <c r="Q162">
        <f t="shared" si="22"/>
        <v>1</v>
      </c>
      <c r="R162">
        <f t="shared" si="23"/>
        <v>1</v>
      </c>
      <c r="S162">
        <f t="shared" si="24"/>
        <v>1</v>
      </c>
    </row>
    <row r="163" spans="1:19" x14ac:dyDescent="0.3">
      <c r="A163">
        <v>308.09999923705999</v>
      </c>
      <c r="B163">
        <v>331.55</v>
      </c>
      <c r="C163">
        <v>330.43172078132602</v>
      </c>
      <c r="D163">
        <v>331.78917515575802</v>
      </c>
      <c r="E163">
        <v>326.569703865051</v>
      </c>
      <c r="F163">
        <v>328.10985784530601</v>
      </c>
      <c r="G163">
        <v>320.58848743438699</v>
      </c>
      <c r="H163">
        <v>325.138322639465</v>
      </c>
      <c r="I163">
        <v>321.69950656890802</v>
      </c>
      <c r="J163">
        <v>324.090752410888</v>
      </c>
      <c r="L163">
        <f t="shared" si="17"/>
        <v>1</v>
      </c>
      <c r="M163">
        <f t="shared" si="18"/>
        <v>0</v>
      </c>
      <c r="N163">
        <f t="shared" si="19"/>
        <v>1</v>
      </c>
      <c r="O163">
        <f t="shared" si="20"/>
        <v>1</v>
      </c>
      <c r="P163">
        <f t="shared" si="21"/>
        <v>1</v>
      </c>
      <c r="Q163">
        <f t="shared" si="22"/>
        <v>1</v>
      </c>
      <c r="R163">
        <f t="shared" si="23"/>
        <v>1</v>
      </c>
      <c r="S163">
        <f t="shared" si="24"/>
        <v>1</v>
      </c>
    </row>
    <row r="164" spans="1:19" x14ac:dyDescent="0.3">
      <c r="A164">
        <v>311.400000381469</v>
      </c>
      <c r="B164">
        <v>331.3</v>
      </c>
      <c r="C164">
        <v>329.07176237106302</v>
      </c>
      <c r="D164">
        <v>327.53592352867099</v>
      </c>
      <c r="E164">
        <v>326.77262096405002</v>
      </c>
      <c r="F164">
        <v>326.09339694976802</v>
      </c>
      <c r="G164">
        <v>318.33041744232099</v>
      </c>
      <c r="H164">
        <v>325.63689661026001</v>
      </c>
      <c r="I164">
        <v>323.59738044738702</v>
      </c>
      <c r="J164">
        <v>321.57572059631298</v>
      </c>
      <c r="L164">
        <f t="shared" si="17"/>
        <v>1</v>
      </c>
      <c r="M164">
        <f t="shared" si="18"/>
        <v>1</v>
      </c>
      <c r="N164">
        <f t="shared" si="19"/>
        <v>1</v>
      </c>
      <c r="O164">
        <f t="shared" si="20"/>
        <v>1</v>
      </c>
      <c r="P164">
        <f t="shared" si="21"/>
        <v>1</v>
      </c>
      <c r="Q164">
        <f t="shared" si="22"/>
        <v>1</v>
      </c>
      <c r="R164">
        <f t="shared" si="23"/>
        <v>1</v>
      </c>
      <c r="S164">
        <f t="shared" si="24"/>
        <v>1</v>
      </c>
    </row>
    <row r="165" spans="1:19" x14ac:dyDescent="0.3">
      <c r="A165">
        <v>314.29999961853002</v>
      </c>
      <c r="B165">
        <v>329.15</v>
      </c>
      <c r="C165">
        <v>323.66850366592399</v>
      </c>
      <c r="D165">
        <v>325.09624042510899</v>
      </c>
      <c r="E165">
        <v>322.95439090728701</v>
      </c>
      <c r="F165">
        <v>327.636472487449</v>
      </c>
      <c r="G165">
        <v>318.64373149871801</v>
      </c>
      <c r="H165">
        <v>326.32466478347698</v>
      </c>
      <c r="I165">
        <v>323.27095165252598</v>
      </c>
      <c r="J165">
        <v>319.97328796386699</v>
      </c>
      <c r="L165">
        <f t="shared" si="17"/>
        <v>1</v>
      </c>
      <c r="M165">
        <f t="shared" si="18"/>
        <v>1</v>
      </c>
      <c r="N165">
        <f t="shared" si="19"/>
        <v>1</v>
      </c>
      <c r="O165">
        <f t="shared" si="20"/>
        <v>1</v>
      </c>
      <c r="P165">
        <f t="shared" si="21"/>
        <v>1</v>
      </c>
      <c r="Q165">
        <f t="shared" si="22"/>
        <v>1</v>
      </c>
      <c r="R165">
        <f t="shared" si="23"/>
        <v>1</v>
      </c>
      <c r="S165">
        <f t="shared" si="24"/>
        <v>1</v>
      </c>
    </row>
    <row r="166" spans="1:19" x14ac:dyDescent="0.3">
      <c r="A166">
        <v>314.3</v>
      </c>
      <c r="B166">
        <v>331.3</v>
      </c>
      <c r="C166">
        <v>327.73743085861202</v>
      </c>
      <c r="D166">
        <v>324.59624128341602</v>
      </c>
      <c r="E166">
        <v>325.11702089309603</v>
      </c>
      <c r="F166">
        <v>325.797092247009</v>
      </c>
      <c r="G166">
        <v>321.10681133270202</v>
      </c>
      <c r="H166">
        <v>327.55641939639997</v>
      </c>
      <c r="I166">
        <v>320.67339401245101</v>
      </c>
      <c r="J166">
        <v>318.45450572967502</v>
      </c>
      <c r="L166">
        <f t="shared" si="17"/>
        <v>1</v>
      </c>
      <c r="M166">
        <f t="shared" si="18"/>
        <v>1</v>
      </c>
      <c r="N166">
        <f t="shared" si="19"/>
        <v>1</v>
      </c>
      <c r="O166">
        <f t="shared" si="20"/>
        <v>1</v>
      </c>
      <c r="P166">
        <f t="shared" si="21"/>
        <v>1</v>
      </c>
      <c r="Q166">
        <f t="shared" si="22"/>
        <v>1</v>
      </c>
      <c r="R166">
        <f t="shared" si="23"/>
        <v>1</v>
      </c>
      <c r="S166">
        <f t="shared" si="24"/>
        <v>1</v>
      </c>
    </row>
    <row r="167" spans="1:19" x14ac:dyDescent="0.3">
      <c r="A167">
        <v>314.30000038146898</v>
      </c>
      <c r="B167">
        <v>330.95</v>
      </c>
      <c r="C167">
        <v>325.251261901855</v>
      </c>
      <c r="D167">
        <v>325.42822713851899</v>
      </c>
      <c r="E167">
        <v>324.27437324523902</v>
      </c>
      <c r="F167">
        <v>318.54412097930901</v>
      </c>
      <c r="G167">
        <v>317.72985095977702</v>
      </c>
      <c r="H167">
        <v>327.33289561271602</v>
      </c>
      <c r="I167">
        <v>320.88441009521398</v>
      </c>
      <c r="J167">
        <v>314.46706504821702</v>
      </c>
      <c r="L167">
        <f t="shared" si="17"/>
        <v>1</v>
      </c>
      <c r="M167">
        <f t="shared" si="18"/>
        <v>1</v>
      </c>
      <c r="N167">
        <f t="shared" si="19"/>
        <v>1</v>
      </c>
      <c r="O167">
        <f t="shared" si="20"/>
        <v>1</v>
      </c>
      <c r="P167">
        <f t="shared" si="21"/>
        <v>1</v>
      </c>
      <c r="Q167">
        <f t="shared" si="22"/>
        <v>1</v>
      </c>
      <c r="R167">
        <f t="shared" si="23"/>
        <v>1</v>
      </c>
      <c r="S167">
        <f t="shared" si="24"/>
        <v>1</v>
      </c>
    </row>
    <row r="168" spans="1:19" x14ac:dyDescent="0.3">
      <c r="A168">
        <v>316.250000190734</v>
      </c>
      <c r="B168">
        <v>329.45</v>
      </c>
      <c r="C168">
        <v>329.526543562114</v>
      </c>
      <c r="D168">
        <v>329.24207442700799</v>
      </c>
      <c r="E168">
        <v>328.41607363224</v>
      </c>
      <c r="F168">
        <v>321.01158828735299</v>
      </c>
      <c r="G168">
        <v>322.75887031555101</v>
      </c>
      <c r="H168">
        <v>322.90814685821499</v>
      </c>
      <c r="I168">
        <v>316.39547367095901</v>
      </c>
      <c r="J168">
        <v>322.86023683547899</v>
      </c>
      <c r="L168">
        <f t="shared" si="17"/>
        <v>0</v>
      </c>
      <c r="M168">
        <f t="shared" si="18"/>
        <v>1</v>
      </c>
      <c r="N168">
        <f t="shared" si="19"/>
        <v>1</v>
      </c>
      <c r="O168">
        <f t="shared" si="20"/>
        <v>1</v>
      </c>
      <c r="P168">
        <f t="shared" si="21"/>
        <v>1</v>
      </c>
      <c r="Q168">
        <f t="shared" si="22"/>
        <v>1</v>
      </c>
      <c r="R168">
        <f t="shared" si="23"/>
        <v>1</v>
      </c>
      <c r="S168">
        <f t="shared" si="24"/>
        <v>1</v>
      </c>
    </row>
    <row r="169" spans="1:19" x14ac:dyDescent="0.3">
      <c r="A169">
        <v>311.99999961853001</v>
      </c>
      <c r="B169">
        <v>330.85</v>
      </c>
      <c r="C169">
        <v>331.59047088622998</v>
      </c>
      <c r="D169">
        <v>331.42052600383698</v>
      </c>
      <c r="E169">
        <v>327.63267693519498</v>
      </c>
      <c r="F169">
        <v>322.292421913147</v>
      </c>
      <c r="G169">
        <v>323.15427646636903</v>
      </c>
      <c r="H169">
        <v>326.144427299499</v>
      </c>
      <c r="I169">
        <v>327.74950442314099</v>
      </c>
      <c r="J169">
        <v>324.84312877654997</v>
      </c>
      <c r="L169">
        <f t="shared" si="17"/>
        <v>0</v>
      </c>
      <c r="M169">
        <f t="shared" si="18"/>
        <v>0</v>
      </c>
      <c r="N169">
        <f t="shared" si="19"/>
        <v>1</v>
      </c>
      <c r="O169">
        <f t="shared" si="20"/>
        <v>1</v>
      </c>
      <c r="P169">
        <f t="shared" si="21"/>
        <v>1</v>
      </c>
      <c r="Q169">
        <f t="shared" si="22"/>
        <v>1</v>
      </c>
      <c r="R169">
        <f t="shared" si="23"/>
        <v>1</v>
      </c>
      <c r="S169">
        <f t="shared" si="24"/>
        <v>1</v>
      </c>
    </row>
    <row r="170" spans="1:19" x14ac:dyDescent="0.3">
      <c r="A170">
        <v>314.05</v>
      </c>
      <c r="B170">
        <v>332.55</v>
      </c>
      <c r="C170">
        <v>331.44744246006002</v>
      </c>
      <c r="D170">
        <v>331.64172278642599</v>
      </c>
      <c r="E170">
        <v>326.36533050537099</v>
      </c>
      <c r="F170">
        <v>323.37294464111301</v>
      </c>
      <c r="G170">
        <v>321.37338619232099</v>
      </c>
      <c r="H170">
        <v>331.31809685230201</v>
      </c>
      <c r="I170">
        <v>325.78215770721403</v>
      </c>
      <c r="J170">
        <v>322.52394466400102</v>
      </c>
      <c r="L170">
        <f t="shared" si="17"/>
        <v>1</v>
      </c>
      <c r="M170">
        <f t="shared" si="18"/>
        <v>1</v>
      </c>
      <c r="N170">
        <f t="shared" si="19"/>
        <v>1</v>
      </c>
      <c r="O170">
        <f t="shared" si="20"/>
        <v>1</v>
      </c>
      <c r="P170">
        <f t="shared" si="21"/>
        <v>1</v>
      </c>
      <c r="Q170">
        <f t="shared" si="22"/>
        <v>1</v>
      </c>
      <c r="R170">
        <f t="shared" si="23"/>
        <v>1</v>
      </c>
      <c r="S170">
        <f t="shared" si="24"/>
        <v>1</v>
      </c>
    </row>
    <row r="171" spans="1:19" x14ac:dyDescent="0.3">
      <c r="A171">
        <v>311.84999961852998</v>
      </c>
      <c r="B171">
        <v>331.45</v>
      </c>
      <c r="C171">
        <v>330.443141293525</v>
      </c>
      <c r="D171">
        <v>331.03760011196101</v>
      </c>
      <c r="E171">
        <v>327.13384361266998</v>
      </c>
      <c r="F171">
        <v>323.88197441100999</v>
      </c>
      <c r="G171">
        <v>319.95242805480899</v>
      </c>
      <c r="H171">
        <v>328.300635147094</v>
      </c>
      <c r="I171">
        <v>329.94099195003503</v>
      </c>
      <c r="J171">
        <v>325.31824607849097</v>
      </c>
      <c r="L171">
        <f t="shared" si="17"/>
        <v>1</v>
      </c>
      <c r="M171">
        <f t="shared" si="18"/>
        <v>1</v>
      </c>
      <c r="N171">
        <f t="shared" si="19"/>
        <v>1</v>
      </c>
      <c r="O171">
        <f t="shared" si="20"/>
        <v>1</v>
      </c>
      <c r="P171">
        <f t="shared" si="21"/>
        <v>1</v>
      </c>
      <c r="Q171">
        <f t="shared" si="22"/>
        <v>1</v>
      </c>
      <c r="R171">
        <f t="shared" si="23"/>
        <v>1</v>
      </c>
      <c r="S171">
        <f t="shared" si="24"/>
        <v>1</v>
      </c>
    </row>
    <row r="172" spans="1:19" x14ac:dyDescent="0.3">
      <c r="A172">
        <v>316.94999980926502</v>
      </c>
      <c r="B172">
        <v>332.25</v>
      </c>
      <c r="C172">
        <v>331.53141778707499</v>
      </c>
      <c r="D172">
        <v>332.12857867032199</v>
      </c>
      <c r="E172">
        <v>325.77651882171602</v>
      </c>
      <c r="F172">
        <v>327.444835662841</v>
      </c>
      <c r="G172">
        <v>322.324887275695</v>
      </c>
      <c r="H172">
        <v>329.22841520309402</v>
      </c>
      <c r="I172">
        <v>325.10364580154402</v>
      </c>
      <c r="J172">
        <v>324.55392456054602</v>
      </c>
      <c r="L172">
        <f t="shared" si="17"/>
        <v>1</v>
      </c>
      <c r="M172">
        <f t="shared" si="18"/>
        <v>1</v>
      </c>
      <c r="N172">
        <f t="shared" si="19"/>
        <v>1</v>
      </c>
      <c r="O172">
        <f t="shared" si="20"/>
        <v>1</v>
      </c>
      <c r="P172">
        <f t="shared" si="21"/>
        <v>1</v>
      </c>
      <c r="Q172">
        <f t="shared" si="22"/>
        <v>1</v>
      </c>
      <c r="R172">
        <f t="shared" si="23"/>
        <v>1</v>
      </c>
      <c r="S172">
        <f t="shared" si="24"/>
        <v>1</v>
      </c>
    </row>
    <row r="173" spans="1:19" x14ac:dyDescent="0.3">
      <c r="A173">
        <v>317.099999809265</v>
      </c>
      <c r="B173">
        <v>325.89999999999998</v>
      </c>
      <c r="C173">
        <v>329.73841729164099</v>
      </c>
      <c r="D173">
        <v>329.11284079551598</v>
      </c>
      <c r="E173">
        <v>326.63063510656298</v>
      </c>
      <c r="F173">
        <v>326.815375351905</v>
      </c>
      <c r="G173">
        <v>324.32312872409801</v>
      </c>
      <c r="H173">
        <v>335.20114135742102</v>
      </c>
      <c r="I173">
        <v>326.74308516979198</v>
      </c>
      <c r="J173">
        <v>320.19728555679302</v>
      </c>
      <c r="L173">
        <f t="shared" si="17"/>
        <v>0</v>
      </c>
      <c r="M173">
        <f t="shared" si="18"/>
        <v>0</v>
      </c>
      <c r="N173">
        <f t="shared" si="19"/>
        <v>0</v>
      </c>
      <c r="O173">
        <f t="shared" si="20"/>
        <v>0</v>
      </c>
      <c r="P173">
        <f t="shared" si="21"/>
        <v>1</v>
      </c>
      <c r="Q173">
        <f t="shared" si="22"/>
        <v>0</v>
      </c>
      <c r="R173">
        <f t="shared" si="23"/>
        <v>0</v>
      </c>
      <c r="S173">
        <f t="shared" si="24"/>
        <v>1</v>
      </c>
    </row>
    <row r="174" spans="1:19" x14ac:dyDescent="0.3">
      <c r="A174">
        <v>315.750000190734</v>
      </c>
      <c r="B174">
        <v>327.7</v>
      </c>
      <c r="C174">
        <v>328.24612660408002</v>
      </c>
      <c r="D174">
        <v>329.33260900974199</v>
      </c>
      <c r="E174">
        <v>324.79321188926599</v>
      </c>
      <c r="F174">
        <v>324.10140867233201</v>
      </c>
      <c r="G174">
        <v>319.657780838012</v>
      </c>
      <c r="H174">
        <v>333.83222616612898</v>
      </c>
      <c r="I174">
        <v>324.27079815864499</v>
      </c>
      <c r="J174">
        <v>322.63997049331601</v>
      </c>
      <c r="L174">
        <f t="shared" si="17"/>
        <v>0</v>
      </c>
      <c r="M174">
        <f t="shared" si="18"/>
        <v>0</v>
      </c>
      <c r="N174">
        <f t="shared" si="19"/>
        <v>1</v>
      </c>
      <c r="O174">
        <f t="shared" si="20"/>
        <v>1</v>
      </c>
      <c r="P174">
        <f t="shared" si="21"/>
        <v>1</v>
      </c>
      <c r="Q174">
        <f t="shared" si="22"/>
        <v>0</v>
      </c>
      <c r="R174">
        <f t="shared" si="23"/>
        <v>1</v>
      </c>
      <c r="S174">
        <f t="shared" si="24"/>
        <v>1</v>
      </c>
    </row>
    <row r="175" spans="1:19" x14ac:dyDescent="0.3">
      <c r="A175">
        <v>312.45</v>
      </c>
      <c r="B175">
        <v>327.7</v>
      </c>
      <c r="C175">
        <v>328.29165728092102</v>
      </c>
      <c r="D175">
        <v>329.38779468536302</v>
      </c>
      <c r="E175">
        <v>325.52019805908202</v>
      </c>
      <c r="F175">
        <v>321.37641353607103</v>
      </c>
      <c r="G175">
        <v>322.36918182373</v>
      </c>
      <c r="H175">
        <v>333.30012185573497</v>
      </c>
      <c r="I175">
        <v>324.18408198356599</v>
      </c>
      <c r="J175">
        <v>324.24585671424802</v>
      </c>
      <c r="L175">
        <f t="shared" si="17"/>
        <v>0</v>
      </c>
      <c r="M175">
        <f t="shared" si="18"/>
        <v>0</v>
      </c>
      <c r="N175">
        <f t="shared" si="19"/>
        <v>1</v>
      </c>
      <c r="O175">
        <f t="shared" si="20"/>
        <v>1</v>
      </c>
      <c r="P175">
        <f t="shared" si="21"/>
        <v>1</v>
      </c>
      <c r="Q175">
        <f t="shared" si="22"/>
        <v>0</v>
      </c>
      <c r="R175">
        <f t="shared" si="23"/>
        <v>1</v>
      </c>
      <c r="S175">
        <f t="shared" si="24"/>
        <v>1</v>
      </c>
    </row>
    <row r="176" spans="1:19" x14ac:dyDescent="0.3">
      <c r="A176">
        <v>312.44999980926502</v>
      </c>
      <c r="B176">
        <v>322.25</v>
      </c>
      <c r="C176">
        <v>324.654412269592</v>
      </c>
      <c r="D176">
        <v>324.27001595497097</v>
      </c>
      <c r="E176">
        <v>321.26651597022999</v>
      </c>
      <c r="F176">
        <v>324.02581298351203</v>
      </c>
      <c r="G176">
        <v>324.56759262084898</v>
      </c>
      <c r="H176">
        <v>331.06626715660002</v>
      </c>
      <c r="I176">
        <v>323.67430615425098</v>
      </c>
      <c r="J176">
        <v>326.50939702987603</v>
      </c>
      <c r="L176">
        <f t="shared" si="17"/>
        <v>0</v>
      </c>
      <c r="M176">
        <f t="shared" si="18"/>
        <v>0</v>
      </c>
      <c r="N176">
        <f t="shared" si="19"/>
        <v>1</v>
      </c>
      <c r="O176">
        <f t="shared" si="20"/>
        <v>0</v>
      </c>
      <c r="P176">
        <f t="shared" si="21"/>
        <v>0</v>
      </c>
      <c r="Q176">
        <f t="shared" si="22"/>
        <v>0</v>
      </c>
      <c r="R176">
        <f t="shared" si="23"/>
        <v>0</v>
      </c>
      <c r="S176">
        <f t="shared" si="24"/>
        <v>0</v>
      </c>
    </row>
    <row r="177" spans="1:19" x14ac:dyDescent="0.3">
      <c r="A177">
        <v>308.15000019073398</v>
      </c>
      <c r="B177">
        <v>321.85000000000002</v>
      </c>
      <c r="C177">
        <v>323.723623251915</v>
      </c>
      <c r="D177">
        <v>324.00534138679501</v>
      </c>
      <c r="E177">
        <v>321.56703469753199</v>
      </c>
      <c r="F177">
        <v>322.14861825704497</v>
      </c>
      <c r="G177">
        <v>324.46743354797297</v>
      </c>
      <c r="H177">
        <v>331.02322068214397</v>
      </c>
      <c r="I177">
        <v>315.814258670806</v>
      </c>
      <c r="J177">
        <v>325.70105419158898</v>
      </c>
      <c r="L177">
        <f t="shared" si="17"/>
        <v>0</v>
      </c>
      <c r="M177">
        <f t="shared" si="18"/>
        <v>0</v>
      </c>
      <c r="N177">
        <f t="shared" si="19"/>
        <v>1</v>
      </c>
      <c r="O177">
        <f t="shared" si="20"/>
        <v>0</v>
      </c>
      <c r="P177">
        <f t="shared" si="21"/>
        <v>0</v>
      </c>
      <c r="Q177">
        <f t="shared" si="22"/>
        <v>0</v>
      </c>
      <c r="R177">
        <f t="shared" si="23"/>
        <v>1</v>
      </c>
      <c r="S177">
        <f t="shared" si="24"/>
        <v>0</v>
      </c>
    </row>
    <row r="178" spans="1:19" x14ac:dyDescent="0.3">
      <c r="A178">
        <v>303.85000038146899</v>
      </c>
      <c r="B178">
        <v>325</v>
      </c>
      <c r="C178">
        <v>326.05824553966499</v>
      </c>
      <c r="D178">
        <v>326.10601890087099</v>
      </c>
      <c r="E178">
        <v>325.60704165697098</v>
      </c>
      <c r="F178">
        <v>323.58726537227602</v>
      </c>
      <c r="G178">
        <v>326.145636677742</v>
      </c>
      <c r="H178">
        <v>326.87207913398697</v>
      </c>
      <c r="I178">
        <v>318.97091388702302</v>
      </c>
      <c r="J178">
        <v>328.00038456916798</v>
      </c>
      <c r="L178">
        <f t="shared" si="17"/>
        <v>0</v>
      </c>
      <c r="M178">
        <f t="shared" si="18"/>
        <v>0</v>
      </c>
      <c r="N178">
        <f t="shared" si="19"/>
        <v>0</v>
      </c>
      <c r="O178">
        <f t="shared" si="20"/>
        <v>1</v>
      </c>
      <c r="P178">
        <f t="shared" si="21"/>
        <v>0</v>
      </c>
      <c r="Q178">
        <f t="shared" si="22"/>
        <v>0</v>
      </c>
      <c r="R178">
        <f t="shared" si="23"/>
        <v>1</v>
      </c>
      <c r="S178">
        <f t="shared" si="24"/>
        <v>0</v>
      </c>
    </row>
    <row r="179" spans="1:19" x14ac:dyDescent="0.3">
      <c r="A179">
        <v>310.30000076293902</v>
      </c>
      <c r="B179">
        <v>326.60000000000002</v>
      </c>
      <c r="C179">
        <v>326.652543707191</v>
      </c>
      <c r="D179">
        <v>326.25260857343602</v>
      </c>
      <c r="E179">
        <v>325.17942306995297</v>
      </c>
      <c r="F179">
        <v>324.59197101593003</v>
      </c>
      <c r="G179">
        <v>328.30736777782403</v>
      </c>
      <c r="H179">
        <v>318.84882512092503</v>
      </c>
      <c r="I179">
        <v>317.249361610412</v>
      </c>
      <c r="J179">
        <v>323.959729290008</v>
      </c>
      <c r="L179">
        <f t="shared" si="17"/>
        <v>0</v>
      </c>
      <c r="M179">
        <f t="shared" si="18"/>
        <v>1</v>
      </c>
      <c r="N179">
        <f t="shared" si="19"/>
        <v>1</v>
      </c>
      <c r="O179">
        <f t="shared" si="20"/>
        <v>1</v>
      </c>
      <c r="P179">
        <f t="shared" si="21"/>
        <v>0</v>
      </c>
      <c r="Q179">
        <f t="shared" si="22"/>
        <v>1</v>
      </c>
      <c r="R179">
        <f t="shared" si="23"/>
        <v>1</v>
      </c>
      <c r="S179">
        <f t="shared" si="24"/>
        <v>1</v>
      </c>
    </row>
    <row r="180" spans="1:19" x14ac:dyDescent="0.3">
      <c r="A180">
        <v>310.45000019073399</v>
      </c>
      <c r="B180">
        <v>321.64999999999998</v>
      </c>
      <c r="C180">
        <v>323.751310253143</v>
      </c>
      <c r="D180">
        <v>324.032881402969</v>
      </c>
      <c r="E180">
        <v>321.97502311468099</v>
      </c>
      <c r="F180">
        <v>319.66414012908899</v>
      </c>
      <c r="G180">
        <v>323.80675306320097</v>
      </c>
      <c r="H180">
        <v>311.70088863372803</v>
      </c>
      <c r="I180">
        <v>318.27137603759701</v>
      </c>
      <c r="J180">
        <v>319.76614203452999</v>
      </c>
      <c r="L180">
        <f t="shared" si="17"/>
        <v>0</v>
      </c>
      <c r="M180">
        <f t="shared" si="18"/>
        <v>0</v>
      </c>
      <c r="N180">
        <f t="shared" si="19"/>
        <v>0</v>
      </c>
      <c r="O180">
        <f t="shared" si="20"/>
        <v>1</v>
      </c>
      <c r="P180">
        <f t="shared" si="21"/>
        <v>0</v>
      </c>
      <c r="Q180">
        <f t="shared" si="22"/>
        <v>1</v>
      </c>
      <c r="R180">
        <f t="shared" si="23"/>
        <v>1</v>
      </c>
      <c r="S180">
        <f t="shared" si="24"/>
        <v>1</v>
      </c>
    </row>
    <row r="181" spans="1:19" x14ac:dyDescent="0.3">
      <c r="A181">
        <v>313.60000009536702</v>
      </c>
      <c r="B181">
        <v>320.7</v>
      </c>
      <c r="C181">
        <v>323.32413501739501</v>
      </c>
      <c r="D181">
        <v>322.93175072669902</v>
      </c>
      <c r="E181">
        <v>321.95988161563798</v>
      </c>
      <c r="F181">
        <v>320.26302109360603</v>
      </c>
      <c r="G181">
        <v>321.80108447074798</v>
      </c>
      <c r="H181">
        <v>308.63615345954798</v>
      </c>
      <c r="I181">
        <v>314.80366249084398</v>
      </c>
      <c r="J181">
        <v>321.21445627212501</v>
      </c>
      <c r="L181">
        <f t="shared" si="17"/>
        <v>0</v>
      </c>
      <c r="M181">
        <f t="shared" si="18"/>
        <v>0</v>
      </c>
      <c r="N181">
        <f t="shared" si="19"/>
        <v>0</v>
      </c>
      <c r="O181">
        <f t="shared" si="20"/>
        <v>1</v>
      </c>
      <c r="P181">
        <f t="shared" si="21"/>
        <v>0</v>
      </c>
      <c r="Q181">
        <f t="shared" si="22"/>
        <v>1</v>
      </c>
      <c r="R181">
        <f t="shared" si="23"/>
        <v>1</v>
      </c>
      <c r="S181">
        <f t="shared" si="24"/>
        <v>0</v>
      </c>
    </row>
    <row r="182" spans="1:19" x14ac:dyDescent="0.3">
      <c r="A182">
        <v>317.099999809265</v>
      </c>
      <c r="B182">
        <v>321.39999999999998</v>
      </c>
      <c r="C182">
        <v>322.39573433399198</v>
      </c>
      <c r="D182">
        <v>321.89081474542598</v>
      </c>
      <c r="E182">
        <v>322.89683248996698</v>
      </c>
      <c r="F182">
        <v>320.78877981901098</v>
      </c>
      <c r="G182">
        <v>321.52451057881098</v>
      </c>
      <c r="H182">
        <v>301.05879030227601</v>
      </c>
      <c r="I182">
        <v>316.33156147003098</v>
      </c>
      <c r="J182">
        <v>322.20217725038498</v>
      </c>
      <c r="L182">
        <f t="shared" si="17"/>
        <v>0</v>
      </c>
      <c r="M182">
        <f t="shared" si="18"/>
        <v>0</v>
      </c>
      <c r="N182">
        <f t="shared" si="19"/>
        <v>0</v>
      </c>
      <c r="O182">
        <f t="shared" si="20"/>
        <v>1</v>
      </c>
      <c r="P182">
        <f t="shared" si="21"/>
        <v>0</v>
      </c>
      <c r="Q182">
        <f t="shared" si="22"/>
        <v>1</v>
      </c>
      <c r="R182">
        <f t="shared" si="23"/>
        <v>1</v>
      </c>
      <c r="S182">
        <f t="shared" si="24"/>
        <v>0</v>
      </c>
    </row>
    <row r="183" spans="1:19" x14ac:dyDescent="0.3">
      <c r="A183">
        <v>320.10000002384101</v>
      </c>
      <c r="B183">
        <v>321.5</v>
      </c>
      <c r="C183">
        <v>324.315950632095</v>
      </c>
      <c r="D183">
        <v>322.77208435535402</v>
      </c>
      <c r="E183">
        <v>322.41550964116999</v>
      </c>
      <c r="F183">
        <v>321.838453292846</v>
      </c>
      <c r="G183">
        <v>325.205901145935</v>
      </c>
      <c r="H183">
        <v>299.16120681762698</v>
      </c>
      <c r="I183">
        <v>311.944654464721</v>
      </c>
      <c r="J183">
        <v>323.50760459899902</v>
      </c>
      <c r="L183">
        <f t="shared" si="17"/>
        <v>0</v>
      </c>
      <c r="M183">
        <f t="shared" si="18"/>
        <v>0</v>
      </c>
      <c r="N183">
        <f t="shared" si="19"/>
        <v>0</v>
      </c>
      <c r="O183">
        <f t="shared" si="20"/>
        <v>0</v>
      </c>
      <c r="P183">
        <f t="shared" si="21"/>
        <v>0</v>
      </c>
      <c r="Q183">
        <f t="shared" si="22"/>
        <v>1</v>
      </c>
      <c r="R183">
        <f t="shared" si="23"/>
        <v>1</v>
      </c>
      <c r="S183">
        <f t="shared" si="24"/>
        <v>0</v>
      </c>
    </row>
    <row r="184" spans="1:19" x14ac:dyDescent="0.3">
      <c r="A184">
        <v>321.49999995231599</v>
      </c>
      <c r="B184">
        <v>320.45</v>
      </c>
      <c r="C184">
        <v>324.45701713561999</v>
      </c>
      <c r="D184">
        <v>325.77471942901599</v>
      </c>
      <c r="E184">
        <v>322.08074696063898</v>
      </c>
      <c r="F184">
        <v>321.29025257825799</v>
      </c>
      <c r="G184">
        <v>324.96371192932099</v>
      </c>
      <c r="H184">
        <v>303.48518648147501</v>
      </c>
      <c r="I184">
        <v>318.766362142562</v>
      </c>
      <c r="J184">
        <v>322.90064854621801</v>
      </c>
      <c r="L184">
        <f t="shared" si="17"/>
        <v>1</v>
      </c>
      <c r="M184">
        <f t="shared" si="18"/>
        <v>1</v>
      </c>
      <c r="N184">
        <f t="shared" si="19"/>
        <v>1</v>
      </c>
      <c r="O184">
        <f t="shared" si="20"/>
        <v>1</v>
      </c>
      <c r="P184">
        <f t="shared" si="21"/>
        <v>1</v>
      </c>
      <c r="Q184">
        <f t="shared" si="22"/>
        <v>0</v>
      </c>
      <c r="R184">
        <f t="shared" si="23"/>
        <v>0</v>
      </c>
      <c r="S184">
        <f t="shared" si="24"/>
        <v>1</v>
      </c>
    </row>
    <row r="185" spans="1:19" x14ac:dyDescent="0.3">
      <c r="A185">
        <v>321.550000047683</v>
      </c>
      <c r="B185">
        <v>322.85000000000002</v>
      </c>
      <c r="C185">
        <v>325.492107725143</v>
      </c>
      <c r="D185">
        <v>325.75079498291001</v>
      </c>
      <c r="E185">
        <v>320.53904328346198</v>
      </c>
      <c r="F185">
        <v>323.49802175760198</v>
      </c>
      <c r="G185">
        <v>325.65916190147402</v>
      </c>
      <c r="H185">
        <v>306.17268733978199</v>
      </c>
      <c r="I185">
        <v>319.94797644615102</v>
      </c>
      <c r="J185">
        <v>323.86029729843102</v>
      </c>
      <c r="L185">
        <f t="shared" si="17"/>
        <v>0</v>
      </c>
      <c r="M185">
        <f t="shared" si="18"/>
        <v>0</v>
      </c>
      <c r="N185">
        <f t="shared" si="19"/>
        <v>1</v>
      </c>
      <c r="O185">
        <f t="shared" si="20"/>
        <v>0</v>
      </c>
      <c r="P185">
        <f t="shared" si="21"/>
        <v>0</v>
      </c>
      <c r="Q185">
        <f t="shared" si="22"/>
        <v>1</v>
      </c>
      <c r="R185">
        <f t="shared" si="23"/>
        <v>1</v>
      </c>
      <c r="S185">
        <f t="shared" si="24"/>
        <v>0</v>
      </c>
    </row>
    <row r="186" spans="1:19" x14ac:dyDescent="0.3">
      <c r="A186">
        <v>322.84999995231601</v>
      </c>
      <c r="B186">
        <v>324.3</v>
      </c>
      <c r="C186">
        <v>327.15948967933599</v>
      </c>
      <c r="D186">
        <v>326.398165273666</v>
      </c>
      <c r="E186">
        <v>324.00546585321399</v>
      </c>
      <c r="F186">
        <v>325.38451402187297</v>
      </c>
      <c r="G186">
        <v>326.82769041061403</v>
      </c>
      <c r="H186">
        <v>305.08370380401601</v>
      </c>
      <c r="I186">
        <v>325.49982492923698</v>
      </c>
      <c r="J186">
        <v>330.427735614776</v>
      </c>
      <c r="L186">
        <f t="shared" si="17"/>
        <v>0</v>
      </c>
      <c r="M186">
        <f t="shared" si="18"/>
        <v>0</v>
      </c>
      <c r="N186">
        <f t="shared" si="19"/>
        <v>1</v>
      </c>
      <c r="O186">
        <f t="shared" si="20"/>
        <v>0</v>
      </c>
      <c r="P186">
        <f t="shared" si="21"/>
        <v>0</v>
      </c>
      <c r="Q186">
        <f t="shared" si="22"/>
        <v>1</v>
      </c>
      <c r="R186">
        <f t="shared" si="23"/>
        <v>0</v>
      </c>
      <c r="S186">
        <f t="shared" si="24"/>
        <v>0</v>
      </c>
    </row>
    <row r="187" spans="1:19" x14ac:dyDescent="0.3">
      <c r="A187">
        <v>322</v>
      </c>
      <c r="B187">
        <v>322.75</v>
      </c>
      <c r="C187">
        <v>322.54871836304602</v>
      </c>
      <c r="D187">
        <v>324.17103004455498</v>
      </c>
      <c r="E187">
        <v>322.58291466534098</v>
      </c>
      <c r="F187">
        <v>323.22099739313097</v>
      </c>
      <c r="G187">
        <v>322.96177148818902</v>
      </c>
      <c r="H187">
        <v>308.292259025573</v>
      </c>
      <c r="I187">
        <v>326.67470908164898</v>
      </c>
      <c r="J187">
        <v>323.25920224189701</v>
      </c>
      <c r="L187">
        <f t="shared" si="17"/>
        <v>1</v>
      </c>
      <c r="M187">
        <f t="shared" si="18"/>
        <v>0</v>
      </c>
      <c r="N187">
        <f t="shared" si="19"/>
        <v>1</v>
      </c>
      <c r="O187">
        <f t="shared" si="20"/>
        <v>0</v>
      </c>
      <c r="P187">
        <f t="shared" si="21"/>
        <v>0</v>
      </c>
      <c r="Q187">
        <f t="shared" si="22"/>
        <v>1</v>
      </c>
      <c r="R187">
        <f t="shared" si="23"/>
        <v>0</v>
      </c>
      <c r="S187">
        <f t="shared" si="24"/>
        <v>0</v>
      </c>
    </row>
    <row r="188" spans="1:19" x14ac:dyDescent="0.3">
      <c r="A188">
        <v>319.849999809265</v>
      </c>
      <c r="B188">
        <v>324.14999999999998</v>
      </c>
      <c r="C188">
        <v>324.08730223923902</v>
      </c>
      <c r="D188">
        <v>326.18402256965601</v>
      </c>
      <c r="E188">
        <v>327.31958713531401</v>
      </c>
      <c r="F188">
        <v>327.16128196716301</v>
      </c>
      <c r="G188">
        <v>329.67401256561197</v>
      </c>
      <c r="H188">
        <v>309.21653699874798</v>
      </c>
      <c r="I188">
        <v>325.51992442607798</v>
      </c>
      <c r="J188">
        <v>327.24844684600799</v>
      </c>
      <c r="L188">
        <f t="shared" si="17"/>
        <v>1</v>
      </c>
      <c r="M188">
        <f t="shared" si="18"/>
        <v>0</v>
      </c>
      <c r="N188">
        <f t="shared" si="19"/>
        <v>0</v>
      </c>
      <c r="O188">
        <f t="shared" si="20"/>
        <v>0</v>
      </c>
      <c r="P188">
        <f t="shared" si="21"/>
        <v>0</v>
      </c>
      <c r="Q188">
        <f t="shared" si="22"/>
        <v>1</v>
      </c>
      <c r="R188">
        <f t="shared" si="23"/>
        <v>0</v>
      </c>
      <c r="S188">
        <f t="shared" si="24"/>
        <v>0</v>
      </c>
    </row>
    <row r="189" spans="1:19" x14ac:dyDescent="0.3">
      <c r="A189">
        <v>321.300000047683</v>
      </c>
      <c r="B189">
        <v>323.85000000000002</v>
      </c>
      <c r="C189">
        <v>324.32988811135198</v>
      </c>
      <c r="D189">
        <v>323.66661596894198</v>
      </c>
      <c r="E189">
        <v>326.27331266403201</v>
      </c>
      <c r="F189">
        <v>326.04911432266198</v>
      </c>
      <c r="G189">
        <v>328.30110034942601</v>
      </c>
      <c r="H189">
        <v>303.25435161590502</v>
      </c>
      <c r="I189">
        <v>331.97793731689399</v>
      </c>
      <c r="J189">
        <v>328.18627462387002</v>
      </c>
      <c r="L189">
        <f t="shared" si="17"/>
        <v>0</v>
      </c>
      <c r="M189">
        <f t="shared" si="18"/>
        <v>1</v>
      </c>
      <c r="N189">
        <f t="shared" si="19"/>
        <v>0</v>
      </c>
      <c r="O189">
        <f t="shared" si="20"/>
        <v>0</v>
      </c>
      <c r="P189">
        <f t="shared" si="21"/>
        <v>0</v>
      </c>
      <c r="Q189">
        <f t="shared" si="22"/>
        <v>1</v>
      </c>
      <c r="R189">
        <f t="shared" si="23"/>
        <v>0</v>
      </c>
      <c r="S189">
        <f t="shared" si="24"/>
        <v>0</v>
      </c>
    </row>
    <row r="190" spans="1:19" x14ac:dyDescent="0.3">
      <c r="A190">
        <v>321.59999995231601</v>
      </c>
      <c r="B190">
        <v>323.55</v>
      </c>
      <c r="C190">
        <v>322.33425323963098</v>
      </c>
      <c r="D190">
        <v>323.26468430757501</v>
      </c>
      <c r="E190">
        <v>330.00199108123701</v>
      </c>
      <c r="F190">
        <v>327.88498859405502</v>
      </c>
      <c r="G190">
        <v>330.43340950012202</v>
      </c>
      <c r="H190">
        <v>305.99573307037298</v>
      </c>
      <c r="I190">
        <v>329.89767913818298</v>
      </c>
      <c r="J190">
        <v>323.031714844703</v>
      </c>
      <c r="L190">
        <f t="shared" si="17"/>
        <v>1</v>
      </c>
      <c r="M190">
        <f t="shared" si="18"/>
        <v>1</v>
      </c>
      <c r="N190">
        <f t="shared" si="19"/>
        <v>0</v>
      </c>
      <c r="O190">
        <f t="shared" si="20"/>
        <v>0</v>
      </c>
      <c r="P190">
        <f t="shared" si="21"/>
        <v>0</v>
      </c>
      <c r="Q190">
        <f t="shared" si="22"/>
        <v>1</v>
      </c>
      <c r="R190">
        <f t="shared" si="23"/>
        <v>0</v>
      </c>
      <c r="S190">
        <f t="shared" si="24"/>
        <v>1</v>
      </c>
    </row>
    <row r="191" spans="1:19" x14ac:dyDescent="0.3">
      <c r="A191">
        <v>322.10000000000002</v>
      </c>
      <c r="B191">
        <v>316.85000000000002</v>
      </c>
      <c r="C191">
        <v>319.85261259078902</v>
      </c>
      <c r="D191">
        <v>318.59854481220202</v>
      </c>
      <c r="E191">
        <v>325.77498302459702</v>
      </c>
      <c r="F191">
        <v>320.90348587036101</v>
      </c>
      <c r="G191">
        <v>325.37651691436702</v>
      </c>
      <c r="H191">
        <v>309.20140752792298</v>
      </c>
      <c r="I191">
        <v>333.99411354064898</v>
      </c>
      <c r="J191">
        <v>323.45660648345898</v>
      </c>
      <c r="L191">
        <f t="shared" si="17"/>
        <v>1</v>
      </c>
      <c r="M191">
        <f t="shared" si="18"/>
        <v>1</v>
      </c>
      <c r="N191">
        <f t="shared" si="19"/>
        <v>1</v>
      </c>
      <c r="O191">
        <f t="shared" si="20"/>
        <v>1</v>
      </c>
      <c r="P191">
        <f t="shared" si="21"/>
        <v>1</v>
      </c>
      <c r="Q191">
        <f t="shared" si="22"/>
        <v>0</v>
      </c>
      <c r="R191">
        <f t="shared" si="23"/>
        <v>1</v>
      </c>
      <c r="S191">
        <f t="shared" si="24"/>
        <v>1</v>
      </c>
    </row>
    <row r="192" spans="1:19" x14ac:dyDescent="0.3">
      <c r="A192">
        <v>311.5</v>
      </c>
      <c r="B192">
        <v>318.5</v>
      </c>
      <c r="C192">
        <v>318.92773553729</v>
      </c>
      <c r="D192">
        <v>319.644215106964</v>
      </c>
      <c r="E192">
        <v>323.91973209381098</v>
      </c>
      <c r="F192">
        <v>322.62140130996698</v>
      </c>
      <c r="G192">
        <v>324.37660598754798</v>
      </c>
      <c r="H192">
        <v>310.243888092041</v>
      </c>
      <c r="I192">
        <v>327.86213016509998</v>
      </c>
      <c r="J192">
        <v>319.94182932376799</v>
      </c>
      <c r="L192">
        <f t="shared" si="17"/>
        <v>0</v>
      </c>
      <c r="M192">
        <f t="shared" si="18"/>
        <v>0</v>
      </c>
      <c r="N192">
        <f t="shared" si="19"/>
        <v>0</v>
      </c>
      <c r="O192">
        <f t="shared" si="20"/>
        <v>0</v>
      </c>
      <c r="P192">
        <f t="shared" si="21"/>
        <v>0</v>
      </c>
      <c r="Q192">
        <f t="shared" si="22"/>
        <v>1</v>
      </c>
      <c r="R192">
        <f t="shared" si="23"/>
        <v>0</v>
      </c>
      <c r="S192">
        <f t="shared" si="24"/>
        <v>0</v>
      </c>
    </row>
    <row r="193" spans="1:19" x14ac:dyDescent="0.3">
      <c r="A193">
        <v>314.5</v>
      </c>
      <c r="B193">
        <v>318.5</v>
      </c>
      <c r="C193">
        <v>318.32418867945597</v>
      </c>
      <c r="D193">
        <v>318.44444384425799</v>
      </c>
      <c r="E193">
        <v>324.20046997070301</v>
      </c>
      <c r="F193">
        <v>323.66691589355401</v>
      </c>
      <c r="G193">
        <v>321.45660328865</v>
      </c>
      <c r="H193">
        <v>314.70292172431903</v>
      </c>
      <c r="I193">
        <v>331.91085433959898</v>
      </c>
      <c r="J193">
        <v>317.78089582920001</v>
      </c>
      <c r="L193">
        <f t="shared" si="17"/>
        <v>1</v>
      </c>
      <c r="M193">
        <f t="shared" si="18"/>
        <v>1</v>
      </c>
      <c r="N193">
        <f t="shared" si="19"/>
        <v>0</v>
      </c>
      <c r="O193">
        <f t="shared" si="20"/>
        <v>0</v>
      </c>
      <c r="P193">
        <f t="shared" si="21"/>
        <v>0</v>
      </c>
      <c r="Q193">
        <f t="shared" si="22"/>
        <v>1</v>
      </c>
      <c r="R193">
        <f t="shared" si="23"/>
        <v>0</v>
      </c>
      <c r="S193">
        <f t="shared" si="24"/>
        <v>1</v>
      </c>
    </row>
    <row r="194" spans="1:19" x14ac:dyDescent="0.3">
      <c r="A194">
        <v>315.15000004768302</v>
      </c>
      <c r="B194">
        <v>317.45</v>
      </c>
      <c r="C194">
        <v>318.742377829551</v>
      </c>
      <c r="D194">
        <v>316.81686486005702</v>
      </c>
      <c r="E194">
        <v>322.18394393920897</v>
      </c>
      <c r="F194">
        <v>321.217479896545</v>
      </c>
      <c r="G194">
        <v>320.06247658729501</v>
      </c>
      <c r="H194">
        <v>313.09327507018997</v>
      </c>
      <c r="I194">
        <v>333.26816196441598</v>
      </c>
      <c r="J194">
        <v>318.47287077903701</v>
      </c>
      <c r="L194">
        <f t="shared" si="17"/>
        <v>0</v>
      </c>
      <c r="M194">
        <f t="shared" si="18"/>
        <v>1</v>
      </c>
      <c r="N194">
        <f t="shared" si="19"/>
        <v>0</v>
      </c>
      <c r="O194">
        <f t="shared" si="20"/>
        <v>0</v>
      </c>
      <c r="P194">
        <f t="shared" si="21"/>
        <v>0</v>
      </c>
      <c r="Q194">
        <f t="shared" si="22"/>
        <v>1</v>
      </c>
      <c r="R194">
        <f t="shared" si="23"/>
        <v>0</v>
      </c>
      <c r="S194">
        <f t="shared" si="24"/>
        <v>0</v>
      </c>
    </row>
    <row r="195" spans="1:19" x14ac:dyDescent="0.3">
      <c r="A195">
        <v>310.64999980926501</v>
      </c>
      <c r="B195">
        <v>321.2</v>
      </c>
      <c r="C195">
        <v>322.934786391258</v>
      </c>
      <c r="D195">
        <v>319.56302340030601</v>
      </c>
      <c r="E195">
        <v>327.29799766540498</v>
      </c>
      <c r="F195">
        <v>325.40152664184501</v>
      </c>
      <c r="G195">
        <v>320.01411373615201</v>
      </c>
      <c r="H195">
        <v>307.38774747848498</v>
      </c>
      <c r="I195">
        <v>336.25796527862502</v>
      </c>
      <c r="J195">
        <v>325.87901468276903</v>
      </c>
      <c r="L195">
        <f t="shared" ref="L195:L258" si="25">IF(($A195-$B195)*(C195-$B195)&gt;0,1,0)</f>
        <v>0</v>
      </c>
      <c r="M195">
        <f t="shared" ref="M195:M258" si="26">IF(($A195-$B195)*(D195-$B195)&gt;0,1,0)</f>
        <v>1</v>
      </c>
      <c r="N195">
        <f t="shared" ref="N195:N258" si="27">IF(($A195-$B195)*(E195-$B195)&gt;0,1,0)</f>
        <v>0</v>
      </c>
      <c r="O195">
        <f t="shared" ref="O195:O258" si="28">IF(($A195-$B195)*(F195-$B195)&gt;0,1,0)</f>
        <v>0</v>
      </c>
      <c r="P195">
        <f t="shared" ref="P195:P258" si="29">IF(($A195-$B195)*(G195-$B195)&gt;0,1,0)</f>
        <v>1</v>
      </c>
      <c r="Q195">
        <f t="shared" ref="Q195:Q258" si="30">IF(($A195-$B195)*(H195-$B195)&gt;0,1,0)</f>
        <v>1</v>
      </c>
      <c r="R195">
        <f t="shared" ref="R195:R258" si="31">IF(($A195-$B195)*(I195-$B195)&gt;0,1,0)</f>
        <v>0</v>
      </c>
      <c r="S195">
        <f t="shared" ref="S195:S258" si="32">IF(($A195-$B195)*(J195-$B195)&gt;0,1,0)</f>
        <v>0</v>
      </c>
    </row>
    <row r="196" spans="1:19" x14ac:dyDescent="0.3">
      <c r="A196">
        <v>314.45000019073399</v>
      </c>
      <c r="B196">
        <v>325.64999999999998</v>
      </c>
      <c r="C196">
        <v>324.50238230228399</v>
      </c>
      <c r="D196">
        <v>320.42398824691702</v>
      </c>
      <c r="E196">
        <v>326.68500831127102</v>
      </c>
      <c r="F196">
        <v>327.86673202514601</v>
      </c>
      <c r="G196">
        <v>322.55385842323301</v>
      </c>
      <c r="H196">
        <v>305.36043424606299</v>
      </c>
      <c r="I196">
        <v>335.35108222961401</v>
      </c>
      <c r="J196">
        <v>325.55645444393099</v>
      </c>
      <c r="L196">
        <f t="shared" si="25"/>
        <v>1</v>
      </c>
      <c r="M196">
        <f t="shared" si="26"/>
        <v>1</v>
      </c>
      <c r="N196">
        <f t="shared" si="27"/>
        <v>0</v>
      </c>
      <c r="O196">
        <f t="shared" si="28"/>
        <v>0</v>
      </c>
      <c r="P196">
        <f t="shared" si="29"/>
        <v>1</v>
      </c>
      <c r="Q196">
        <f t="shared" si="30"/>
        <v>1</v>
      </c>
      <c r="R196">
        <f t="shared" si="31"/>
        <v>0</v>
      </c>
      <c r="S196">
        <f t="shared" si="32"/>
        <v>1</v>
      </c>
    </row>
    <row r="197" spans="1:19" x14ac:dyDescent="0.3">
      <c r="A197">
        <v>314.54999961853002</v>
      </c>
      <c r="B197">
        <v>325.64999999999998</v>
      </c>
      <c r="C197">
        <v>324.168424034118</v>
      </c>
      <c r="D197">
        <v>320.52526941299402</v>
      </c>
      <c r="E197">
        <v>325.85893250405701</v>
      </c>
      <c r="F197">
        <v>327.25768306255299</v>
      </c>
      <c r="G197">
        <v>321.28273906707699</v>
      </c>
      <c r="H197">
        <v>305.38974251747101</v>
      </c>
      <c r="I197">
        <v>331.58801593780498</v>
      </c>
      <c r="J197">
        <v>321.62230243682802</v>
      </c>
      <c r="L197">
        <f t="shared" si="25"/>
        <v>1</v>
      </c>
      <c r="M197">
        <f t="shared" si="26"/>
        <v>1</v>
      </c>
      <c r="N197">
        <f t="shared" si="27"/>
        <v>0</v>
      </c>
      <c r="O197">
        <f t="shared" si="28"/>
        <v>0</v>
      </c>
      <c r="P197">
        <f t="shared" si="29"/>
        <v>1</v>
      </c>
      <c r="Q197">
        <f t="shared" si="30"/>
        <v>1</v>
      </c>
      <c r="R197">
        <f t="shared" si="31"/>
        <v>0</v>
      </c>
      <c r="S197">
        <f t="shared" si="32"/>
        <v>1</v>
      </c>
    </row>
    <row r="198" spans="1:19" x14ac:dyDescent="0.3">
      <c r="A198">
        <v>313.45000019073399</v>
      </c>
      <c r="B198">
        <v>325.64999999999998</v>
      </c>
      <c r="C198">
        <v>320.905272388458</v>
      </c>
      <c r="D198">
        <v>323.11891188621502</v>
      </c>
      <c r="E198">
        <v>324.335715317726</v>
      </c>
      <c r="F198">
        <v>316.38072814941398</v>
      </c>
      <c r="G198">
        <v>314.268369102478</v>
      </c>
      <c r="H198">
        <v>303.97848983705001</v>
      </c>
      <c r="I198">
        <v>321.24975719451902</v>
      </c>
      <c r="J198">
        <v>316.87026634216301</v>
      </c>
      <c r="L198">
        <f t="shared" si="25"/>
        <v>1</v>
      </c>
      <c r="M198">
        <f t="shared" si="26"/>
        <v>1</v>
      </c>
      <c r="N198">
        <f t="shared" si="27"/>
        <v>1</v>
      </c>
      <c r="O198">
        <f t="shared" si="28"/>
        <v>1</v>
      </c>
      <c r="P198">
        <f t="shared" si="29"/>
        <v>1</v>
      </c>
      <c r="Q198">
        <f t="shared" si="30"/>
        <v>1</v>
      </c>
      <c r="R198">
        <f t="shared" si="31"/>
        <v>1</v>
      </c>
      <c r="S198">
        <f t="shared" si="32"/>
        <v>1</v>
      </c>
    </row>
    <row r="199" spans="1:19" x14ac:dyDescent="0.3">
      <c r="A199">
        <v>312.80000019073401</v>
      </c>
      <c r="B199">
        <v>326.5</v>
      </c>
      <c r="C199">
        <v>319.951098918914</v>
      </c>
      <c r="D199">
        <v>323.79923415183998</v>
      </c>
      <c r="E199">
        <v>324.212628602981</v>
      </c>
      <c r="F199">
        <v>315.97976493835398</v>
      </c>
      <c r="G199">
        <v>313.009840965271</v>
      </c>
      <c r="H199">
        <v>302.58635454177801</v>
      </c>
      <c r="I199">
        <v>323.18756842613197</v>
      </c>
      <c r="J199">
        <v>317.43165397643997</v>
      </c>
      <c r="L199">
        <f t="shared" si="25"/>
        <v>1</v>
      </c>
      <c r="M199">
        <f t="shared" si="26"/>
        <v>1</v>
      </c>
      <c r="N199">
        <f t="shared" si="27"/>
        <v>1</v>
      </c>
      <c r="O199">
        <f t="shared" si="28"/>
        <v>1</v>
      </c>
      <c r="P199">
        <f t="shared" si="29"/>
        <v>1</v>
      </c>
      <c r="Q199">
        <f t="shared" si="30"/>
        <v>1</v>
      </c>
      <c r="R199">
        <f t="shared" si="31"/>
        <v>1</v>
      </c>
      <c r="S199">
        <f t="shared" si="32"/>
        <v>1</v>
      </c>
    </row>
    <row r="200" spans="1:19" x14ac:dyDescent="0.3">
      <c r="A200">
        <v>307.55000038146898</v>
      </c>
      <c r="B200">
        <v>327.7</v>
      </c>
      <c r="C200">
        <v>322.20627851486199</v>
      </c>
      <c r="D200">
        <v>324.40207953453</v>
      </c>
      <c r="E200">
        <v>326.45771582126599</v>
      </c>
      <c r="F200">
        <v>318.59915275573701</v>
      </c>
      <c r="G200">
        <v>317.47953624725301</v>
      </c>
      <c r="H200">
        <v>303.36410207748401</v>
      </c>
      <c r="I200">
        <v>320.065398883819</v>
      </c>
      <c r="J200">
        <v>322.33391304016101</v>
      </c>
      <c r="L200">
        <f t="shared" si="25"/>
        <v>1</v>
      </c>
      <c r="M200">
        <f t="shared" si="26"/>
        <v>1</v>
      </c>
      <c r="N200">
        <f t="shared" si="27"/>
        <v>1</v>
      </c>
      <c r="O200">
        <f t="shared" si="28"/>
        <v>1</v>
      </c>
      <c r="P200">
        <f t="shared" si="29"/>
        <v>1</v>
      </c>
      <c r="Q200">
        <f t="shared" si="30"/>
        <v>1</v>
      </c>
      <c r="R200">
        <f t="shared" si="31"/>
        <v>1</v>
      </c>
      <c r="S200">
        <f t="shared" si="32"/>
        <v>1</v>
      </c>
    </row>
    <row r="201" spans="1:19" x14ac:dyDescent="0.3">
      <c r="A201">
        <v>312.94999980926502</v>
      </c>
      <c r="B201">
        <v>325</v>
      </c>
      <c r="C201">
        <v>321.02012443542401</v>
      </c>
      <c r="D201">
        <v>324.74506923556299</v>
      </c>
      <c r="E201">
        <v>326.93370425701102</v>
      </c>
      <c r="F201">
        <v>322.17581653594902</v>
      </c>
      <c r="G201">
        <v>320.35074520110999</v>
      </c>
      <c r="H201">
        <v>308.480365848541</v>
      </c>
      <c r="I201">
        <v>318.54084920883099</v>
      </c>
      <c r="J201">
        <v>318.28822755813599</v>
      </c>
      <c r="L201">
        <f t="shared" si="25"/>
        <v>1</v>
      </c>
      <c r="M201">
        <f t="shared" si="26"/>
        <v>1</v>
      </c>
      <c r="N201">
        <f t="shared" si="27"/>
        <v>0</v>
      </c>
      <c r="O201">
        <f t="shared" si="28"/>
        <v>1</v>
      </c>
      <c r="P201">
        <f t="shared" si="29"/>
        <v>1</v>
      </c>
      <c r="Q201">
        <f t="shared" si="30"/>
        <v>1</v>
      </c>
      <c r="R201">
        <f t="shared" si="31"/>
        <v>1</v>
      </c>
      <c r="S201">
        <f t="shared" si="32"/>
        <v>1</v>
      </c>
    </row>
    <row r="202" spans="1:19" x14ac:dyDescent="0.3">
      <c r="A202">
        <v>311.2</v>
      </c>
      <c r="B202">
        <v>328.95</v>
      </c>
      <c r="C202">
        <v>321.28056020736602</v>
      </c>
      <c r="D202">
        <v>325.40227813720702</v>
      </c>
      <c r="E202">
        <v>328.23238159418099</v>
      </c>
      <c r="F202">
        <v>324.94627733230499</v>
      </c>
      <c r="G202">
        <v>321.570223045349</v>
      </c>
      <c r="H202">
        <v>314.19538674354499</v>
      </c>
      <c r="I202">
        <v>319.36778182983397</v>
      </c>
      <c r="J202">
        <v>324.68575353622401</v>
      </c>
      <c r="L202">
        <f t="shared" si="25"/>
        <v>1</v>
      </c>
      <c r="M202">
        <f t="shared" si="26"/>
        <v>1</v>
      </c>
      <c r="N202">
        <f t="shared" si="27"/>
        <v>1</v>
      </c>
      <c r="O202">
        <f t="shared" si="28"/>
        <v>1</v>
      </c>
      <c r="P202">
        <f t="shared" si="29"/>
        <v>1</v>
      </c>
      <c r="Q202">
        <f t="shared" si="30"/>
        <v>1</v>
      </c>
      <c r="R202">
        <f t="shared" si="31"/>
        <v>1</v>
      </c>
      <c r="S202">
        <f t="shared" si="32"/>
        <v>1</v>
      </c>
    </row>
    <row r="203" spans="1:19" x14ac:dyDescent="0.3">
      <c r="A203">
        <v>312.950000762939</v>
      </c>
      <c r="B203">
        <v>331.25</v>
      </c>
      <c r="C203">
        <v>327.14547014236399</v>
      </c>
      <c r="D203">
        <v>328.71060729026698</v>
      </c>
      <c r="E203">
        <v>331.206493414938</v>
      </c>
      <c r="F203">
        <v>326.35689592361399</v>
      </c>
      <c r="G203">
        <v>324.77917289733801</v>
      </c>
      <c r="H203">
        <v>313.005346393585</v>
      </c>
      <c r="I203">
        <v>318.84769916534401</v>
      </c>
      <c r="J203">
        <v>320.374382019042</v>
      </c>
      <c r="L203">
        <f t="shared" si="25"/>
        <v>1</v>
      </c>
      <c r="M203">
        <f t="shared" si="26"/>
        <v>1</v>
      </c>
      <c r="N203">
        <f t="shared" si="27"/>
        <v>1</v>
      </c>
      <c r="O203">
        <f t="shared" si="28"/>
        <v>1</v>
      </c>
      <c r="P203">
        <f t="shared" si="29"/>
        <v>1</v>
      </c>
      <c r="Q203">
        <f t="shared" si="30"/>
        <v>1</v>
      </c>
      <c r="R203">
        <f t="shared" si="31"/>
        <v>1</v>
      </c>
      <c r="S203">
        <f t="shared" si="32"/>
        <v>1</v>
      </c>
    </row>
    <row r="204" spans="1:19" x14ac:dyDescent="0.3">
      <c r="A204">
        <v>313.45</v>
      </c>
      <c r="B204">
        <v>330.45</v>
      </c>
      <c r="C204">
        <v>327.18683214187598</v>
      </c>
      <c r="D204">
        <v>328.786277008056</v>
      </c>
      <c r="E204">
        <v>330.07957268953299</v>
      </c>
      <c r="F204">
        <v>325.201616954803</v>
      </c>
      <c r="G204">
        <v>323.94172019958398</v>
      </c>
      <c r="H204">
        <v>318.65836882591202</v>
      </c>
      <c r="I204">
        <v>321.58506889343198</v>
      </c>
      <c r="J204">
        <v>321.76221389770501</v>
      </c>
      <c r="L204">
        <f t="shared" si="25"/>
        <v>1</v>
      </c>
      <c r="M204">
        <f t="shared" si="26"/>
        <v>1</v>
      </c>
      <c r="N204">
        <f t="shared" si="27"/>
        <v>1</v>
      </c>
      <c r="O204">
        <f t="shared" si="28"/>
        <v>1</v>
      </c>
      <c r="P204">
        <f t="shared" si="29"/>
        <v>1</v>
      </c>
      <c r="Q204">
        <f t="shared" si="30"/>
        <v>1</v>
      </c>
      <c r="R204">
        <f t="shared" si="31"/>
        <v>1</v>
      </c>
      <c r="S204">
        <f t="shared" si="32"/>
        <v>1</v>
      </c>
    </row>
    <row r="205" spans="1:19" x14ac:dyDescent="0.3">
      <c r="A205">
        <v>312.45000038146901</v>
      </c>
      <c r="B205">
        <v>327.85</v>
      </c>
      <c r="C205">
        <v>325.79091224670401</v>
      </c>
      <c r="D205">
        <v>328.64839724302198</v>
      </c>
      <c r="E205">
        <v>327.60397159159101</v>
      </c>
      <c r="F205">
        <v>325.08512220382602</v>
      </c>
      <c r="G205">
        <v>323.28772125244097</v>
      </c>
      <c r="H205">
        <v>317.27325277328401</v>
      </c>
      <c r="I205">
        <v>321.14377746581999</v>
      </c>
      <c r="J205">
        <v>321.32250556945797</v>
      </c>
      <c r="L205">
        <f t="shared" si="25"/>
        <v>1</v>
      </c>
      <c r="M205">
        <f t="shared" si="26"/>
        <v>0</v>
      </c>
      <c r="N205">
        <f t="shared" si="27"/>
        <v>1</v>
      </c>
      <c r="O205">
        <f t="shared" si="28"/>
        <v>1</v>
      </c>
      <c r="P205">
        <f t="shared" si="29"/>
        <v>1</v>
      </c>
      <c r="Q205">
        <f t="shared" si="30"/>
        <v>1</v>
      </c>
      <c r="R205">
        <f t="shared" si="31"/>
        <v>1</v>
      </c>
      <c r="S205">
        <f t="shared" si="32"/>
        <v>1</v>
      </c>
    </row>
    <row r="206" spans="1:19" x14ac:dyDescent="0.3">
      <c r="A206">
        <v>311.75</v>
      </c>
      <c r="B206">
        <v>326.5</v>
      </c>
      <c r="C206">
        <v>326.21550372242899</v>
      </c>
      <c r="D206">
        <v>328.31704056262902</v>
      </c>
      <c r="E206">
        <v>329.69775986671402</v>
      </c>
      <c r="F206">
        <v>326.29334244132002</v>
      </c>
      <c r="G206">
        <v>326.87308844923899</v>
      </c>
      <c r="H206">
        <v>316.51566038131699</v>
      </c>
      <c r="I206">
        <v>326.78172653913498</v>
      </c>
      <c r="J206">
        <v>322.89983749389597</v>
      </c>
      <c r="L206">
        <f t="shared" si="25"/>
        <v>1</v>
      </c>
      <c r="M206">
        <f t="shared" si="26"/>
        <v>0</v>
      </c>
      <c r="N206">
        <f t="shared" si="27"/>
        <v>0</v>
      </c>
      <c r="O206">
        <f t="shared" si="28"/>
        <v>1</v>
      </c>
      <c r="P206">
        <f t="shared" si="29"/>
        <v>0</v>
      </c>
      <c r="Q206">
        <f t="shared" si="30"/>
        <v>1</v>
      </c>
      <c r="R206">
        <f t="shared" si="31"/>
        <v>0</v>
      </c>
      <c r="S206">
        <f t="shared" si="32"/>
        <v>1</v>
      </c>
    </row>
    <row r="207" spans="1:19" x14ac:dyDescent="0.3">
      <c r="A207">
        <v>314.45000038146901</v>
      </c>
      <c r="B207">
        <v>326.85000000000002</v>
      </c>
      <c r="C207">
        <v>325.27650544643399</v>
      </c>
      <c r="D207">
        <v>327.87722418308198</v>
      </c>
      <c r="E207">
        <v>320.96792945861802</v>
      </c>
      <c r="F207">
        <v>324.41670236587498</v>
      </c>
      <c r="G207">
        <v>323.93043503761203</v>
      </c>
      <c r="H207">
        <v>316.497101306915</v>
      </c>
      <c r="I207">
        <v>330.65985498428302</v>
      </c>
      <c r="J207">
        <v>313.541125869751</v>
      </c>
      <c r="L207">
        <f t="shared" si="25"/>
        <v>1</v>
      </c>
      <c r="M207">
        <f t="shared" si="26"/>
        <v>0</v>
      </c>
      <c r="N207">
        <f t="shared" si="27"/>
        <v>1</v>
      </c>
      <c r="O207">
        <f t="shared" si="28"/>
        <v>1</v>
      </c>
      <c r="P207">
        <f t="shared" si="29"/>
        <v>1</v>
      </c>
      <c r="Q207">
        <f t="shared" si="30"/>
        <v>1</v>
      </c>
      <c r="R207">
        <f t="shared" si="31"/>
        <v>0</v>
      </c>
      <c r="S207">
        <f t="shared" si="32"/>
        <v>1</v>
      </c>
    </row>
    <row r="208" spans="1:19" x14ac:dyDescent="0.3">
      <c r="A208">
        <v>314.3</v>
      </c>
      <c r="B208">
        <v>327.3</v>
      </c>
      <c r="C208">
        <v>324.72980670928899</v>
      </c>
      <c r="D208">
        <v>325.659503269195</v>
      </c>
      <c r="E208">
        <v>325.962650465965</v>
      </c>
      <c r="F208">
        <v>322.32379226684498</v>
      </c>
      <c r="G208">
        <v>317.839003372192</v>
      </c>
      <c r="H208">
        <v>309.96860752105698</v>
      </c>
      <c r="I208">
        <v>327.44139562845203</v>
      </c>
      <c r="J208">
        <v>318.44970302581697</v>
      </c>
      <c r="L208">
        <f t="shared" si="25"/>
        <v>1</v>
      </c>
      <c r="M208">
        <f t="shared" si="26"/>
        <v>1</v>
      </c>
      <c r="N208">
        <f t="shared" si="27"/>
        <v>1</v>
      </c>
      <c r="O208">
        <f t="shared" si="28"/>
        <v>1</v>
      </c>
      <c r="P208">
        <f t="shared" si="29"/>
        <v>1</v>
      </c>
      <c r="Q208">
        <f t="shared" si="30"/>
        <v>1</v>
      </c>
      <c r="R208">
        <f t="shared" si="31"/>
        <v>0</v>
      </c>
      <c r="S208">
        <f t="shared" si="32"/>
        <v>1</v>
      </c>
    </row>
    <row r="209" spans="1:19" x14ac:dyDescent="0.3">
      <c r="A209">
        <v>314.39999961852999</v>
      </c>
      <c r="B209">
        <v>330.5</v>
      </c>
      <c r="C209">
        <v>327.210864543914</v>
      </c>
      <c r="D209">
        <v>327.76863265037503</v>
      </c>
      <c r="E209">
        <v>327.26061677932699</v>
      </c>
      <c r="F209">
        <v>324.52736282348599</v>
      </c>
      <c r="G209">
        <v>321.716552734375</v>
      </c>
      <c r="H209">
        <v>311.81137447357099</v>
      </c>
      <c r="I209">
        <v>330.94927126169199</v>
      </c>
      <c r="J209">
        <v>321.68769741058298</v>
      </c>
      <c r="L209">
        <f t="shared" si="25"/>
        <v>1</v>
      </c>
      <c r="M209">
        <f t="shared" si="26"/>
        <v>1</v>
      </c>
      <c r="N209">
        <f t="shared" si="27"/>
        <v>1</v>
      </c>
      <c r="O209">
        <f t="shared" si="28"/>
        <v>1</v>
      </c>
      <c r="P209">
        <f t="shared" si="29"/>
        <v>1</v>
      </c>
      <c r="Q209">
        <f t="shared" si="30"/>
        <v>1</v>
      </c>
      <c r="R209">
        <f t="shared" si="31"/>
        <v>0</v>
      </c>
      <c r="S209">
        <f t="shared" si="32"/>
        <v>1</v>
      </c>
    </row>
    <row r="210" spans="1:19" x14ac:dyDescent="0.3">
      <c r="A210">
        <v>317.59999961852998</v>
      </c>
      <c r="B210">
        <v>329.2</v>
      </c>
      <c r="C210">
        <v>326.03459329605101</v>
      </c>
      <c r="D210">
        <v>326.733240556716</v>
      </c>
      <c r="E210">
        <v>325.40028376579198</v>
      </c>
      <c r="F210">
        <v>322.200024318695</v>
      </c>
      <c r="G210">
        <v>320.69586486816399</v>
      </c>
      <c r="H210">
        <v>320.06018946170798</v>
      </c>
      <c r="I210">
        <v>328.54097224473901</v>
      </c>
      <c r="J210">
        <v>321.40160961151099</v>
      </c>
      <c r="L210">
        <f t="shared" si="25"/>
        <v>1</v>
      </c>
      <c r="M210">
        <f t="shared" si="26"/>
        <v>1</v>
      </c>
      <c r="N210">
        <f t="shared" si="27"/>
        <v>1</v>
      </c>
      <c r="O210">
        <f t="shared" si="28"/>
        <v>1</v>
      </c>
      <c r="P210">
        <f t="shared" si="29"/>
        <v>1</v>
      </c>
      <c r="Q210">
        <f t="shared" si="30"/>
        <v>1</v>
      </c>
      <c r="R210">
        <f t="shared" si="31"/>
        <v>1</v>
      </c>
      <c r="S210">
        <f t="shared" si="32"/>
        <v>1</v>
      </c>
    </row>
    <row r="211" spans="1:19" x14ac:dyDescent="0.3">
      <c r="A211">
        <v>319.00000038146902</v>
      </c>
      <c r="B211">
        <v>329.4</v>
      </c>
      <c r="C211">
        <v>326.54077854156401</v>
      </c>
      <c r="D211">
        <v>327.96407296657497</v>
      </c>
      <c r="E211">
        <v>326.18399062156601</v>
      </c>
      <c r="F211">
        <v>324.20846881866402</v>
      </c>
      <c r="G211">
        <v>323.597063922882</v>
      </c>
      <c r="H211">
        <v>315.59593877792298</v>
      </c>
      <c r="I211">
        <v>327.98967101573902</v>
      </c>
      <c r="J211">
        <v>321.73715724944998</v>
      </c>
      <c r="L211">
        <f t="shared" si="25"/>
        <v>1</v>
      </c>
      <c r="M211">
        <f t="shared" si="26"/>
        <v>1</v>
      </c>
      <c r="N211">
        <f t="shared" si="27"/>
        <v>1</v>
      </c>
      <c r="O211">
        <f t="shared" si="28"/>
        <v>1</v>
      </c>
      <c r="P211">
        <f t="shared" si="29"/>
        <v>1</v>
      </c>
      <c r="Q211">
        <f t="shared" si="30"/>
        <v>1</v>
      </c>
      <c r="R211">
        <f t="shared" si="31"/>
        <v>1</v>
      </c>
      <c r="S211">
        <f t="shared" si="32"/>
        <v>1</v>
      </c>
    </row>
    <row r="212" spans="1:19" x14ac:dyDescent="0.3">
      <c r="A212">
        <v>316.90000019073398</v>
      </c>
      <c r="B212">
        <v>329.6</v>
      </c>
      <c r="C212">
        <v>326.78909740448</v>
      </c>
      <c r="D212">
        <v>327.19042763710002</v>
      </c>
      <c r="E212">
        <v>327.82724640369401</v>
      </c>
      <c r="F212">
        <v>325.67225847244202</v>
      </c>
      <c r="G212">
        <v>323.505180454254</v>
      </c>
      <c r="H212">
        <v>318.02572345733603</v>
      </c>
      <c r="I212">
        <v>329.73008075952498</v>
      </c>
      <c r="J212">
        <v>323.210036373138</v>
      </c>
      <c r="L212">
        <f t="shared" si="25"/>
        <v>1</v>
      </c>
      <c r="M212">
        <f t="shared" si="26"/>
        <v>1</v>
      </c>
      <c r="N212">
        <f t="shared" si="27"/>
        <v>1</v>
      </c>
      <c r="O212">
        <f t="shared" si="28"/>
        <v>1</v>
      </c>
      <c r="P212">
        <f t="shared" si="29"/>
        <v>1</v>
      </c>
      <c r="Q212">
        <f t="shared" si="30"/>
        <v>1</v>
      </c>
      <c r="R212">
        <f t="shared" si="31"/>
        <v>0</v>
      </c>
      <c r="S212">
        <f t="shared" si="32"/>
        <v>1</v>
      </c>
    </row>
    <row r="213" spans="1:19" x14ac:dyDescent="0.3">
      <c r="A213">
        <v>317.10000038146899</v>
      </c>
      <c r="B213">
        <v>326.25</v>
      </c>
      <c r="C213">
        <v>326.56639799475602</v>
      </c>
      <c r="D213">
        <v>327.04268389940199</v>
      </c>
      <c r="E213">
        <v>321.33922958374001</v>
      </c>
      <c r="F213">
        <v>323.52619934082003</v>
      </c>
      <c r="G213">
        <v>322.56709456443701</v>
      </c>
      <c r="H213">
        <v>320.98503065109202</v>
      </c>
      <c r="I213">
        <v>330.570756435394</v>
      </c>
      <c r="J213">
        <v>316.44695186614899</v>
      </c>
      <c r="L213">
        <f t="shared" si="25"/>
        <v>0</v>
      </c>
      <c r="M213">
        <f t="shared" si="26"/>
        <v>0</v>
      </c>
      <c r="N213">
        <f t="shared" si="27"/>
        <v>1</v>
      </c>
      <c r="O213">
        <f t="shared" si="28"/>
        <v>1</v>
      </c>
      <c r="P213">
        <f t="shared" si="29"/>
        <v>1</v>
      </c>
      <c r="Q213">
        <f t="shared" si="30"/>
        <v>1</v>
      </c>
      <c r="R213">
        <f t="shared" si="31"/>
        <v>0</v>
      </c>
      <c r="S213">
        <f t="shared" si="32"/>
        <v>1</v>
      </c>
    </row>
    <row r="214" spans="1:19" x14ac:dyDescent="0.3">
      <c r="A214">
        <v>315.35000038146899</v>
      </c>
      <c r="B214">
        <v>331.25</v>
      </c>
      <c r="C214">
        <v>329.410461783409</v>
      </c>
      <c r="D214">
        <v>327.88835835456803</v>
      </c>
      <c r="E214">
        <v>326.01678133010802</v>
      </c>
      <c r="F214">
        <v>323.98143053054798</v>
      </c>
      <c r="G214">
        <v>323.931624412536</v>
      </c>
      <c r="H214">
        <v>314.582274341583</v>
      </c>
      <c r="I214">
        <v>325.39711093902503</v>
      </c>
      <c r="J214">
        <v>321.65154838562</v>
      </c>
      <c r="L214">
        <f t="shared" si="25"/>
        <v>1</v>
      </c>
      <c r="M214">
        <f t="shared" si="26"/>
        <v>1</v>
      </c>
      <c r="N214">
        <f t="shared" si="27"/>
        <v>1</v>
      </c>
      <c r="O214">
        <f t="shared" si="28"/>
        <v>1</v>
      </c>
      <c r="P214">
        <f t="shared" si="29"/>
        <v>1</v>
      </c>
      <c r="Q214">
        <f t="shared" si="30"/>
        <v>1</v>
      </c>
      <c r="R214">
        <f t="shared" si="31"/>
        <v>1</v>
      </c>
      <c r="S214">
        <f t="shared" si="32"/>
        <v>1</v>
      </c>
    </row>
    <row r="215" spans="1:19" x14ac:dyDescent="0.3">
      <c r="A215">
        <v>312.95000038146901</v>
      </c>
      <c r="B215">
        <v>331.6</v>
      </c>
      <c r="C215">
        <v>329.69519374370498</v>
      </c>
      <c r="D215">
        <v>328.65645751953099</v>
      </c>
      <c r="E215">
        <v>327.97559199333102</v>
      </c>
      <c r="F215">
        <v>323.53039035797099</v>
      </c>
      <c r="G215">
        <v>324.571758842468</v>
      </c>
      <c r="H215">
        <v>309.65711911916702</v>
      </c>
      <c r="I215">
        <v>326.65427694320601</v>
      </c>
      <c r="J215">
        <v>328.68053827285701</v>
      </c>
      <c r="L215">
        <f t="shared" si="25"/>
        <v>1</v>
      </c>
      <c r="M215">
        <f t="shared" si="26"/>
        <v>1</v>
      </c>
      <c r="N215">
        <f t="shared" si="27"/>
        <v>1</v>
      </c>
      <c r="O215">
        <f t="shared" si="28"/>
        <v>1</v>
      </c>
      <c r="P215">
        <f t="shared" si="29"/>
        <v>1</v>
      </c>
      <c r="Q215">
        <f t="shared" si="30"/>
        <v>1</v>
      </c>
      <c r="R215">
        <f t="shared" si="31"/>
        <v>1</v>
      </c>
      <c r="S215">
        <f t="shared" si="32"/>
        <v>1</v>
      </c>
    </row>
    <row r="216" spans="1:19" x14ac:dyDescent="0.3">
      <c r="A216">
        <v>317.44999961853</v>
      </c>
      <c r="B216">
        <v>334.3</v>
      </c>
      <c r="C216">
        <v>331.95910410880998</v>
      </c>
      <c r="D216">
        <v>329.824157047271</v>
      </c>
      <c r="E216">
        <v>327.67510681152299</v>
      </c>
      <c r="F216">
        <v>326.16190891265802</v>
      </c>
      <c r="G216">
        <v>325.46531276702802</v>
      </c>
      <c r="H216">
        <v>310.268138599395</v>
      </c>
      <c r="I216">
        <v>329.13925104141202</v>
      </c>
      <c r="J216">
        <v>330.968566703796</v>
      </c>
      <c r="L216">
        <f t="shared" si="25"/>
        <v>1</v>
      </c>
      <c r="M216">
        <f t="shared" si="26"/>
        <v>1</v>
      </c>
      <c r="N216">
        <f t="shared" si="27"/>
        <v>1</v>
      </c>
      <c r="O216">
        <f t="shared" si="28"/>
        <v>1</v>
      </c>
      <c r="P216">
        <f t="shared" si="29"/>
        <v>1</v>
      </c>
      <c r="Q216">
        <f t="shared" si="30"/>
        <v>1</v>
      </c>
      <c r="R216">
        <f t="shared" si="31"/>
        <v>1</v>
      </c>
      <c r="S216">
        <f t="shared" si="32"/>
        <v>1</v>
      </c>
    </row>
    <row r="217" spans="1:19" x14ac:dyDescent="0.3">
      <c r="A217">
        <v>320.14999980926501</v>
      </c>
      <c r="B217">
        <v>335.95</v>
      </c>
      <c r="C217">
        <v>332.745734405517</v>
      </c>
      <c r="D217">
        <v>333.73775358199998</v>
      </c>
      <c r="E217">
        <v>326.51029415130603</v>
      </c>
      <c r="F217">
        <v>328.28447265624999</v>
      </c>
      <c r="G217">
        <v>327.42212696075399</v>
      </c>
      <c r="H217">
        <v>309.91928033828702</v>
      </c>
      <c r="I217">
        <v>330.61377210617002</v>
      </c>
      <c r="J217">
        <v>333.25924773216201</v>
      </c>
      <c r="L217">
        <f t="shared" si="25"/>
        <v>1</v>
      </c>
      <c r="M217">
        <f t="shared" si="26"/>
        <v>1</v>
      </c>
      <c r="N217">
        <f t="shared" si="27"/>
        <v>1</v>
      </c>
      <c r="O217">
        <f t="shared" si="28"/>
        <v>1</v>
      </c>
      <c r="P217">
        <f t="shared" si="29"/>
        <v>1</v>
      </c>
      <c r="Q217">
        <f t="shared" si="30"/>
        <v>1</v>
      </c>
      <c r="R217">
        <f t="shared" si="31"/>
        <v>1</v>
      </c>
      <c r="S217">
        <f t="shared" si="32"/>
        <v>1</v>
      </c>
    </row>
    <row r="218" spans="1:19" x14ac:dyDescent="0.3">
      <c r="A218">
        <v>321.64999961852999</v>
      </c>
      <c r="B218">
        <v>338.5</v>
      </c>
      <c r="C218">
        <v>336.90683615207598</v>
      </c>
      <c r="D218">
        <v>336.52073872089301</v>
      </c>
      <c r="E218">
        <v>335.006060838699</v>
      </c>
      <c r="F218">
        <v>331.55156803131098</v>
      </c>
      <c r="G218">
        <v>330.08398723602198</v>
      </c>
      <c r="H218">
        <v>316.80494685172999</v>
      </c>
      <c r="I218">
        <v>328.76413822173998</v>
      </c>
      <c r="J218">
        <v>336.18732833862299</v>
      </c>
      <c r="L218">
        <f t="shared" si="25"/>
        <v>1</v>
      </c>
      <c r="M218">
        <f t="shared" si="26"/>
        <v>1</v>
      </c>
      <c r="N218">
        <f t="shared" si="27"/>
        <v>1</v>
      </c>
      <c r="O218">
        <f t="shared" si="28"/>
        <v>1</v>
      </c>
      <c r="P218">
        <f t="shared" si="29"/>
        <v>1</v>
      </c>
      <c r="Q218">
        <f t="shared" si="30"/>
        <v>1</v>
      </c>
      <c r="R218">
        <f t="shared" si="31"/>
        <v>1</v>
      </c>
      <c r="S218">
        <f t="shared" si="32"/>
        <v>1</v>
      </c>
    </row>
    <row r="219" spans="1:19" x14ac:dyDescent="0.3">
      <c r="A219">
        <v>321.64999999999998</v>
      </c>
      <c r="B219">
        <v>333.9</v>
      </c>
      <c r="C219">
        <v>335.82380058765398</v>
      </c>
      <c r="D219">
        <v>333.65023849308398</v>
      </c>
      <c r="E219">
        <v>334.76239826679199</v>
      </c>
      <c r="F219">
        <v>329.087464237213</v>
      </c>
      <c r="G219">
        <v>331.40345015525799</v>
      </c>
      <c r="H219">
        <v>313.04783287942399</v>
      </c>
      <c r="I219">
        <v>327.81197156906097</v>
      </c>
      <c r="J219">
        <v>333.83164360523199</v>
      </c>
      <c r="L219">
        <f t="shared" si="25"/>
        <v>0</v>
      </c>
      <c r="M219">
        <f t="shared" si="26"/>
        <v>1</v>
      </c>
      <c r="N219">
        <f t="shared" si="27"/>
        <v>0</v>
      </c>
      <c r="O219">
        <f t="shared" si="28"/>
        <v>1</v>
      </c>
      <c r="P219">
        <f t="shared" si="29"/>
        <v>1</v>
      </c>
      <c r="Q219">
        <f t="shared" si="30"/>
        <v>1</v>
      </c>
      <c r="R219">
        <f t="shared" si="31"/>
        <v>1</v>
      </c>
      <c r="S219">
        <f t="shared" si="32"/>
        <v>1</v>
      </c>
    </row>
    <row r="220" spans="1:19" x14ac:dyDescent="0.3">
      <c r="A220">
        <v>319.750000190734</v>
      </c>
      <c r="B220">
        <v>334.45</v>
      </c>
      <c r="C220">
        <v>336.675294113159</v>
      </c>
      <c r="D220">
        <v>335.26995683908399</v>
      </c>
      <c r="E220">
        <v>331.87499732971099</v>
      </c>
      <c r="F220">
        <v>333.66969699859601</v>
      </c>
      <c r="G220">
        <v>330.82127709388698</v>
      </c>
      <c r="H220">
        <v>311.83989362716602</v>
      </c>
      <c r="I220">
        <v>326.56183261871303</v>
      </c>
      <c r="J220">
        <v>332.769278717041</v>
      </c>
      <c r="L220">
        <f t="shared" si="25"/>
        <v>0</v>
      </c>
      <c r="M220">
        <f t="shared" si="26"/>
        <v>0</v>
      </c>
      <c r="N220">
        <f t="shared" si="27"/>
        <v>1</v>
      </c>
      <c r="O220">
        <f t="shared" si="28"/>
        <v>1</v>
      </c>
      <c r="P220">
        <f t="shared" si="29"/>
        <v>1</v>
      </c>
      <c r="Q220">
        <f t="shared" si="30"/>
        <v>1</v>
      </c>
      <c r="R220">
        <f t="shared" si="31"/>
        <v>1</v>
      </c>
      <c r="S220">
        <f t="shared" si="32"/>
        <v>1</v>
      </c>
    </row>
    <row r="221" spans="1:19" x14ac:dyDescent="0.3">
      <c r="A221">
        <v>318.00000038146902</v>
      </c>
      <c r="B221">
        <v>333.65</v>
      </c>
      <c r="C221">
        <v>336.21614303588802</v>
      </c>
      <c r="D221">
        <v>334.00317420959402</v>
      </c>
      <c r="E221">
        <v>330.13622632026602</v>
      </c>
      <c r="F221">
        <v>331.84919645786198</v>
      </c>
      <c r="G221">
        <v>332.72822817564003</v>
      </c>
      <c r="H221">
        <v>313.21024919748299</v>
      </c>
      <c r="I221">
        <v>323.12422885894699</v>
      </c>
      <c r="J221">
        <v>328.859655284881</v>
      </c>
      <c r="L221">
        <f t="shared" si="25"/>
        <v>0</v>
      </c>
      <c r="M221">
        <f t="shared" si="26"/>
        <v>0</v>
      </c>
      <c r="N221">
        <f t="shared" si="27"/>
        <v>1</v>
      </c>
      <c r="O221">
        <f t="shared" si="28"/>
        <v>1</v>
      </c>
      <c r="P221">
        <f t="shared" si="29"/>
        <v>1</v>
      </c>
      <c r="Q221">
        <f t="shared" si="30"/>
        <v>1</v>
      </c>
      <c r="R221">
        <f t="shared" si="31"/>
        <v>1</v>
      </c>
      <c r="S221">
        <f t="shared" si="32"/>
        <v>1</v>
      </c>
    </row>
    <row r="222" spans="1:19" x14ac:dyDescent="0.3">
      <c r="A222">
        <v>316.45000019073399</v>
      </c>
      <c r="B222">
        <v>327.39999999999998</v>
      </c>
      <c r="C222">
        <v>331.76636352538998</v>
      </c>
      <c r="D222">
        <v>331.02075567245402</v>
      </c>
      <c r="E222">
        <v>327.328099520504</v>
      </c>
      <c r="F222">
        <v>330.28241577148401</v>
      </c>
      <c r="G222">
        <v>328.950503134727</v>
      </c>
      <c r="H222">
        <v>314.05832834243699</v>
      </c>
      <c r="I222">
        <v>327.26471897363598</v>
      </c>
      <c r="J222">
        <v>333.313928985595</v>
      </c>
      <c r="L222">
        <f t="shared" si="25"/>
        <v>0</v>
      </c>
      <c r="M222">
        <f t="shared" si="26"/>
        <v>0</v>
      </c>
      <c r="N222">
        <f t="shared" si="27"/>
        <v>1</v>
      </c>
      <c r="O222">
        <f t="shared" si="28"/>
        <v>0</v>
      </c>
      <c r="P222">
        <f t="shared" si="29"/>
        <v>0</v>
      </c>
      <c r="Q222">
        <f t="shared" si="30"/>
        <v>1</v>
      </c>
      <c r="R222">
        <f t="shared" si="31"/>
        <v>1</v>
      </c>
      <c r="S222">
        <f t="shared" si="32"/>
        <v>0</v>
      </c>
    </row>
    <row r="223" spans="1:19" x14ac:dyDescent="0.3">
      <c r="A223">
        <v>316.44999980926502</v>
      </c>
      <c r="B223">
        <v>323</v>
      </c>
      <c r="C223">
        <v>328.41645193099902</v>
      </c>
      <c r="D223">
        <v>328.77689599990799</v>
      </c>
      <c r="E223">
        <v>323.37285488843901</v>
      </c>
      <c r="F223">
        <v>324.18310022354098</v>
      </c>
      <c r="G223">
        <v>323.995704650878</v>
      </c>
      <c r="H223">
        <v>316.27427525520301</v>
      </c>
      <c r="I223">
        <v>329.18397617340003</v>
      </c>
      <c r="J223">
        <v>327.84487104415803</v>
      </c>
      <c r="L223">
        <f t="shared" si="25"/>
        <v>0</v>
      </c>
      <c r="M223">
        <f t="shared" si="26"/>
        <v>0</v>
      </c>
      <c r="N223">
        <f t="shared" si="27"/>
        <v>0</v>
      </c>
      <c r="O223">
        <f t="shared" si="28"/>
        <v>0</v>
      </c>
      <c r="P223">
        <f t="shared" si="29"/>
        <v>0</v>
      </c>
      <c r="Q223">
        <f t="shared" si="30"/>
        <v>1</v>
      </c>
      <c r="R223">
        <f t="shared" si="31"/>
        <v>0</v>
      </c>
      <c r="S223">
        <f t="shared" si="32"/>
        <v>0</v>
      </c>
    </row>
    <row r="224" spans="1:19" x14ac:dyDescent="0.3">
      <c r="A224">
        <v>314.05000009536701</v>
      </c>
      <c r="B224">
        <v>317.64999999999998</v>
      </c>
      <c r="C224">
        <v>323.94240846633897</v>
      </c>
      <c r="D224">
        <v>324.24300470352102</v>
      </c>
      <c r="E224">
        <v>318.79571893215098</v>
      </c>
      <c r="F224">
        <v>315.68882718086201</v>
      </c>
      <c r="G224">
        <v>322.550297164916</v>
      </c>
      <c r="H224">
        <v>320.769942474365</v>
      </c>
      <c r="I224">
        <v>324.04598274230898</v>
      </c>
      <c r="J224">
        <v>325.10578670501701</v>
      </c>
      <c r="L224">
        <f t="shared" si="25"/>
        <v>0</v>
      </c>
      <c r="M224">
        <f t="shared" si="26"/>
        <v>0</v>
      </c>
      <c r="N224">
        <f t="shared" si="27"/>
        <v>0</v>
      </c>
      <c r="O224">
        <f t="shared" si="28"/>
        <v>1</v>
      </c>
      <c r="P224">
        <f t="shared" si="29"/>
        <v>0</v>
      </c>
      <c r="Q224">
        <f t="shared" si="30"/>
        <v>0</v>
      </c>
      <c r="R224">
        <f t="shared" si="31"/>
        <v>0</v>
      </c>
      <c r="S224">
        <f t="shared" si="32"/>
        <v>0</v>
      </c>
    </row>
    <row r="225" spans="1:19" x14ac:dyDescent="0.3">
      <c r="A225">
        <v>314.05000019073401</v>
      </c>
      <c r="B225">
        <v>309.5</v>
      </c>
      <c r="C225">
        <v>313.19216847419699</v>
      </c>
      <c r="D225">
        <v>315.59772157668999</v>
      </c>
      <c r="E225">
        <v>309.08333551883698</v>
      </c>
      <c r="F225">
        <v>309.269490987062</v>
      </c>
      <c r="G225">
        <v>311.98244929313603</v>
      </c>
      <c r="H225">
        <v>320.62455959319999</v>
      </c>
      <c r="I225">
        <v>319.22103214263899</v>
      </c>
      <c r="J225">
        <v>314.26079034805298</v>
      </c>
      <c r="L225">
        <f t="shared" si="25"/>
        <v>1</v>
      </c>
      <c r="M225">
        <f t="shared" si="26"/>
        <v>1</v>
      </c>
      <c r="N225">
        <f t="shared" si="27"/>
        <v>0</v>
      </c>
      <c r="O225">
        <f t="shared" si="28"/>
        <v>0</v>
      </c>
      <c r="P225">
        <f t="shared" si="29"/>
        <v>1</v>
      </c>
      <c r="Q225">
        <f t="shared" si="30"/>
        <v>1</v>
      </c>
      <c r="R225">
        <f t="shared" si="31"/>
        <v>1</v>
      </c>
      <c r="S225">
        <f t="shared" si="32"/>
        <v>1</v>
      </c>
    </row>
    <row r="226" spans="1:19" x14ac:dyDescent="0.3">
      <c r="A226">
        <v>315.849999904632</v>
      </c>
      <c r="B226">
        <v>312.5</v>
      </c>
      <c r="C226">
        <v>309.87119555473299</v>
      </c>
      <c r="D226">
        <v>309.32064318656899</v>
      </c>
      <c r="E226">
        <v>305.03083801269503</v>
      </c>
      <c r="F226">
        <v>308.84002923965397</v>
      </c>
      <c r="G226">
        <v>310.16360020637501</v>
      </c>
      <c r="H226">
        <v>319.319864273071</v>
      </c>
      <c r="I226">
        <v>316.68257331848099</v>
      </c>
      <c r="J226">
        <v>310.737214207649</v>
      </c>
      <c r="L226">
        <f t="shared" si="25"/>
        <v>0</v>
      </c>
      <c r="M226">
        <f t="shared" si="26"/>
        <v>0</v>
      </c>
      <c r="N226">
        <f t="shared" si="27"/>
        <v>0</v>
      </c>
      <c r="O226">
        <f t="shared" si="28"/>
        <v>0</v>
      </c>
      <c r="P226">
        <f t="shared" si="29"/>
        <v>0</v>
      </c>
      <c r="Q226">
        <f t="shared" si="30"/>
        <v>1</v>
      </c>
      <c r="R226">
        <f t="shared" si="31"/>
        <v>1</v>
      </c>
      <c r="S226">
        <f t="shared" si="32"/>
        <v>0</v>
      </c>
    </row>
    <row r="227" spans="1:19" x14ac:dyDescent="0.3">
      <c r="A227">
        <v>317.65000019073398</v>
      </c>
      <c r="B227">
        <v>303.85000000000002</v>
      </c>
      <c r="C227">
        <v>304.023355311155</v>
      </c>
      <c r="D227">
        <v>304.55517581701201</v>
      </c>
      <c r="E227">
        <v>299.32373199462802</v>
      </c>
      <c r="F227">
        <v>301.458437538147</v>
      </c>
      <c r="G227">
        <v>300.412192201614</v>
      </c>
      <c r="H227">
        <v>320.04243440627999</v>
      </c>
      <c r="I227">
        <v>315.83602581024098</v>
      </c>
      <c r="J227">
        <v>302.87742278575899</v>
      </c>
      <c r="L227">
        <f t="shared" si="25"/>
        <v>1</v>
      </c>
      <c r="M227">
        <f t="shared" si="26"/>
        <v>1</v>
      </c>
      <c r="N227">
        <f t="shared" si="27"/>
        <v>0</v>
      </c>
      <c r="O227">
        <f t="shared" si="28"/>
        <v>0</v>
      </c>
      <c r="P227">
        <f t="shared" si="29"/>
        <v>0</v>
      </c>
      <c r="Q227">
        <f t="shared" si="30"/>
        <v>1</v>
      </c>
      <c r="R227">
        <f t="shared" si="31"/>
        <v>1</v>
      </c>
      <c r="S227">
        <f t="shared" si="32"/>
        <v>0</v>
      </c>
    </row>
    <row r="228" spans="1:19" x14ac:dyDescent="0.3">
      <c r="A228">
        <v>316.85000000000002</v>
      </c>
      <c r="B228">
        <v>308.10000000000002</v>
      </c>
      <c r="C228">
        <v>309.94492683410601</v>
      </c>
      <c r="D228">
        <v>311.78338894844001</v>
      </c>
      <c r="E228">
        <v>303.23964986801099</v>
      </c>
      <c r="F228">
        <v>303.61559352874701</v>
      </c>
      <c r="G228">
        <v>303.40249309539797</v>
      </c>
      <c r="H228">
        <v>323.74370746612499</v>
      </c>
      <c r="I228">
        <v>314.164873218536</v>
      </c>
      <c r="J228">
        <v>304.53825697898799</v>
      </c>
      <c r="L228">
        <f t="shared" si="25"/>
        <v>1</v>
      </c>
      <c r="M228">
        <f t="shared" si="26"/>
        <v>1</v>
      </c>
      <c r="N228">
        <f t="shared" si="27"/>
        <v>0</v>
      </c>
      <c r="O228">
        <f t="shared" si="28"/>
        <v>0</v>
      </c>
      <c r="P228">
        <f t="shared" si="29"/>
        <v>0</v>
      </c>
      <c r="Q228">
        <f t="shared" si="30"/>
        <v>1</v>
      </c>
      <c r="R228">
        <f t="shared" si="31"/>
        <v>1</v>
      </c>
      <c r="S228">
        <f t="shared" si="32"/>
        <v>0</v>
      </c>
    </row>
    <row r="229" spans="1:19" x14ac:dyDescent="0.3">
      <c r="A229">
        <v>313.74999990463198</v>
      </c>
      <c r="B229">
        <v>311.39999999999998</v>
      </c>
      <c r="C229">
        <v>314.252201461791</v>
      </c>
      <c r="D229">
        <v>314.00240197181699</v>
      </c>
      <c r="E229">
        <v>304.98162117004301</v>
      </c>
      <c r="F229">
        <v>301.884513282775</v>
      </c>
      <c r="G229">
        <v>301.44615592956501</v>
      </c>
      <c r="H229">
        <v>323.67699851989698</v>
      </c>
      <c r="I229">
        <v>318.57417764663597</v>
      </c>
      <c r="J229">
        <v>305.45821037292399</v>
      </c>
      <c r="L229">
        <f t="shared" si="25"/>
        <v>1</v>
      </c>
      <c r="M229">
        <f t="shared" si="26"/>
        <v>1</v>
      </c>
      <c r="N229">
        <f t="shared" si="27"/>
        <v>0</v>
      </c>
      <c r="O229">
        <f t="shared" si="28"/>
        <v>0</v>
      </c>
      <c r="P229">
        <f t="shared" si="29"/>
        <v>0</v>
      </c>
      <c r="Q229">
        <f t="shared" si="30"/>
        <v>1</v>
      </c>
      <c r="R229">
        <f t="shared" si="31"/>
        <v>1</v>
      </c>
      <c r="S229">
        <f t="shared" si="32"/>
        <v>0</v>
      </c>
    </row>
    <row r="230" spans="1:19" x14ac:dyDescent="0.3">
      <c r="A230">
        <v>314.90000002384102</v>
      </c>
      <c r="B230">
        <v>314.3</v>
      </c>
      <c r="C230">
        <v>315.89001433849302</v>
      </c>
      <c r="D230">
        <v>317.43786196708601</v>
      </c>
      <c r="E230">
        <v>306.23369388580301</v>
      </c>
      <c r="F230">
        <v>306.93977718353199</v>
      </c>
      <c r="G230">
        <v>303.748967933654</v>
      </c>
      <c r="H230">
        <v>320.52820525169301</v>
      </c>
      <c r="I230">
        <v>310.29267721176097</v>
      </c>
      <c r="J230">
        <v>311.97217803001399</v>
      </c>
      <c r="L230">
        <f t="shared" si="25"/>
        <v>1</v>
      </c>
      <c r="M230">
        <f t="shared" si="26"/>
        <v>1</v>
      </c>
      <c r="N230">
        <f t="shared" si="27"/>
        <v>0</v>
      </c>
      <c r="O230">
        <f t="shared" si="28"/>
        <v>0</v>
      </c>
      <c r="P230">
        <f t="shared" si="29"/>
        <v>0</v>
      </c>
      <c r="Q230">
        <f t="shared" si="30"/>
        <v>1</v>
      </c>
      <c r="R230">
        <f t="shared" si="31"/>
        <v>0</v>
      </c>
      <c r="S230">
        <f t="shared" si="32"/>
        <v>0</v>
      </c>
    </row>
    <row r="231" spans="1:19" x14ac:dyDescent="0.3">
      <c r="A231">
        <v>313.40000002384102</v>
      </c>
      <c r="B231">
        <v>314.3</v>
      </c>
      <c r="C231">
        <v>316.152696537971</v>
      </c>
      <c r="D231">
        <v>317.40560536384498</v>
      </c>
      <c r="E231">
        <v>305.91396026611301</v>
      </c>
      <c r="F231">
        <v>309.166466999053</v>
      </c>
      <c r="G231">
        <v>303.685851860046</v>
      </c>
      <c r="H231">
        <v>324.979982852935</v>
      </c>
      <c r="I231">
        <v>309.77019958495998</v>
      </c>
      <c r="J231">
        <v>313.32661228179899</v>
      </c>
      <c r="L231">
        <f t="shared" si="25"/>
        <v>0</v>
      </c>
      <c r="M231">
        <f t="shared" si="26"/>
        <v>0</v>
      </c>
      <c r="N231">
        <f t="shared" si="27"/>
        <v>1</v>
      </c>
      <c r="O231">
        <f t="shared" si="28"/>
        <v>1</v>
      </c>
      <c r="P231">
        <f t="shared" si="29"/>
        <v>1</v>
      </c>
      <c r="Q231">
        <f t="shared" si="30"/>
        <v>0</v>
      </c>
      <c r="R231">
        <f t="shared" si="31"/>
        <v>1</v>
      </c>
      <c r="S231">
        <f t="shared" si="32"/>
        <v>1</v>
      </c>
    </row>
    <row r="232" spans="1:19" x14ac:dyDescent="0.3">
      <c r="A232">
        <v>314.74999998807903</v>
      </c>
      <c r="B232">
        <v>314.3</v>
      </c>
      <c r="C232">
        <v>316.73688440322798</v>
      </c>
      <c r="D232">
        <v>317.65390400886503</v>
      </c>
      <c r="E232">
        <v>309.941567230224</v>
      </c>
      <c r="F232">
        <v>310.29131488799999</v>
      </c>
      <c r="G232">
        <v>305.19439201354902</v>
      </c>
      <c r="H232">
        <v>320.14146986007597</v>
      </c>
      <c r="I232">
        <v>313.84292827844598</v>
      </c>
      <c r="J232">
        <v>315.08097045421601</v>
      </c>
      <c r="L232">
        <f t="shared" si="25"/>
        <v>1</v>
      </c>
      <c r="M232">
        <f t="shared" si="26"/>
        <v>1</v>
      </c>
      <c r="N232">
        <f t="shared" si="27"/>
        <v>0</v>
      </c>
      <c r="O232">
        <f t="shared" si="28"/>
        <v>0</v>
      </c>
      <c r="P232">
        <f t="shared" si="29"/>
        <v>0</v>
      </c>
      <c r="Q232">
        <f t="shared" si="30"/>
        <v>1</v>
      </c>
      <c r="R232">
        <f t="shared" si="31"/>
        <v>0</v>
      </c>
      <c r="S232">
        <f t="shared" si="32"/>
        <v>1</v>
      </c>
    </row>
    <row r="233" spans="1:19" x14ac:dyDescent="0.3">
      <c r="A233">
        <v>315.10000002384101</v>
      </c>
      <c r="B233">
        <v>316.25</v>
      </c>
      <c r="C233">
        <v>318.13839697837801</v>
      </c>
      <c r="D233">
        <v>318.51850771903901</v>
      </c>
      <c r="E233">
        <v>310.560602664947</v>
      </c>
      <c r="F233">
        <v>310.43151712417603</v>
      </c>
      <c r="G233">
        <v>306.412042617797</v>
      </c>
      <c r="H233">
        <v>323.73424491882298</v>
      </c>
      <c r="I233">
        <v>311.790107250213</v>
      </c>
      <c r="J233">
        <v>307.35746574401799</v>
      </c>
      <c r="L233">
        <f t="shared" si="25"/>
        <v>0</v>
      </c>
      <c r="M233">
        <f t="shared" si="26"/>
        <v>0</v>
      </c>
      <c r="N233">
        <f t="shared" si="27"/>
        <v>1</v>
      </c>
      <c r="O233">
        <f t="shared" si="28"/>
        <v>1</v>
      </c>
      <c r="P233">
        <f t="shared" si="29"/>
        <v>1</v>
      </c>
      <c r="Q233">
        <f t="shared" si="30"/>
        <v>0</v>
      </c>
      <c r="R233">
        <f t="shared" si="31"/>
        <v>1</v>
      </c>
      <c r="S233">
        <f t="shared" si="32"/>
        <v>1</v>
      </c>
    </row>
    <row r="234" spans="1:19" x14ac:dyDescent="0.3">
      <c r="A234">
        <v>315.099999904632</v>
      </c>
      <c r="B234">
        <v>312</v>
      </c>
      <c r="C234">
        <v>313.96840846538498</v>
      </c>
      <c r="D234">
        <v>313.86712229251799</v>
      </c>
      <c r="E234">
        <v>304.98081970214798</v>
      </c>
      <c r="F234">
        <v>306.17984580993601</v>
      </c>
      <c r="G234">
        <v>302.83542156219403</v>
      </c>
      <c r="H234">
        <v>321.41518697738599</v>
      </c>
      <c r="I234">
        <v>306.36595296859701</v>
      </c>
      <c r="J234">
        <v>309.89376187324501</v>
      </c>
      <c r="L234">
        <f t="shared" si="25"/>
        <v>1</v>
      </c>
      <c r="M234">
        <f t="shared" si="26"/>
        <v>1</v>
      </c>
      <c r="N234">
        <f t="shared" si="27"/>
        <v>0</v>
      </c>
      <c r="O234">
        <f t="shared" si="28"/>
        <v>0</v>
      </c>
      <c r="P234">
        <f t="shared" si="29"/>
        <v>0</v>
      </c>
      <c r="Q234">
        <f t="shared" si="30"/>
        <v>1</v>
      </c>
      <c r="R234">
        <f t="shared" si="31"/>
        <v>0</v>
      </c>
      <c r="S234">
        <f t="shared" si="32"/>
        <v>0</v>
      </c>
    </row>
    <row r="235" spans="1:19" x14ac:dyDescent="0.3">
      <c r="A235">
        <v>317.14999990463201</v>
      </c>
      <c r="B235">
        <v>314.05</v>
      </c>
      <c r="C235">
        <v>314.45853133797601</v>
      </c>
      <c r="D235">
        <v>314.15787025093999</v>
      </c>
      <c r="E235">
        <v>306.72168045043901</v>
      </c>
      <c r="F235">
        <v>310.45575742721502</v>
      </c>
      <c r="G235">
        <v>304.79566745758001</v>
      </c>
      <c r="H235">
        <v>318.51017923355101</v>
      </c>
      <c r="I235">
        <v>304.77906398773098</v>
      </c>
      <c r="J235">
        <v>310.89533262252797</v>
      </c>
      <c r="L235">
        <f t="shared" si="25"/>
        <v>1</v>
      </c>
      <c r="M235">
        <f t="shared" si="26"/>
        <v>1</v>
      </c>
      <c r="N235">
        <f t="shared" si="27"/>
        <v>0</v>
      </c>
      <c r="O235">
        <f t="shared" si="28"/>
        <v>0</v>
      </c>
      <c r="P235">
        <f t="shared" si="29"/>
        <v>0</v>
      </c>
      <c r="Q235">
        <f t="shared" si="30"/>
        <v>1</v>
      </c>
      <c r="R235">
        <f t="shared" si="31"/>
        <v>0</v>
      </c>
      <c r="S235">
        <f t="shared" si="32"/>
        <v>0</v>
      </c>
    </row>
    <row r="236" spans="1:19" x14ac:dyDescent="0.3">
      <c r="A236">
        <v>316.54999980926499</v>
      </c>
      <c r="B236">
        <v>311.85000000000002</v>
      </c>
      <c r="C236">
        <v>312.89242885112702</v>
      </c>
      <c r="D236">
        <v>312.48111621141402</v>
      </c>
      <c r="E236">
        <v>306.189753150939</v>
      </c>
      <c r="F236">
        <v>309.38895139694199</v>
      </c>
      <c r="G236">
        <v>305.71251306533799</v>
      </c>
      <c r="H236">
        <v>319.67883892059302</v>
      </c>
      <c r="I236">
        <v>312.144402301311</v>
      </c>
      <c r="J236">
        <v>313.27619895934998</v>
      </c>
      <c r="L236">
        <f t="shared" si="25"/>
        <v>1</v>
      </c>
      <c r="M236">
        <f t="shared" si="26"/>
        <v>1</v>
      </c>
      <c r="N236">
        <f t="shared" si="27"/>
        <v>0</v>
      </c>
      <c r="O236">
        <f t="shared" si="28"/>
        <v>0</v>
      </c>
      <c r="P236">
        <f t="shared" si="29"/>
        <v>0</v>
      </c>
      <c r="Q236">
        <f t="shared" si="30"/>
        <v>1</v>
      </c>
      <c r="R236">
        <f t="shared" si="31"/>
        <v>1</v>
      </c>
      <c r="S236">
        <f t="shared" si="32"/>
        <v>1</v>
      </c>
    </row>
    <row r="237" spans="1:19" x14ac:dyDescent="0.3">
      <c r="A237">
        <v>317.29999999403901</v>
      </c>
      <c r="B237">
        <v>316.95</v>
      </c>
      <c r="C237">
        <v>314.737233829498</v>
      </c>
      <c r="D237">
        <v>315.45562703609397</v>
      </c>
      <c r="E237">
        <v>308.325270843505</v>
      </c>
      <c r="F237">
        <v>312.63362045288</v>
      </c>
      <c r="G237">
        <v>307.48693103790202</v>
      </c>
      <c r="H237">
        <v>321.43418099880199</v>
      </c>
      <c r="I237">
        <v>315.552169156074</v>
      </c>
      <c r="J237">
        <v>316.28191931247699</v>
      </c>
      <c r="L237">
        <f t="shared" si="25"/>
        <v>0</v>
      </c>
      <c r="M237">
        <f t="shared" si="26"/>
        <v>0</v>
      </c>
      <c r="N237">
        <f t="shared" si="27"/>
        <v>0</v>
      </c>
      <c r="O237">
        <f t="shared" si="28"/>
        <v>0</v>
      </c>
      <c r="P237">
        <f t="shared" si="29"/>
        <v>0</v>
      </c>
      <c r="Q237">
        <f t="shared" si="30"/>
        <v>1</v>
      </c>
      <c r="R237">
        <f t="shared" si="31"/>
        <v>0</v>
      </c>
      <c r="S237">
        <f t="shared" si="32"/>
        <v>0</v>
      </c>
    </row>
    <row r="238" spans="1:19" x14ac:dyDescent="0.3">
      <c r="A238">
        <v>318.10000000000002</v>
      </c>
      <c r="B238">
        <v>317.10000000000002</v>
      </c>
      <c r="C238">
        <v>313.60408482551497</v>
      </c>
      <c r="D238">
        <v>315.28350434303201</v>
      </c>
      <c r="E238">
        <v>308.24866638183499</v>
      </c>
      <c r="F238">
        <v>312.04305276870701</v>
      </c>
      <c r="G238">
        <v>308.18328247070298</v>
      </c>
      <c r="H238">
        <v>317.07404222488401</v>
      </c>
      <c r="I238">
        <v>319.00563476085603</v>
      </c>
      <c r="J238">
        <v>319.81607089042598</v>
      </c>
      <c r="L238">
        <f t="shared" si="25"/>
        <v>0</v>
      </c>
      <c r="M238">
        <f t="shared" si="26"/>
        <v>0</v>
      </c>
      <c r="N238">
        <f t="shared" si="27"/>
        <v>0</v>
      </c>
      <c r="O238">
        <f t="shared" si="28"/>
        <v>0</v>
      </c>
      <c r="P238">
        <f t="shared" si="29"/>
        <v>0</v>
      </c>
      <c r="Q238">
        <f t="shared" si="30"/>
        <v>0</v>
      </c>
      <c r="R238">
        <f t="shared" si="31"/>
        <v>1</v>
      </c>
      <c r="S238">
        <f t="shared" si="32"/>
        <v>1</v>
      </c>
    </row>
    <row r="239" spans="1:19" x14ac:dyDescent="0.3">
      <c r="A239">
        <v>314.89999997615803</v>
      </c>
      <c r="B239">
        <v>315.75</v>
      </c>
      <c r="C239">
        <v>311.80108165740899</v>
      </c>
      <c r="D239">
        <v>312.714386463165</v>
      </c>
      <c r="E239">
        <v>310.10776090621903</v>
      </c>
      <c r="F239">
        <v>308.18423223495398</v>
      </c>
      <c r="G239">
        <v>309.43483161926201</v>
      </c>
      <c r="H239">
        <v>316.41853990554802</v>
      </c>
      <c r="I239">
        <v>313.97671830654099</v>
      </c>
      <c r="J239">
        <v>312.52597355842499</v>
      </c>
      <c r="L239">
        <f t="shared" si="25"/>
        <v>1</v>
      </c>
      <c r="M239">
        <f t="shared" si="26"/>
        <v>1</v>
      </c>
      <c r="N239">
        <f t="shared" si="27"/>
        <v>1</v>
      </c>
      <c r="O239">
        <f t="shared" si="28"/>
        <v>1</v>
      </c>
      <c r="P239">
        <f t="shared" si="29"/>
        <v>1</v>
      </c>
      <c r="Q239">
        <f t="shared" si="30"/>
        <v>0</v>
      </c>
      <c r="R239">
        <f t="shared" si="31"/>
        <v>1</v>
      </c>
      <c r="S239">
        <f t="shared" si="32"/>
        <v>1</v>
      </c>
    </row>
    <row r="240" spans="1:19" x14ac:dyDescent="0.3">
      <c r="A240">
        <v>307.54999990463199</v>
      </c>
      <c r="B240">
        <v>312.45</v>
      </c>
      <c r="C240">
        <v>309.54602642059302</v>
      </c>
      <c r="D240">
        <v>310.126869869232</v>
      </c>
      <c r="E240">
        <v>308.34051914215001</v>
      </c>
      <c r="F240">
        <v>309.90908021926799</v>
      </c>
      <c r="G240">
        <v>306.90117187499999</v>
      </c>
      <c r="H240">
        <v>317.01426672935401</v>
      </c>
      <c r="I240">
        <v>320.79421157836902</v>
      </c>
      <c r="J240">
        <v>311.33110315799701</v>
      </c>
      <c r="L240">
        <f t="shared" si="25"/>
        <v>1</v>
      </c>
      <c r="M240">
        <f t="shared" si="26"/>
        <v>1</v>
      </c>
      <c r="N240">
        <f t="shared" si="27"/>
        <v>1</v>
      </c>
      <c r="O240">
        <f t="shared" si="28"/>
        <v>1</v>
      </c>
      <c r="P240">
        <f t="shared" si="29"/>
        <v>1</v>
      </c>
      <c r="Q240">
        <f t="shared" si="30"/>
        <v>0</v>
      </c>
      <c r="R240">
        <f t="shared" si="31"/>
        <v>0</v>
      </c>
      <c r="S240">
        <f t="shared" si="32"/>
        <v>1</v>
      </c>
    </row>
    <row r="241" spans="1:19" x14ac:dyDescent="0.3">
      <c r="A241">
        <v>309.15000004768302</v>
      </c>
      <c r="B241">
        <v>312.45</v>
      </c>
      <c r="C241">
        <v>309.19150776863</v>
      </c>
      <c r="D241">
        <v>309.03297300338699</v>
      </c>
      <c r="E241">
        <v>307.56228704452502</v>
      </c>
      <c r="F241">
        <v>308.66639299392699</v>
      </c>
      <c r="G241">
        <v>306.98865623474097</v>
      </c>
      <c r="H241">
        <v>312.15070486068697</v>
      </c>
      <c r="I241">
        <v>320.03817195892299</v>
      </c>
      <c r="J241">
        <v>309.82655663490198</v>
      </c>
      <c r="L241">
        <f t="shared" si="25"/>
        <v>1</v>
      </c>
      <c r="M241">
        <f t="shared" si="26"/>
        <v>1</v>
      </c>
      <c r="N241">
        <f t="shared" si="27"/>
        <v>1</v>
      </c>
      <c r="O241">
        <f t="shared" si="28"/>
        <v>1</v>
      </c>
      <c r="P241">
        <f t="shared" si="29"/>
        <v>1</v>
      </c>
      <c r="Q241">
        <f t="shared" si="30"/>
        <v>1</v>
      </c>
      <c r="R241">
        <f t="shared" si="31"/>
        <v>0</v>
      </c>
      <c r="S241">
        <f t="shared" si="32"/>
        <v>1</v>
      </c>
    </row>
    <row r="242" spans="1:19" x14ac:dyDescent="0.3">
      <c r="A242">
        <v>311.39999999999998</v>
      </c>
      <c r="B242">
        <v>308.14999999999998</v>
      </c>
      <c r="C242">
        <v>306.71586003303503</v>
      </c>
      <c r="D242">
        <v>305.41996231079099</v>
      </c>
      <c r="E242">
        <v>302.55273571014402</v>
      </c>
      <c r="F242">
        <v>305.642689609527</v>
      </c>
      <c r="G242">
        <v>302.72850027084303</v>
      </c>
      <c r="H242">
        <v>315.03305275440198</v>
      </c>
      <c r="I242">
        <v>315.928447151184</v>
      </c>
      <c r="J242">
        <v>307.846967840194</v>
      </c>
      <c r="L242">
        <f t="shared" si="25"/>
        <v>0</v>
      </c>
      <c r="M242">
        <f t="shared" si="26"/>
        <v>0</v>
      </c>
      <c r="N242">
        <f t="shared" si="27"/>
        <v>0</v>
      </c>
      <c r="O242">
        <f t="shared" si="28"/>
        <v>0</v>
      </c>
      <c r="P242">
        <f t="shared" si="29"/>
        <v>0</v>
      </c>
      <c r="Q242">
        <f t="shared" si="30"/>
        <v>1</v>
      </c>
      <c r="R242">
        <f t="shared" si="31"/>
        <v>1</v>
      </c>
      <c r="S242">
        <f t="shared" si="32"/>
        <v>0</v>
      </c>
    </row>
    <row r="243" spans="1:19" x14ac:dyDescent="0.3">
      <c r="A243">
        <v>313.15000019073398</v>
      </c>
      <c r="B243">
        <v>303.85000000000002</v>
      </c>
      <c r="C243">
        <v>303.31874809265099</v>
      </c>
      <c r="D243">
        <v>303.20005956888201</v>
      </c>
      <c r="E243">
        <v>298.422833061218</v>
      </c>
      <c r="F243">
        <v>301.28893051147401</v>
      </c>
      <c r="G243">
        <v>297.80234584808301</v>
      </c>
      <c r="H243">
        <v>313.62717909812898</v>
      </c>
      <c r="I243">
        <v>309.35138473510699</v>
      </c>
      <c r="J243">
        <v>305.81931242942801</v>
      </c>
      <c r="L243">
        <f t="shared" si="25"/>
        <v>0</v>
      </c>
      <c r="M243">
        <f t="shared" si="26"/>
        <v>0</v>
      </c>
      <c r="N243">
        <f t="shared" si="27"/>
        <v>0</v>
      </c>
      <c r="O243">
        <f t="shared" si="28"/>
        <v>0</v>
      </c>
      <c r="P243">
        <f t="shared" si="29"/>
        <v>0</v>
      </c>
      <c r="Q243">
        <f t="shared" si="30"/>
        <v>1</v>
      </c>
      <c r="R243">
        <f t="shared" si="31"/>
        <v>1</v>
      </c>
      <c r="S243">
        <f t="shared" si="32"/>
        <v>1</v>
      </c>
    </row>
    <row r="244" spans="1:19" x14ac:dyDescent="0.3">
      <c r="A244">
        <v>313.75000004768299</v>
      </c>
      <c r="B244">
        <v>310.3</v>
      </c>
      <c r="C244">
        <v>306.42538766860901</v>
      </c>
      <c r="D244">
        <v>307.89788656234703</v>
      </c>
      <c r="E244">
        <v>300.3737991333</v>
      </c>
      <c r="F244">
        <v>306.52435569763099</v>
      </c>
      <c r="G244">
        <v>300.20683650970398</v>
      </c>
      <c r="H244">
        <v>310.915540266037</v>
      </c>
      <c r="I244">
        <v>314.467398452758</v>
      </c>
      <c r="J244">
        <v>308.05928616523698</v>
      </c>
      <c r="L244">
        <f t="shared" si="25"/>
        <v>0</v>
      </c>
      <c r="M244">
        <f t="shared" si="26"/>
        <v>0</v>
      </c>
      <c r="N244">
        <f t="shared" si="27"/>
        <v>0</v>
      </c>
      <c r="O244">
        <f t="shared" si="28"/>
        <v>0</v>
      </c>
      <c r="P244">
        <f t="shared" si="29"/>
        <v>0</v>
      </c>
      <c r="Q244">
        <f t="shared" si="30"/>
        <v>1</v>
      </c>
      <c r="R244">
        <f t="shared" si="31"/>
        <v>1</v>
      </c>
      <c r="S244">
        <f t="shared" si="32"/>
        <v>0</v>
      </c>
    </row>
    <row r="245" spans="1:19" x14ac:dyDescent="0.3">
      <c r="A245">
        <v>313.74999995231599</v>
      </c>
      <c r="B245">
        <v>310.45</v>
      </c>
      <c r="C245">
        <v>308.185075712203</v>
      </c>
      <c r="D245">
        <v>308.46695370674098</v>
      </c>
      <c r="E245">
        <v>298.21352691650299</v>
      </c>
      <c r="F245">
        <v>305.57402868270799</v>
      </c>
      <c r="G245">
        <v>304.14729328155499</v>
      </c>
      <c r="H245">
        <v>313.24118458032598</v>
      </c>
      <c r="I245">
        <v>319.935945701599</v>
      </c>
      <c r="J245">
        <v>312.37955017089803</v>
      </c>
      <c r="L245">
        <f t="shared" si="25"/>
        <v>0</v>
      </c>
      <c r="M245">
        <f t="shared" si="26"/>
        <v>0</v>
      </c>
      <c r="N245">
        <f t="shared" si="27"/>
        <v>0</v>
      </c>
      <c r="O245">
        <f t="shared" si="28"/>
        <v>0</v>
      </c>
      <c r="P245">
        <f t="shared" si="29"/>
        <v>0</v>
      </c>
      <c r="Q245">
        <f t="shared" si="30"/>
        <v>1</v>
      </c>
      <c r="R245">
        <f t="shared" si="31"/>
        <v>1</v>
      </c>
      <c r="S245">
        <f t="shared" si="32"/>
        <v>1</v>
      </c>
    </row>
    <row r="246" spans="1:19" x14ac:dyDescent="0.3">
      <c r="A246">
        <v>316.85000000000002</v>
      </c>
      <c r="B246">
        <v>313.60000000000002</v>
      </c>
      <c r="C246">
        <v>312.03924224376601</v>
      </c>
      <c r="D246">
        <v>315.35695109367299</v>
      </c>
      <c r="E246">
        <v>305.518689727783</v>
      </c>
      <c r="F246">
        <v>310.49690971374503</v>
      </c>
      <c r="G246">
        <v>305.27865467071501</v>
      </c>
      <c r="H246">
        <v>317.17216691970799</v>
      </c>
      <c r="I246">
        <v>321.39280567169101</v>
      </c>
      <c r="J246">
        <v>308.71551094055098</v>
      </c>
      <c r="L246">
        <f t="shared" si="25"/>
        <v>0</v>
      </c>
      <c r="M246">
        <f t="shared" si="26"/>
        <v>1</v>
      </c>
      <c r="N246">
        <f t="shared" si="27"/>
        <v>0</v>
      </c>
      <c r="O246">
        <f t="shared" si="28"/>
        <v>0</v>
      </c>
      <c r="P246">
        <f t="shared" si="29"/>
        <v>0</v>
      </c>
      <c r="Q246">
        <f t="shared" si="30"/>
        <v>1</v>
      </c>
      <c r="R246">
        <f t="shared" si="31"/>
        <v>1</v>
      </c>
      <c r="S246">
        <f t="shared" si="32"/>
        <v>0</v>
      </c>
    </row>
    <row r="247" spans="1:19" x14ac:dyDescent="0.3">
      <c r="A247">
        <v>313.300000047683</v>
      </c>
      <c r="B247">
        <v>317.10000000000002</v>
      </c>
      <c r="C247">
        <v>315.00742444991999</v>
      </c>
      <c r="D247">
        <v>317.68676993846799</v>
      </c>
      <c r="E247">
        <v>310.31166038513101</v>
      </c>
      <c r="F247">
        <v>309.349101638793</v>
      </c>
      <c r="G247">
        <v>307.04959735870301</v>
      </c>
      <c r="H247">
        <v>314.907685184478</v>
      </c>
      <c r="I247">
        <v>319.961594676971</v>
      </c>
      <c r="J247">
        <v>311.84572849273599</v>
      </c>
      <c r="L247">
        <f t="shared" si="25"/>
        <v>1</v>
      </c>
      <c r="M247">
        <f t="shared" si="26"/>
        <v>0</v>
      </c>
      <c r="N247">
        <f t="shared" si="27"/>
        <v>1</v>
      </c>
      <c r="O247">
        <f t="shared" si="28"/>
        <v>1</v>
      </c>
      <c r="P247">
        <f t="shared" si="29"/>
        <v>1</v>
      </c>
      <c r="Q247">
        <f t="shared" si="30"/>
        <v>1</v>
      </c>
      <c r="R247">
        <f t="shared" si="31"/>
        <v>0</v>
      </c>
      <c r="S247">
        <f t="shared" si="32"/>
        <v>1</v>
      </c>
    </row>
    <row r="248" spans="1:19" x14ac:dyDescent="0.3">
      <c r="A248">
        <v>316.14999995231602</v>
      </c>
      <c r="B248">
        <v>320.10000000000002</v>
      </c>
      <c r="C248">
        <v>318.51705942153899</v>
      </c>
      <c r="D248">
        <v>318.53709516525203</v>
      </c>
      <c r="E248">
        <v>311.98591670989902</v>
      </c>
      <c r="F248">
        <v>306.81675300598101</v>
      </c>
      <c r="G248">
        <v>308.84203681945797</v>
      </c>
      <c r="H248">
        <v>318.03496763706198</v>
      </c>
      <c r="I248">
        <v>319.94087640047002</v>
      </c>
      <c r="J248">
        <v>314.20286617278998</v>
      </c>
      <c r="L248">
        <f t="shared" si="25"/>
        <v>1</v>
      </c>
      <c r="M248">
        <f t="shared" si="26"/>
        <v>1</v>
      </c>
      <c r="N248">
        <f t="shared" si="27"/>
        <v>1</v>
      </c>
      <c r="O248">
        <f t="shared" si="28"/>
        <v>1</v>
      </c>
      <c r="P248">
        <f t="shared" si="29"/>
        <v>1</v>
      </c>
      <c r="Q248">
        <f t="shared" si="30"/>
        <v>1</v>
      </c>
      <c r="R248">
        <f t="shared" si="31"/>
        <v>1</v>
      </c>
      <c r="S248">
        <f t="shared" si="32"/>
        <v>1</v>
      </c>
    </row>
    <row r="249" spans="1:19" x14ac:dyDescent="0.3">
      <c r="A249">
        <v>315.65000009536698</v>
      </c>
      <c r="B249">
        <v>321.5</v>
      </c>
      <c r="C249">
        <v>319.08938956260602</v>
      </c>
      <c r="D249">
        <v>320.29707312583901</v>
      </c>
      <c r="E249">
        <v>311.32434082031199</v>
      </c>
      <c r="F249">
        <v>309.87630176544099</v>
      </c>
      <c r="G249">
        <v>311.61663532257</v>
      </c>
      <c r="H249">
        <v>312.31970012187901</v>
      </c>
      <c r="I249">
        <v>323.913299798965</v>
      </c>
      <c r="J249">
        <v>318.84607100486699</v>
      </c>
      <c r="L249">
        <f t="shared" si="25"/>
        <v>1</v>
      </c>
      <c r="M249">
        <f t="shared" si="26"/>
        <v>1</v>
      </c>
      <c r="N249">
        <f t="shared" si="27"/>
        <v>1</v>
      </c>
      <c r="O249">
        <f t="shared" si="28"/>
        <v>1</v>
      </c>
      <c r="P249">
        <f t="shared" si="29"/>
        <v>1</v>
      </c>
      <c r="Q249">
        <f t="shared" si="30"/>
        <v>1</v>
      </c>
      <c r="R249">
        <f t="shared" si="31"/>
        <v>0</v>
      </c>
      <c r="S249">
        <f t="shared" si="32"/>
        <v>1</v>
      </c>
    </row>
    <row r="250" spans="1:19" x14ac:dyDescent="0.3">
      <c r="A250">
        <v>315.64999990463201</v>
      </c>
      <c r="B250">
        <v>321.55</v>
      </c>
      <c r="C250">
        <v>320.10867123603799</v>
      </c>
      <c r="D250">
        <v>321.13035358786499</v>
      </c>
      <c r="E250">
        <v>310.94856719970699</v>
      </c>
      <c r="F250">
        <v>309.69552116393999</v>
      </c>
      <c r="G250">
        <v>316.61729698181102</v>
      </c>
      <c r="H250">
        <v>321.00281038284299</v>
      </c>
      <c r="I250">
        <v>319.33788661956697</v>
      </c>
      <c r="J250">
        <v>316.49534158706598</v>
      </c>
      <c r="L250">
        <f t="shared" si="25"/>
        <v>1</v>
      </c>
      <c r="M250">
        <f t="shared" si="26"/>
        <v>1</v>
      </c>
      <c r="N250">
        <f t="shared" si="27"/>
        <v>1</v>
      </c>
      <c r="O250">
        <f t="shared" si="28"/>
        <v>1</v>
      </c>
      <c r="P250">
        <f t="shared" si="29"/>
        <v>1</v>
      </c>
      <c r="Q250">
        <f t="shared" si="30"/>
        <v>1</v>
      </c>
      <c r="R250">
        <f t="shared" si="31"/>
        <v>1</v>
      </c>
      <c r="S250">
        <f t="shared" si="32"/>
        <v>1</v>
      </c>
    </row>
    <row r="251" spans="1:19" x14ac:dyDescent="0.3">
      <c r="A251">
        <v>310.40000019073398</v>
      </c>
      <c r="B251">
        <v>322.85000000000002</v>
      </c>
      <c r="C251">
        <v>321.94955519437701</v>
      </c>
      <c r="D251">
        <v>321.94785777330401</v>
      </c>
      <c r="E251">
        <v>313.72456130981402</v>
      </c>
      <c r="F251">
        <v>312.63345394134501</v>
      </c>
      <c r="G251">
        <v>318.45958719253503</v>
      </c>
      <c r="H251">
        <v>318.58543100357002</v>
      </c>
      <c r="I251">
        <v>319.50837264060902</v>
      </c>
      <c r="J251">
        <v>316.379313087463</v>
      </c>
      <c r="L251">
        <f t="shared" si="25"/>
        <v>1</v>
      </c>
      <c r="M251">
        <f t="shared" si="26"/>
        <v>1</v>
      </c>
      <c r="N251">
        <f t="shared" si="27"/>
        <v>1</v>
      </c>
      <c r="O251">
        <f t="shared" si="28"/>
        <v>1</v>
      </c>
      <c r="P251">
        <f t="shared" si="29"/>
        <v>1</v>
      </c>
      <c r="Q251">
        <f t="shared" si="30"/>
        <v>1</v>
      </c>
      <c r="R251">
        <f t="shared" si="31"/>
        <v>1</v>
      </c>
      <c r="S251">
        <f t="shared" si="32"/>
        <v>1</v>
      </c>
    </row>
    <row r="252" spans="1:19" x14ac:dyDescent="0.3">
      <c r="A252">
        <v>309.19999980926502</v>
      </c>
      <c r="B252">
        <v>322</v>
      </c>
      <c r="C252">
        <v>321.93974592536603</v>
      </c>
      <c r="D252">
        <v>321.12352567911103</v>
      </c>
      <c r="E252">
        <v>310.67680549621502</v>
      </c>
      <c r="F252">
        <v>308.90516471862702</v>
      </c>
      <c r="G252">
        <v>313.76565647125199</v>
      </c>
      <c r="H252">
        <v>313.97343224286999</v>
      </c>
      <c r="I252">
        <v>314.23052644729597</v>
      </c>
      <c r="J252">
        <v>316.375831604003</v>
      </c>
      <c r="L252">
        <f t="shared" si="25"/>
        <v>1</v>
      </c>
      <c r="M252">
        <f t="shared" si="26"/>
        <v>1</v>
      </c>
      <c r="N252">
        <f t="shared" si="27"/>
        <v>1</v>
      </c>
      <c r="O252">
        <f t="shared" si="28"/>
        <v>1</v>
      </c>
      <c r="P252">
        <f t="shared" si="29"/>
        <v>1</v>
      </c>
      <c r="Q252">
        <f t="shared" si="30"/>
        <v>1</v>
      </c>
      <c r="R252">
        <f t="shared" si="31"/>
        <v>1</v>
      </c>
      <c r="S252">
        <f t="shared" si="32"/>
        <v>1</v>
      </c>
    </row>
    <row r="253" spans="1:19" x14ac:dyDescent="0.3">
      <c r="A253">
        <v>305.85000000000002</v>
      </c>
      <c r="B253">
        <v>319.85000000000002</v>
      </c>
      <c r="C253">
        <v>318.45827076435</v>
      </c>
      <c r="D253">
        <v>318.81255207061702</v>
      </c>
      <c r="E253">
        <v>308.05639514923098</v>
      </c>
      <c r="F253">
        <v>310.871162986755</v>
      </c>
      <c r="G253">
        <v>316.08277354240403</v>
      </c>
      <c r="H253">
        <v>314.41127077341002</v>
      </c>
      <c r="I253">
        <v>313.62598714828403</v>
      </c>
      <c r="J253">
        <v>311.520552253723</v>
      </c>
      <c r="L253">
        <f t="shared" si="25"/>
        <v>1</v>
      </c>
      <c r="M253">
        <f t="shared" si="26"/>
        <v>1</v>
      </c>
      <c r="N253">
        <f t="shared" si="27"/>
        <v>1</v>
      </c>
      <c r="O253">
        <f t="shared" si="28"/>
        <v>1</v>
      </c>
      <c r="P253">
        <f t="shared" si="29"/>
        <v>1</v>
      </c>
      <c r="Q253">
        <f t="shared" si="30"/>
        <v>1</v>
      </c>
      <c r="R253">
        <f t="shared" si="31"/>
        <v>1</v>
      </c>
      <c r="S253">
        <f t="shared" si="32"/>
        <v>1</v>
      </c>
    </row>
    <row r="254" spans="1:19" x14ac:dyDescent="0.3">
      <c r="A254">
        <v>301.34999923705999</v>
      </c>
      <c r="B254">
        <v>321.3</v>
      </c>
      <c r="C254">
        <v>320.47081427574102</v>
      </c>
      <c r="D254">
        <v>318.10975556373597</v>
      </c>
      <c r="E254">
        <v>312.44244842529298</v>
      </c>
      <c r="F254">
        <v>317.638526725769</v>
      </c>
      <c r="G254">
        <v>316.60079746246299</v>
      </c>
      <c r="H254">
        <v>315.44451538324302</v>
      </c>
      <c r="I254">
        <v>311.03154926299999</v>
      </c>
      <c r="J254">
        <v>310.468040275573</v>
      </c>
      <c r="L254">
        <f t="shared" si="25"/>
        <v>1</v>
      </c>
      <c r="M254">
        <f t="shared" si="26"/>
        <v>1</v>
      </c>
      <c r="N254">
        <f t="shared" si="27"/>
        <v>1</v>
      </c>
      <c r="O254">
        <f t="shared" si="28"/>
        <v>1</v>
      </c>
      <c r="P254">
        <f t="shared" si="29"/>
        <v>1</v>
      </c>
      <c r="Q254">
        <f t="shared" si="30"/>
        <v>1</v>
      </c>
      <c r="R254">
        <f t="shared" si="31"/>
        <v>1</v>
      </c>
      <c r="S254">
        <f t="shared" si="32"/>
        <v>1</v>
      </c>
    </row>
    <row r="255" spans="1:19" x14ac:dyDescent="0.3">
      <c r="A255">
        <v>304.20000038146901</v>
      </c>
      <c r="B255">
        <v>321.60000000000002</v>
      </c>
      <c r="C255">
        <v>320.08089742660502</v>
      </c>
      <c r="D255">
        <v>320.158676362037</v>
      </c>
      <c r="E255">
        <v>311.36061153411799</v>
      </c>
      <c r="F255">
        <v>312.13090095519999</v>
      </c>
      <c r="G255">
        <v>318.17232737541201</v>
      </c>
      <c r="H255">
        <v>315.32340767383499</v>
      </c>
      <c r="I255">
        <v>310.35937461853001</v>
      </c>
      <c r="J255">
        <v>314.80928478240901</v>
      </c>
      <c r="L255">
        <f t="shared" si="25"/>
        <v>1</v>
      </c>
      <c r="M255">
        <f t="shared" si="26"/>
        <v>1</v>
      </c>
      <c r="N255">
        <f t="shared" si="27"/>
        <v>1</v>
      </c>
      <c r="O255">
        <f t="shared" si="28"/>
        <v>1</v>
      </c>
      <c r="P255">
        <f t="shared" si="29"/>
        <v>1</v>
      </c>
      <c r="Q255">
        <f t="shared" si="30"/>
        <v>1</v>
      </c>
      <c r="R255">
        <f t="shared" si="31"/>
        <v>1</v>
      </c>
      <c r="S255">
        <f t="shared" si="32"/>
        <v>1</v>
      </c>
    </row>
    <row r="256" spans="1:19" x14ac:dyDescent="0.3">
      <c r="A256">
        <v>300.74999961853001</v>
      </c>
      <c r="B256">
        <v>322.10000000000002</v>
      </c>
      <c r="C256">
        <v>320.02398118972701</v>
      </c>
      <c r="D256">
        <v>317.95173320770198</v>
      </c>
      <c r="E256">
        <v>316.14095840454098</v>
      </c>
      <c r="F256">
        <v>316.441813087463</v>
      </c>
      <c r="G256">
        <v>320.47590694427402</v>
      </c>
      <c r="H256">
        <v>319.532811212539</v>
      </c>
      <c r="I256">
        <v>316.41911945343003</v>
      </c>
      <c r="J256">
        <v>316.630487537384</v>
      </c>
      <c r="L256">
        <f t="shared" si="25"/>
        <v>1</v>
      </c>
      <c r="M256">
        <f t="shared" si="26"/>
        <v>1</v>
      </c>
      <c r="N256">
        <f t="shared" si="27"/>
        <v>1</v>
      </c>
      <c r="O256">
        <f t="shared" si="28"/>
        <v>1</v>
      </c>
      <c r="P256">
        <f t="shared" si="29"/>
        <v>1</v>
      </c>
      <c r="Q256">
        <f t="shared" si="30"/>
        <v>1</v>
      </c>
      <c r="R256">
        <f t="shared" si="31"/>
        <v>1</v>
      </c>
      <c r="S256">
        <f t="shared" si="32"/>
        <v>1</v>
      </c>
    </row>
    <row r="257" spans="1:19" x14ac:dyDescent="0.3">
      <c r="A257">
        <v>303.65000009536698</v>
      </c>
      <c r="B257">
        <v>311.5</v>
      </c>
      <c r="C257">
        <v>311.98248526453898</v>
      </c>
      <c r="D257">
        <v>314.40220236778202</v>
      </c>
      <c r="E257">
        <v>313.93573808669998</v>
      </c>
      <c r="F257">
        <v>314.25046682357703</v>
      </c>
      <c r="G257">
        <v>316.93458938598599</v>
      </c>
      <c r="H257">
        <v>320.911850738525</v>
      </c>
      <c r="I257">
        <v>330.39979171752901</v>
      </c>
      <c r="J257">
        <v>318.08581161499001</v>
      </c>
      <c r="L257">
        <f t="shared" si="25"/>
        <v>0</v>
      </c>
      <c r="M257">
        <f t="shared" si="26"/>
        <v>0</v>
      </c>
      <c r="N257">
        <f t="shared" si="27"/>
        <v>0</v>
      </c>
      <c r="O257">
        <f t="shared" si="28"/>
        <v>0</v>
      </c>
      <c r="P257">
        <f t="shared" si="29"/>
        <v>0</v>
      </c>
      <c r="Q257">
        <f t="shared" si="30"/>
        <v>0</v>
      </c>
      <c r="R257">
        <f t="shared" si="31"/>
        <v>0</v>
      </c>
      <c r="S257">
        <f t="shared" si="32"/>
        <v>0</v>
      </c>
    </row>
    <row r="258" spans="1:19" x14ac:dyDescent="0.3">
      <c r="A258">
        <v>303.25</v>
      </c>
      <c r="B258">
        <v>314.5</v>
      </c>
      <c r="C258">
        <v>313.71275854110701</v>
      </c>
      <c r="D258">
        <v>316.343615770339</v>
      </c>
      <c r="E258">
        <v>316.44458377361298</v>
      </c>
      <c r="F258">
        <v>318.06775617599402</v>
      </c>
      <c r="G258">
        <v>322.126551628112</v>
      </c>
      <c r="H258">
        <v>321.68950543403599</v>
      </c>
      <c r="I258">
        <v>325.06369781494101</v>
      </c>
      <c r="J258">
        <v>326.27203941345198</v>
      </c>
      <c r="L258">
        <f t="shared" si="25"/>
        <v>1</v>
      </c>
      <c r="M258">
        <f t="shared" si="26"/>
        <v>0</v>
      </c>
      <c r="N258">
        <f t="shared" si="27"/>
        <v>0</v>
      </c>
      <c r="O258">
        <f t="shared" si="28"/>
        <v>0</v>
      </c>
      <c r="P258">
        <f t="shared" si="29"/>
        <v>0</v>
      </c>
      <c r="Q258">
        <f t="shared" si="30"/>
        <v>0</v>
      </c>
      <c r="R258">
        <f t="shared" si="31"/>
        <v>0</v>
      </c>
      <c r="S258">
        <f t="shared" si="32"/>
        <v>0</v>
      </c>
    </row>
    <row r="259" spans="1:19" x14ac:dyDescent="0.3">
      <c r="A259">
        <v>302.39999999999998</v>
      </c>
      <c r="B259">
        <v>315.14999999999998</v>
      </c>
      <c r="C259">
        <v>313.699213171005</v>
      </c>
      <c r="D259">
        <v>312.65830030441202</v>
      </c>
      <c r="E259">
        <v>313.097128772735</v>
      </c>
      <c r="F259">
        <v>308.581456565856</v>
      </c>
      <c r="G259">
        <v>313.60831525325699</v>
      </c>
      <c r="H259">
        <v>320.15703239440899</v>
      </c>
      <c r="I259">
        <v>321.86904706954903</v>
      </c>
      <c r="J259">
        <v>314.09304418563801</v>
      </c>
      <c r="L259">
        <f t="shared" ref="L259:L276" si="33">IF(($A259-$B259)*(C259-$B259)&gt;0,1,0)</f>
        <v>1</v>
      </c>
      <c r="M259">
        <f t="shared" ref="M259:M276" si="34">IF(($A259-$B259)*(D259-$B259)&gt;0,1,0)</f>
        <v>1</v>
      </c>
      <c r="N259">
        <f t="shared" ref="N259:N276" si="35">IF(($A259-$B259)*(E259-$B259)&gt;0,1,0)</f>
        <v>1</v>
      </c>
      <c r="O259">
        <f t="shared" ref="O259:O276" si="36">IF(($A259-$B259)*(F259-$B259)&gt;0,1,0)</f>
        <v>1</v>
      </c>
      <c r="P259">
        <f t="shared" ref="P259:P276" si="37">IF(($A259-$B259)*(G259-$B259)&gt;0,1,0)</f>
        <v>1</v>
      </c>
      <c r="Q259">
        <f t="shared" ref="Q259:Q276" si="38">IF(($A259-$B259)*(H259-$B259)&gt;0,1,0)</f>
        <v>0</v>
      </c>
      <c r="R259">
        <f t="shared" ref="R259:R276" si="39">IF(($A259-$B259)*(I259-$B259)&gt;0,1,0)</f>
        <v>0</v>
      </c>
      <c r="S259">
        <f t="shared" ref="S259:S276" si="40">IF(($A259-$B259)*(J259-$B259)&gt;0,1,0)</f>
        <v>1</v>
      </c>
    </row>
    <row r="260" spans="1:19" x14ac:dyDescent="0.3">
      <c r="A260">
        <v>301.54999961853002</v>
      </c>
      <c r="B260">
        <v>310.64999999999998</v>
      </c>
      <c r="C260">
        <v>309.13992180824198</v>
      </c>
      <c r="D260">
        <v>311.88730778694099</v>
      </c>
      <c r="E260">
        <v>311.76758375167799</v>
      </c>
      <c r="F260">
        <v>309.81219586133898</v>
      </c>
      <c r="G260">
        <v>310.37184821963302</v>
      </c>
      <c r="H260">
        <v>313.64737062454202</v>
      </c>
      <c r="I260">
        <v>322.02086868286102</v>
      </c>
      <c r="J260">
        <v>308.09372463226299</v>
      </c>
      <c r="L260">
        <f t="shared" si="33"/>
        <v>1</v>
      </c>
      <c r="M260">
        <f t="shared" si="34"/>
        <v>0</v>
      </c>
      <c r="N260">
        <f t="shared" si="35"/>
        <v>0</v>
      </c>
      <c r="O260">
        <f t="shared" si="36"/>
        <v>1</v>
      </c>
      <c r="P260">
        <f t="shared" si="37"/>
        <v>1</v>
      </c>
      <c r="Q260">
        <f t="shared" si="38"/>
        <v>0</v>
      </c>
      <c r="R260">
        <f t="shared" si="39"/>
        <v>0</v>
      </c>
      <c r="S260">
        <f t="shared" si="40"/>
        <v>1</v>
      </c>
    </row>
    <row r="261" spans="1:19" x14ac:dyDescent="0.3">
      <c r="A261">
        <v>299.09999961852998</v>
      </c>
      <c r="B261">
        <v>314.45</v>
      </c>
      <c r="C261">
        <v>314.95343734025897</v>
      </c>
      <c r="D261">
        <v>315.29229934215499</v>
      </c>
      <c r="E261">
        <v>310.81707091331401</v>
      </c>
      <c r="F261">
        <v>309.769194316864</v>
      </c>
      <c r="G261">
        <v>313.80320156812598</v>
      </c>
      <c r="H261">
        <v>304.08675756454397</v>
      </c>
      <c r="I261">
        <v>317.618015241622</v>
      </c>
      <c r="J261">
        <v>306.484460544586</v>
      </c>
      <c r="L261">
        <f t="shared" si="33"/>
        <v>0</v>
      </c>
      <c r="M261">
        <f t="shared" si="34"/>
        <v>0</v>
      </c>
      <c r="N261">
        <f t="shared" si="35"/>
        <v>1</v>
      </c>
      <c r="O261">
        <f t="shared" si="36"/>
        <v>1</v>
      </c>
      <c r="P261">
        <f t="shared" si="37"/>
        <v>1</v>
      </c>
      <c r="Q261">
        <f t="shared" si="38"/>
        <v>1</v>
      </c>
      <c r="R261">
        <f t="shared" si="39"/>
        <v>0</v>
      </c>
      <c r="S261">
        <f t="shared" si="40"/>
        <v>1</v>
      </c>
    </row>
    <row r="262" spans="1:19" x14ac:dyDescent="0.3">
      <c r="A262">
        <v>299.99999980926498</v>
      </c>
      <c r="B262">
        <v>314.55</v>
      </c>
      <c r="C262">
        <v>316.01616935729902</v>
      </c>
      <c r="D262">
        <v>313.30641787052099</v>
      </c>
      <c r="E262">
        <v>306.71125917434603</v>
      </c>
      <c r="F262">
        <v>307.85858659744201</v>
      </c>
      <c r="G262">
        <v>309.86898260116499</v>
      </c>
      <c r="H262">
        <v>307.527746582031</v>
      </c>
      <c r="I262">
        <v>313.28454177379598</v>
      </c>
      <c r="J262">
        <v>304.44126682281399</v>
      </c>
      <c r="L262">
        <f t="shared" si="33"/>
        <v>0</v>
      </c>
      <c r="M262">
        <f t="shared" si="34"/>
        <v>1</v>
      </c>
      <c r="N262">
        <f t="shared" si="35"/>
        <v>1</v>
      </c>
      <c r="O262">
        <f t="shared" si="36"/>
        <v>1</v>
      </c>
      <c r="P262">
        <f t="shared" si="37"/>
        <v>1</v>
      </c>
      <c r="Q262">
        <f t="shared" si="38"/>
        <v>1</v>
      </c>
      <c r="R262">
        <f t="shared" si="39"/>
        <v>1</v>
      </c>
      <c r="S262">
        <f t="shared" si="40"/>
        <v>1</v>
      </c>
    </row>
    <row r="263" spans="1:19" x14ac:dyDescent="0.3">
      <c r="A263">
        <v>292.90000076293899</v>
      </c>
      <c r="B263">
        <v>313.45</v>
      </c>
      <c r="C263">
        <v>314.56384904384601</v>
      </c>
      <c r="D263">
        <v>311.38830847740098</v>
      </c>
      <c r="E263">
        <v>309.506199789047</v>
      </c>
      <c r="F263">
        <v>319.99886770248401</v>
      </c>
      <c r="G263">
        <v>317.65430374145501</v>
      </c>
      <c r="H263">
        <v>312.41188778877199</v>
      </c>
      <c r="I263">
        <v>303.54512042999198</v>
      </c>
      <c r="J263">
        <v>309.87369747161802</v>
      </c>
      <c r="L263">
        <f t="shared" si="33"/>
        <v>0</v>
      </c>
      <c r="M263">
        <f t="shared" si="34"/>
        <v>1</v>
      </c>
      <c r="N263">
        <f t="shared" si="35"/>
        <v>1</v>
      </c>
      <c r="O263">
        <f t="shared" si="36"/>
        <v>0</v>
      </c>
      <c r="P263">
        <f t="shared" si="37"/>
        <v>0</v>
      </c>
      <c r="Q263">
        <f t="shared" si="38"/>
        <v>1</v>
      </c>
      <c r="R263">
        <f t="shared" si="39"/>
        <v>1</v>
      </c>
      <c r="S263">
        <f t="shared" si="40"/>
        <v>1</v>
      </c>
    </row>
    <row r="264" spans="1:19" x14ac:dyDescent="0.3">
      <c r="A264">
        <v>293.75000076293901</v>
      </c>
      <c r="B264">
        <v>312.8</v>
      </c>
      <c r="C264">
        <v>313.473056960105</v>
      </c>
      <c r="D264">
        <v>312.226733911037</v>
      </c>
      <c r="E264">
        <v>308.59263782501199</v>
      </c>
      <c r="F264">
        <v>316.139768886566</v>
      </c>
      <c r="G264">
        <v>315.60498528480503</v>
      </c>
      <c r="H264">
        <v>312.52987325191498</v>
      </c>
      <c r="I264">
        <v>305.0036819458</v>
      </c>
      <c r="J264">
        <v>310.91702871322599</v>
      </c>
      <c r="L264">
        <f t="shared" si="33"/>
        <v>0</v>
      </c>
      <c r="M264">
        <f t="shared" si="34"/>
        <v>1</v>
      </c>
      <c r="N264">
        <f t="shared" si="35"/>
        <v>1</v>
      </c>
      <c r="O264">
        <f t="shared" si="36"/>
        <v>0</v>
      </c>
      <c r="P264">
        <f t="shared" si="37"/>
        <v>0</v>
      </c>
      <c r="Q264">
        <f t="shared" si="38"/>
        <v>1</v>
      </c>
      <c r="R264">
        <f t="shared" si="39"/>
        <v>1</v>
      </c>
      <c r="S264">
        <f t="shared" si="40"/>
        <v>1</v>
      </c>
    </row>
    <row r="265" spans="1:19" x14ac:dyDescent="0.3">
      <c r="A265">
        <v>292.55</v>
      </c>
      <c r="B265">
        <v>307.55</v>
      </c>
      <c r="C265">
        <v>309.69741802215498</v>
      </c>
      <c r="D265">
        <v>310.42288546562099</v>
      </c>
      <c r="E265">
        <v>309.00537590980503</v>
      </c>
      <c r="F265">
        <v>314.30840950012202</v>
      </c>
      <c r="G265">
        <v>310.19342617988502</v>
      </c>
      <c r="H265">
        <v>317.97557640075598</v>
      </c>
      <c r="I265">
        <v>304.91532020568798</v>
      </c>
      <c r="J265">
        <v>308.61261682510298</v>
      </c>
      <c r="L265">
        <f t="shared" si="33"/>
        <v>0</v>
      </c>
      <c r="M265">
        <f t="shared" si="34"/>
        <v>0</v>
      </c>
      <c r="N265">
        <f t="shared" si="35"/>
        <v>0</v>
      </c>
      <c r="O265">
        <f t="shared" si="36"/>
        <v>0</v>
      </c>
      <c r="P265">
        <f t="shared" si="37"/>
        <v>0</v>
      </c>
      <c r="Q265">
        <f t="shared" si="38"/>
        <v>0</v>
      </c>
      <c r="R265">
        <f t="shared" si="39"/>
        <v>1</v>
      </c>
      <c r="S265">
        <f t="shared" si="40"/>
        <v>0</v>
      </c>
    </row>
    <row r="266" spans="1:19" x14ac:dyDescent="0.3">
      <c r="A266">
        <v>291.99999923706002</v>
      </c>
      <c r="B266">
        <v>312.95</v>
      </c>
      <c r="C266">
        <v>317.28294439315698</v>
      </c>
      <c r="D266">
        <v>317.88659448623599</v>
      </c>
      <c r="E266">
        <v>316.54849095344503</v>
      </c>
      <c r="F266">
        <v>314.62118990421197</v>
      </c>
      <c r="G266">
        <v>313.54656220674502</v>
      </c>
      <c r="H266">
        <v>321.907032108306</v>
      </c>
      <c r="I266">
        <v>307.20621891021699</v>
      </c>
      <c r="J266">
        <v>310.69617195129302</v>
      </c>
      <c r="L266">
        <f t="shared" si="33"/>
        <v>0</v>
      </c>
      <c r="M266">
        <f t="shared" si="34"/>
        <v>0</v>
      </c>
      <c r="N266">
        <f t="shared" si="35"/>
        <v>0</v>
      </c>
      <c r="O266">
        <f t="shared" si="36"/>
        <v>0</v>
      </c>
      <c r="P266">
        <f t="shared" si="37"/>
        <v>0</v>
      </c>
      <c r="Q266">
        <f t="shared" si="38"/>
        <v>0</v>
      </c>
      <c r="R266">
        <f t="shared" si="39"/>
        <v>1</v>
      </c>
      <c r="S266">
        <f t="shared" si="40"/>
        <v>1</v>
      </c>
    </row>
    <row r="267" spans="1:19" x14ac:dyDescent="0.3">
      <c r="A267">
        <v>293.59999961852998</v>
      </c>
      <c r="B267">
        <v>311.2</v>
      </c>
      <c r="C267">
        <v>313.89877624511701</v>
      </c>
      <c r="D267">
        <v>316.72007675170897</v>
      </c>
      <c r="E267">
        <v>315.96921081542899</v>
      </c>
      <c r="F267">
        <v>314.68150444030698</v>
      </c>
      <c r="G267">
        <v>313.72900147438003</v>
      </c>
      <c r="H267">
        <v>318.34914236068698</v>
      </c>
      <c r="I267">
        <v>301.88137073516799</v>
      </c>
      <c r="J267">
        <v>309.632898044586</v>
      </c>
      <c r="L267">
        <f t="shared" si="33"/>
        <v>0</v>
      </c>
      <c r="M267">
        <f t="shared" si="34"/>
        <v>0</v>
      </c>
      <c r="N267">
        <f t="shared" si="35"/>
        <v>0</v>
      </c>
      <c r="O267">
        <f t="shared" si="36"/>
        <v>0</v>
      </c>
      <c r="P267">
        <f t="shared" si="37"/>
        <v>0</v>
      </c>
      <c r="Q267">
        <f t="shared" si="38"/>
        <v>0</v>
      </c>
      <c r="R267">
        <f t="shared" si="39"/>
        <v>1</v>
      </c>
      <c r="S267">
        <f t="shared" si="40"/>
        <v>1</v>
      </c>
    </row>
    <row r="268" spans="1:19" x14ac:dyDescent="0.3">
      <c r="A268">
        <v>296.24999923706002</v>
      </c>
      <c r="B268">
        <v>312.95</v>
      </c>
      <c r="C268">
        <v>315.23249502182</v>
      </c>
      <c r="D268">
        <v>316.49963755607598</v>
      </c>
      <c r="E268">
        <v>315.33136076927099</v>
      </c>
      <c r="F268">
        <v>318.35710020065301</v>
      </c>
      <c r="G268">
        <v>316.19941325187602</v>
      </c>
      <c r="H268">
        <v>319.616544628143</v>
      </c>
      <c r="I268">
        <v>305.10332317352203</v>
      </c>
      <c r="J268">
        <v>311.543940258026</v>
      </c>
      <c r="L268">
        <f t="shared" si="33"/>
        <v>0</v>
      </c>
      <c r="M268">
        <f t="shared" si="34"/>
        <v>0</v>
      </c>
      <c r="N268">
        <f t="shared" si="35"/>
        <v>0</v>
      </c>
      <c r="O268">
        <f t="shared" si="36"/>
        <v>0</v>
      </c>
      <c r="P268">
        <f t="shared" si="37"/>
        <v>0</v>
      </c>
      <c r="Q268">
        <f t="shared" si="38"/>
        <v>0</v>
      </c>
      <c r="R268">
        <f t="shared" si="39"/>
        <v>1</v>
      </c>
      <c r="S268">
        <f t="shared" si="40"/>
        <v>1</v>
      </c>
    </row>
    <row r="269" spans="1:19" x14ac:dyDescent="0.3">
      <c r="A269">
        <v>296.95</v>
      </c>
      <c r="B269">
        <v>313.45</v>
      </c>
      <c r="C269">
        <v>317.13907237052899</v>
      </c>
      <c r="D269">
        <v>316.75175423622102</v>
      </c>
      <c r="E269">
        <v>317.21253771781898</v>
      </c>
      <c r="F269">
        <v>317.68985767364501</v>
      </c>
      <c r="G269">
        <v>319.36469335556001</v>
      </c>
      <c r="H269">
        <v>320.45249834060598</v>
      </c>
      <c r="I269">
        <v>305.15619678497302</v>
      </c>
      <c r="J269">
        <v>315.10845012664703</v>
      </c>
      <c r="L269">
        <f t="shared" si="33"/>
        <v>0</v>
      </c>
      <c r="M269">
        <f t="shared" si="34"/>
        <v>0</v>
      </c>
      <c r="N269">
        <f t="shared" si="35"/>
        <v>0</v>
      </c>
      <c r="O269">
        <f t="shared" si="36"/>
        <v>0</v>
      </c>
      <c r="P269">
        <f t="shared" si="37"/>
        <v>0</v>
      </c>
      <c r="Q269">
        <f t="shared" si="38"/>
        <v>0</v>
      </c>
      <c r="R269">
        <f t="shared" si="39"/>
        <v>1</v>
      </c>
      <c r="S269">
        <f t="shared" si="40"/>
        <v>0</v>
      </c>
    </row>
    <row r="270" spans="1:19" x14ac:dyDescent="0.3">
      <c r="A270">
        <v>295.30000038146898</v>
      </c>
      <c r="B270">
        <v>312.45</v>
      </c>
      <c r="C270">
        <v>316.67772741317702</v>
      </c>
      <c r="D270">
        <v>314.037604999542</v>
      </c>
      <c r="E270">
        <v>318.95160837173398</v>
      </c>
      <c r="F270">
        <v>317.33632011413499</v>
      </c>
      <c r="G270">
        <v>319.78538722991902</v>
      </c>
      <c r="H270">
        <v>320.92201557159399</v>
      </c>
      <c r="I270">
        <v>309.30929751396098</v>
      </c>
      <c r="J270">
        <v>316.17530364990199</v>
      </c>
      <c r="L270">
        <f t="shared" si="33"/>
        <v>0</v>
      </c>
      <c r="M270">
        <f t="shared" si="34"/>
        <v>0</v>
      </c>
      <c r="N270">
        <f t="shared" si="35"/>
        <v>0</v>
      </c>
      <c r="O270">
        <f t="shared" si="36"/>
        <v>0</v>
      </c>
      <c r="P270">
        <f t="shared" si="37"/>
        <v>0</v>
      </c>
      <c r="Q270">
        <f t="shared" si="38"/>
        <v>0</v>
      </c>
      <c r="R270">
        <f t="shared" si="39"/>
        <v>1</v>
      </c>
      <c r="S270">
        <f t="shared" si="40"/>
        <v>0</v>
      </c>
    </row>
    <row r="271" spans="1:19" x14ac:dyDescent="0.3">
      <c r="A271">
        <v>296</v>
      </c>
      <c r="B271">
        <v>311.75</v>
      </c>
      <c r="C271">
        <v>312.127335041761</v>
      </c>
      <c r="D271">
        <v>313.26440763473499</v>
      </c>
      <c r="E271">
        <v>315.86658334731999</v>
      </c>
      <c r="F271">
        <v>316.274729251861</v>
      </c>
      <c r="G271">
        <v>319.00432586669899</v>
      </c>
      <c r="H271">
        <v>318.79246177673298</v>
      </c>
      <c r="I271">
        <v>309.34099507331803</v>
      </c>
      <c r="J271">
        <v>316.74226856231599</v>
      </c>
      <c r="L271">
        <f t="shared" si="33"/>
        <v>0</v>
      </c>
      <c r="M271">
        <f t="shared" si="34"/>
        <v>0</v>
      </c>
      <c r="N271">
        <f t="shared" si="35"/>
        <v>0</v>
      </c>
      <c r="O271">
        <f t="shared" si="36"/>
        <v>0</v>
      </c>
      <c r="P271">
        <f t="shared" si="37"/>
        <v>0</v>
      </c>
      <c r="Q271">
        <f t="shared" si="38"/>
        <v>0</v>
      </c>
      <c r="R271">
        <f t="shared" si="39"/>
        <v>1</v>
      </c>
      <c r="S271">
        <f t="shared" si="40"/>
        <v>0</v>
      </c>
    </row>
    <row r="272" spans="1:19" x14ac:dyDescent="0.3">
      <c r="A272">
        <v>299.09999961852998</v>
      </c>
      <c r="B272">
        <v>314.45</v>
      </c>
      <c r="C272">
        <v>314.32888263911002</v>
      </c>
      <c r="D272">
        <v>315.95888812541898</v>
      </c>
      <c r="E272">
        <v>316.70567030906602</v>
      </c>
      <c r="F272">
        <v>315.21726853847503</v>
      </c>
      <c r="G272">
        <v>319.09494371414098</v>
      </c>
      <c r="H272">
        <v>319.47343845367402</v>
      </c>
      <c r="I272">
        <v>309.90210409164399</v>
      </c>
      <c r="J272">
        <v>316.49998087882898</v>
      </c>
      <c r="L272">
        <f t="shared" si="33"/>
        <v>1</v>
      </c>
      <c r="M272">
        <f t="shared" si="34"/>
        <v>0</v>
      </c>
      <c r="N272">
        <f t="shared" si="35"/>
        <v>0</v>
      </c>
      <c r="O272">
        <f t="shared" si="36"/>
        <v>0</v>
      </c>
      <c r="P272">
        <f t="shared" si="37"/>
        <v>0</v>
      </c>
      <c r="Q272">
        <f t="shared" si="38"/>
        <v>0</v>
      </c>
      <c r="R272">
        <f t="shared" si="39"/>
        <v>1</v>
      </c>
      <c r="S272">
        <f t="shared" si="40"/>
        <v>0</v>
      </c>
    </row>
    <row r="273" spans="1:19" x14ac:dyDescent="0.3">
      <c r="A273">
        <v>298.19999961853</v>
      </c>
      <c r="B273">
        <v>314.3</v>
      </c>
      <c r="C273">
        <v>314.422619949281</v>
      </c>
      <c r="D273">
        <v>316.69697504043501</v>
      </c>
      <c r="E273">
        <v>315.60755007266999</v>
      </c>
      <c r="F273">
        <v>318.05862026214601</v>
      </c>
      <c r="G273">
        <v>322.58432941436701</v>
      </c>
      <c r="H273">
        <v>320.53170547485303</v>
      </c>
      <c r="I273">
        <v>307.13556842803899</v>
      </c>
      <c r="J273">
        <v>319.56483058929399</v>
      </c>
      <c r="L273">
        <f t="shared" si="33"/>
        <v>0</v>
      </c>
      <c r="M273">
        <f t="shared" si="34"/>
        <v>0</v>
      </c>
      <c r="N273">
        <f t="shared" si="35"/>
        <v>0</v>
      </c>
      <c r="O273">
        <f t="shared" si="36"/>
        <v>0</v>
      </c>
      <c r="P273">
        <f t="shared" si="37"/>
        <v>0</v>
      </c>
      <c r="Q273">
        <f t="shared" si="38"/>
        <v>0</v>
      </c>
      <c r="R273">
        <f t="shared" si="39"/>
        <v>1</v>
      </c>
      <c r="S273">
        <f t="shared" si="40"/>
        <v>0</v>
      </c>
    </row>
    <row r="274" spans="1:19" x14ac:dyDescent="0.3">
      <c r="A274">
        <v>297.35000076293898</v>
      </c>
      <c r="B274">
        <v>314.39999999999998</v>
      </c>
      <c r="C274">
        <v>314.40644417852099</v>
      </c>
      <c r="D274">
        <v>315.39913567304598</v>
      </c>
      <c r="E274">
        <v>318.82081165313701</v>
      </c>
      <c r="F274">
        <v>322.55222740173298</v>
      </c>
      <c r="G274">
        <v>324.11802425384502</v>
      </c>
      <c r="H274">
        <v>313.98769245147702</v>
      </c>
      <c r="I274">
        <v>310.35388698577799</v>
      </c>
      <c r="J274">
        <v>320.066386604309</v>
      </c>
      <c r="L274">
        <f t="shared" si="33"/>
        <v>0</v>
      </c>
      <c r="M274">
        <f t="shared" si="34"/>
        <v>0</v>
      </c>
      <c r="N274">
        <f t="shared" si="35"/>
        <v>0</v>
      </c>
      <c r="O274">
        <f t="shared" si="36"/>
        <v>0</v>
      </c>
      <c r="P274">
        <f t="shared" si="37"/>
        <v>0</v>
      </c>
      <c r="Q274">
        <f t="shared" si="38"/>
        <v>1</v>
      </c>
      <c r="R274">
        <f t="shared" si="39"/>
        <v>1</v>
      </c>
      <c r="S274">
        <f t="shared" si="40"/>
        <v>0</v>
      </c>
    </row>
    <row r="275" spans="1:19" x14ac:dyDescent="0.3">
      <c r="A275">
        <v>297.05000076293902</v>
      </c>
      <c r="B275">
        <v>317.60000000000002</v>
      </c>
      <c r="C275">
        <v>316.50041697025301</v>
      </c>
      <c r="D275">
        <v>313.84098515510499</v>
      </c>
      <c r="E275">
        <v>311.62433013916001</v>
      </c>
      <c r="F275">
        <v>320.38225469589202</v>
      </c>
      <c r="G275">
        <v>318.96637866497002</v>
      </c>
      <c r="H275">
        <v>312.94942970275798</v>
      </c>
      <c r="I275">
        <v>311.08170423507602</v>
      </c>
      <c r="J275">
        <v>316.70912668704898</v>
      </c>
      <c r="L275">
        <f t="shared" si="33"/>
        <v>1</v>
      </c>
      <c r="M275">
        <f t="shared" si="34"/>
        <v>1</v>
      </c>
      <c r="N275">
        <f t="shared" si="35"/>
        <v>1</v>
      </c>
      <c r="O275">
        <f t="shared" si="36"/>
        <v>0</v>
      </c>
      <c r="P275">
        <f t="shared" si="37"/>
        <v>0</v>
      </c>
      <c r="Q275">
        <f t="shared" si="38"/>
        <v>1</v>
      </c>
      <c r="R275">
        <f t="shared" si="39"/>
        <v>1</v>
      </c>
      <c r="S275">
        <f t="shared" si="40"/>
        <v>1</v>
      </c>
    </row>
    <row r="276" spans="1:19" x14ac:dyDescent="0.3">
      <c r="A276">
        <v>296.04999923705998</v>
      </c>
      <c r="B276">
        <v>319</v>
      </c>
      <c r="C276">
        <v>316.98014783859202</v>
      </c>
      <c r="D276">
        <v>314.64006805419899</v>
      </c>
      <c r="E276">
        <v>316.47381091117802</v>
      </c>
      <c r="F276">
        <v>322.92827320098797</v>
      </c>
      <c r="G276">
        <v>316.54419898986799</v>
      </c>
      <c r="H276">
        <v>309.64087009429898</v>
      </c>
      <c r="I276">
        <v>309.03012371063198</v>
      </c>
      <c r="J276">
        <v>322.88113641738801</v>
      </c>
      <c r="L276">
        <f t="shared" si="33"/>
        <v>1</v>
      </c>
      <c r="M276">
        <f t="shared" si="34"/>
        <v>1</v>
      </c>
      <c r="N276">
        <f t="shared" si="35"/>
        <v>1</v>
      </c>
      <c r="O276">
        <f t="shared" si="36"/>
        <v>0</v>
      </c>
      <c r="P276">
        <f t="shared" si="37"/>
        <v>1</v>
      </c>
      <c r="Q276">
        <f t="shared" si="38"/>
        <v>1</v>
      </c>
      <c r="R276">
        <f t="shared" si="39"/>
        <v>1</v>
      </c>
      <c r="S276">
        <f t="shared" si="40"/>
        <v>0</v>
      </c>
    </row>
    <row r="277" spans="1:19" x14ac:dyDescent="0.3">
      <c r="L277">
        <f>SUM(L2:L276)/275</f>
        <v>0.52</v>
      </c>
      <c r="M277">
        <f t="shared" ref="M277:S277" si="41">SUM(M2:M276)/275</f>
        <v>0.57454545454545458</v>
      </c>
      <c r="N277">
        <f t="shared" si="41"/>
        <v>0.57090909090909092</v>
      </c>
      <c r="O277">
        <f t="shared" si="41"/>
        <v>0.61818181818181817</v>
      </c>
      <c r="P277">
        <f t="shared" si="41"/>
        <v>0.60363636363636364</v>
      </c>
      <c r="Q277">
        <f t="shared" si="41"/>
        <v>0.77454545454545454</v>
      </c>
      <c r="R277">
        <f t="shared" si="41"/>
        <v>0.70181818181818179</v>
      </c>
      <c r="S277">
        <f t="shared" si="41"/>
        <v>0.59636363636363632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vdiff_ensemble_65_1_100_0.001_2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2018-08-25T16:19:29Z</dcterms:created>
  <dcterms:modified xsi:type="dcterms:W3CDTF">2018-08-28T15:18:28Z</dcterms:modified>
</cp:coreProperties>
</file>