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epMoney\results_vdiff_ensemble\"/>
    </mc:Choice>
  </mc:AlternateContent>
  <bookViews>
    <workbookView xWindow="0" yWindow="0" windowWidth="28800" windowHeight="12390"/>
  </bookViews>
  <sheets>
    <sheet name="vdiff_ensemble_20_10_20_0.001_2" sheetId="1" r:id="rId1"/>
  </sheets>
  <calcPr calcId="0"/>
</workbook>
</file>

<file path=xl/calcChain.xml><?xml version="1.0" encoding="utf-8"?>
<calcChain xmlns="http://schemas.openxmlformats.org/spreadsheetml/2006/main">
  <c r="K3" i="1" l="1"/>
  <c r="L3" i="1"/>
  <c r="M3" i="1"/>
  <c r="K4" i="1"/>
  <c r="L4" i="1"/>
  <c r="M4" i="1"/>
  <c r="K5" i="1"/>
  <c r="L5" i="1"/>
  <c r="M5" i="1"/>
  <c r="K6" i="1"/>
  <c r="L6" i="1"/>
  <c r="M6" i="1"/>
  <c r="K7" i="1"/>
  <c r="L7" i="1"/>
  <c r="M7" i="1"/>
  <c r="K8" i="1"/>
  <c r="L8" i="1"/>
  <c r="M8" i="1"/>
  <c r="K9" i="1"/>
  <c r="L9" i="1"/>
  <c r="M9" i="1"/>
  <c r="K10" i="1"/>
  <c r="L10" i="1"/>
  <c r="M10" i="1"/>
  <c r="K11" i="1"/>
  <c r="L11" i="1"/>
  <c r="M11" i="1"/>
  <c r="K12" i="1"/>
  <c r="L12" i="1"/>
  <c r="M12" i="1"/>
  <c r="K13" i="1"/>
  <c r="L13" i="1"/>
  <c r="M13" i="1"/>
  <c r="K14" i="1"/>
  <c r="L14" i="1"/>
  <c r="M14" i="1"/>
  <c r="K15" i="1"/>
  <c r="L15" i="1"/>
  <c r="M15" i="1"/>
  <c r="K16" i="1"/>
  <c r="L16" i="1"/>
  <c r="M16" i="1"/>
  <c r="K17" i="1"/>
  <c r="L17" i="1"/>
  <c r="M17" i="1"/>
  <c r="K18" i="1"/>
  <c r="L18" i="1"/>
  <c r="M18" i="1"/>
  <c r="K19" i="1"/>
  <c r="L19" i="1"/>
  <c r="M19" i="1"/>
  <c r="K20" i="1"/>
  <c r="L20" i="1"/>
  <c r="M20" i="1"/>
  <c r="K21" i="1"/>
  <c r="L21" i="1"/>
  <c r="M21" i="1"/>
  <c r="K22" i="1"/>
  <c r="L22" i="1"/>
  <c r="M22" i="1"/>
  <c r="K23" i="1"/>
  <c r="L23" i="1"/>
  <c r="M23" i="1"/>
  <c r="K24" i="1"/>
  <c r="L24" i="1"/>
  <c r="M24" i="1"/>
  <c r="K25" i="1"/>
  <c r="L25" i="1"/>
  <c r="M25" i="1"/>
  <c r="K26" i="1"/>
  <c r="L26" i="1"/>
  <c r="M26" i="1"/>
  <c r="K27" i="1"/>
  <c r="L27" i="1"/>
  <c r="M27" i="1"/>
  <c r="K28" i="1"/>
  <c r="L28" i="1"/>
  <c r="M28" i="1"/>
  <c r="K29" i="1"/>
  <c r="L29" i="1"/>
  <c r="M29" i="1"/>
  <c r="K30" i="1"/>
  <c r="L30" i="1"/>
  <c r="M30" i="1"/>
  <c r="K31" i="1"/>
  <c r="L31" i="1"/>
  <c r="M31" i="1"/>
  <c r="K32" i="1"/>
  <c r="L32" i="1"/>
  <c r="M32" i="1"/>
  <c r="K33" i="1"/>
  <c r="L33" i="1"/>
  <c r="M33" i="1"/>
  <c r="K34" i="1"/>
  <c r="L34" i="1"/>
  <c r="M34" i="1"/>
  <c r="K35" i="1"/>
  <c r="L35" i="1"/>
  <c r="M35" i="1"/>
  <c r="K36" i="1"/>
  <c r="L36" i="1"/>
  <c r="M36" i="1"/>
  <c r="K37" i="1"/>
  <c r="L37" i="1"/>
  <c r="M37" i="1"/>
  <c r="K38" i="1"/>
  <c r="L38" i="1"/>
  <c r="M38" i="1"/>
  <c r="K39" i="1"/>
  <c r="L39" i="1"/>
  <c r="M39" i="1"/>
  <c r="K40" i="1"/>
  <c r="L40" i="1"/>
  <c r="M40" i="1"/>
  <c r="K41" i="1"/>
  <c r="L41" i="1"/>
  <c r="M41" i="1"/>
  <c r="K42" i="1"/>
  <c r="L42" i="1"/>
  <c r="M42" i="1"/>
  <c r="K43" i="1"/>
  <c r="L43" i="1"/>
  <c r="M43" i="1"/>
  <c r="K44" i="1"/>
  <c r="L44" i="1"/>
  <c r="M44" i="1"/>
  <c r="K45" i="1"/>
  <c r="L45" i="1"/>
  <c r="M45" i="1"/>
  <c r="K46" i="1"/>
  <c r="L46" i="1"/>
  <c r="M46" i="1"/>
  <c r="K47" i="1"/>
  <c r="L47" i="1"/>
  <c r="M47" i="1"/>
  <c r="K48" i="1"/>
  <c r="L48" i="1"/>
  <c r="M48" i="1"/>
  <c r="K49" i="1"/>
  <c r="L49" i="1"/>
  <c r="M49" i="1"/>
  <c r="K50" i="1"/>
  <c r="L50" i="1"/>
  <c r="M50" i="1"/>
  <c r="K51" i="1"/>
  <c r="L51" i="1"/>
  <c r="M51" i="1"/>
  <c r="K52" i="1"/>
  <c r="L52" i="1"/>
  <c r="M52" i="1"/>
  <c r="K53" i="1"/>
  <c r="L53" i="1"/>
  <c r="M53" i="1"/>
  <c r="K54" i="1"/>
  <c r="L54" i="1"/>
  <c r="M54" i="1"/>
  <c r="K55" i="1"/>
  <c r="L55" i="1"/>
  <c r="M55" i="1"/>
  <c r="K56" i="1"/>
  <c r="L56" i="1"/>
  <c r="M56" i="1"/>
  <c r="K57" i="1"/>
  <c r="L57" i="1"/>
  <c r="M57" i="1"/>
  <c r="K58" i="1"/>
  <c r="L58" i="1"/>
  <c r="M58" i="1"/>
  <c r="K59" i="1"/>
  <c r="L59" i="1"/>
  <c r="M59" i="1"/>
  <c r="K60" i="1"/>
  <c r="L60" i="1"/>
  <c r="M60" i="1"/>
  <c r="K61" i="1"/>
  <c r="L61" i="1"/>
  <c r="M61" i="1"/>
  <c r="K62" i="1"/>
  <c r="L62" i="1"/>
  <c r="M62" i="1"/>
  <c r="K63" i="1"/>
  <c r="L63" i="1"/>
  <c r="M63" i="1"/>
  <c r="K64" i="1"/>
  <c r="L64" i="1"/>
  <c r="M64" i="1"/>
  <c r="K65" i="1"/>
  <c r="L65" i="1"/>
  <c r="M65" i="1"/>
  <c r="K66" i="1"/>
  <c r="L66" i="1"/>
  <c r="M66" i="1"/>
  <c r="K67" i="1"/>
  <c r="L67" i="1"/>
  <c r="M67" i="1"/>
  <c r="K68" i="1"/>
  <c r="L68" i="1"/>
  <c r="M68" i="1"/>
  <c r="K69" i="1"/>
  <c r="L69" i="1"/>
  <c r="M69" i="1"/>
  <c r="K70" i="1"/>
  <c r="L70" i="1"/>
  <c r="M70" i="1"/>
  <c r="K71" i="1"/>
  <c r="L71" i="1"/>
  <c r="M71" i="1"/>
  <c r="K72" i="1"/>
  <c r="L72" i="1"/>
  <c r="M72" i="1"/>
  <c r="K73" i="1"/>
  <c r="L73" i="1"/>
  <c r="M73" i="1"/>
  <c r="K74" i="1"/>
  <c r="L74" i="1"/>
  <c r="M74" i="1"/>
  <c r="K75" i="1"/>
  <c r="L75" i="1"/>
  <c r="M75" i="1"/>
  <c r="K76" i="1"/>
  <c r="L76" i="1"/>
  <c r="M76" i="1"/>
  <c r="K77" i="1"/>
  <c r="L77" i="1"/>
  <c r="M77" i="1"/>
  <c r="K78" i="1"/>
  <c r="L78" i="1"/>
  <c r="M78" i="1"/>
  <c r="K79" i="1"/>
  <c r="L79" i="1"/>
  <c r="M79" i="1"/>
  <c r="K80" i="1"/>
  <c r="L80" i="1"/>
  <c r="M80" i="1"/>
  <c r="K81" i="1"/>
  <c r="L81" i="1"/>
  <c r="M81" i="1"/>
  <c r="K82" i="1"/>
  <c r="L82" i="1"/>
  <c r="M82" i="1"/>
  <c r="K83" i="1"/>
  <c r="L83" i="1"/>
  <c r="M83" i="1"/>
  <c r="K84" i="1"/>
  <c r="L84" i="1"/>
  <c r="M84" i="1"/>
  <c r="K85" i="1"/>
  <c r="L85" i="1"/>
  <c r="M85" i="1"/>
  <c r="K86" i="1"/>
  <c r="L86" i="1"/>
  <c r="M86" i="1"/>
  <c r="K87" i="1"/>
  <c r="L87" i="1"/>
  <c r="M87" i="1"/>
  <c r="K88" i="1"/>
  <c r="L88" i="1"/>
  <c r="M88" i="1"/>
  <c r="K89" i="1"/>
  <c r="L89" i="1"/>
  <c r="M89" i="1"/>
  <c r="K90" i="1"/>
  <c r="L90" i="1"/>
  <c r="M90" i="1"/>
  <c r="K91" i="1"/>
  <c r="L91" i="1"/>
  <c r="M91" i="1"/>
  <c r="K92" i="1"/>
  <c r="L92" i="1"/>
  <c r="M92" i="1"/>
  <c r="K93" i="1"/>
  <c r="L93" i="1"/>
  <c r="M93" i="1"/>
  <c r="K94" i="1"/>
  <c r="L94" i="1"/>
  <c r="M94" i="1"/>
  <c r="K95" i="1"/>
  <c r="L95" i="1"/>
  <c r="M95" i="1"/>
  <c r="K96" i="1"/>
  <c r="L96" i="1"/>
  <c r="M96" i="1"/>
  <c r="K97" i="1"/>
  <c r="L97" i="1"/>
  <c r="M97" i="1"/>
  <c r="K98" i="1"/>
  <c r="L98" i="1"/>
  <c r="M98" i="1"/>
  <c r="K99" i="1"/>
  <c r="L99" i="1"/>
  <c r="M99" i="1"/>
  <c r="K100" i="1"/>
  <c r="L100" i="1"/>
  <c r="M100" i="1"/>
  <c r="K101" i="1"/>
  <c r="L101" i="1"/>
  <c r="M101" i="1"/>
  <c r="K102" i="1"/>
  <c r="L102" i="1"/>
  <c r="M102" i="1"/>
  <c r="K103" i="1"/>
  <c r="L103" i="1"/>
  <c r="M103" i="1"/>
  <c r="K104" i="1"/>
  <c r="L104" i="1"/>
  <c r="M104" i="1"/>
  <c r="K105" i="1"/>
  <c r="L105" i="1"/>
  <c r="M105" i="1"/>
  <c r="K106" i="1"/>
  <c r="L106" i="1"/>
  <c r="M106" i="1"/>
  <c r="K107" i="1"/>
  <c r="L107" i="1"/>
  <c r="M107" i="1"/>
  <c r="K108" i="1"/>
  <c r="L108" i="1"/>
  <c r="M108" i="1"/>
  <c r="K109" i="1"/>
  <c r="L109" i="1"/>
  <c r="M109" i="1"/>
  <c r="K110" i="1"/>
  <c r="L110" i="1"/>
  <c r="M110" i="1"/>
  <c r="K111" i="1"/>
  <c r="L111" i="1"/>
  <c r="M111" i="1"/>
  <c r="K112" i="1"/>
  <c r="L112" i="1"/>
  <c r="M112" i="1"/>
  <c r="K113" i="1"/>
  <c r="L113" i="1"/>
  <c r="M113" i="1"/>
  <c r="K114" i="1"/>
  <c r="L114" i="1"/>
  <c r="M114" i="1"/>
  <c r="K115" i="1"/>
  <c r="L115" i="1"/>
  <c r="M115" i="1"/>
  <c r="K116" i="1"/>
  <c r="L116" i="1"/>
  <c r="M116" i="1"/>
  <c r="K117" i="1"/>
  <c r="L117" i="1"/>
  <c r="M117" i="1"/>
  <c r="K118" i="1"/>
  <c r="L118" i="1"/>
  <c r="M118" i="1"/>
  <c r="K119" i="1"/>
  <c r="L119" i="1"/>
  <c r="M119" i="1"/>
  <c r="K120" i="1"/>
  <c r="L120" i="1"/>
  <c r="M120" i="1"/>
  <c r="K121" i="1"/>
  <c r="L121" i="1"/>
  <c r="M121" i="1"/>
  <c r="K122" i="1"/>
  <c r="L122" i="1"/>
  <c r="M122" i="1"/>
  <c r="K123" i="1"/>
  <c r="L123" i="1"/>
  <c r="M123" i="1"/>
  <c r="K124" i="1"/>
  <c r="L124" i="1"/>
  <c r="M124" i="1"/>
  <c r="K125" i="1"/>
  <c r="L125" i="1"/>
  <c r="M125" i="1"/>
  <c r="K126" i="1"/>
  <c r="L126" i="1"/>
  <c r="M126" i="1"/>
  <c r="K127" i="1"/>
  <c r="L127" i="1"/>
  <c r="M127" i="1"/>
  <c r="K128" i="1"/>
  <c r="L128" i="1"/>
  <c r="M128" i="1"/>
  <c r="K129" i="1"/>
  <c r="L129" i="1"/>
  <c r="M129" i="1"/>
  <c r="K130" i="1"/>
  <c r="L130" i="1"/>
  <c r="M130" i="1"/>
  <c r="K131" i="1"/>
  <c r="L131" i="1"/>
  <c r="M131" i="1"/>
  <c r="K132" i="1"/>
  <c r="L132" i="1"/>
  <c r="M132" i="1"/>
  <c r="K133" i="1"/>
  <c r="L133" i="1"/>
  <c r="M133" i="1"/>
  <c r="K134" i="1"/>
  <c r="L134" i="1"/>
  <c r="M134" i="1"/>
  <c r="K135" i="1"/>
  <c r="L135" i="1"/>
  <c r="M135" i="1"/>
  <c r="K136" i="1"/>
  <c r="L136" i="1"/>
  <c r="M136" i="1"/>
  <c r="K137" i="1"/>
  <c r="L137" i="1"/>
  <c r="M137" i="1"/>
  <c r="K138" i="1"/>
  <c r="L138" i="1"/>
  <c r="M138" i="1"/>
  <c r="K139" i="1"/>
  <c r="L139" i="1"/>
  <c r="M139" i="1"/>
  <c r="K140" i="1"/>
  <c r="L140" i="1"/>
  <c r="M140" i="1"/>
  <c r="K141" i="1"/>
  <c r="L141" i="1"/>
  <c r="M141" i="1"/>
  <c r="K142" i="1"/>
  <c r="L142" i="1"/>
  <c r="M142" i="1"/>
  <c r="K143" i="1"/>
  <c r="L143" i="1"/>
  <c r="M143" i="1"/>
  <c r="K144" i="1"/>
  <c r="L144" i="1"/>
  <c r="M144" i="1"/>
  <c r="K145" i="1"/>
  <c r="L145" i="1"/>
  <c r="M145" i="1"/>
  <c r="K146" i="1"/>
  <c r="L146" i="1"/>
  <c r="M146" i="1"/>
  <c r="K147" i="1"/>
  <c r="L147" i="1"/>
  <c r="M147" i="1"/>
  <c r="K148" i="1"/>
  <c r="L148" i="1"/>
  <c r="M148" i="1"/>
  <c r="K149" i="1"/>
  <c r="L149" i="1"/>
  <c r="M149" i="1"/>
  <c r="K150" i="1"/>
  <c r="L150" i="1"/>
  <c r="M150" i="1"/>
  <c r="K151" i="1"/>
  <c r="L151" i="1"/>
  <c r="M151" i="1"/>
  <c r="K152" i="1"/>
  <c r="L152" i="1"/>
  <c r="M152" i="1"/>
  <c r="K153" i="1"/>
  <c r="L153" i="1"/>
  <c r="M153" i="1"/>
  <c r="K154" i="1"/>
  <c r="L154" i="1"/>
  <c r="M154" i="1"/>
  <c r="K155" i="1"/>
  <c r="L155" i="1"/>
  <c r="M155" i="1"/>
  <c r="K156" i="1"/>
  <c r="L156" i="1"/>
  <c r="M156" i="1"/>
  <c r="K157" i="1"/>
  <c r="L157" i="1"/>
  <c r="M157" i="1"/>
  <c r="K158" i="1"/>
  <c r="L158" i="1"/>
  <c r="M158" i="1"/>
  <c r="K159" i="1"/>
  <c r="L159" i="1"/>
  <c r="M159" i="1"/>
  <c r="K160" i="1"/>
  <c r="L160" i="1"/>
  <c r="M160" i="1"/>
  <c r="K161" i="1"/>
  <c r="L161" i="1"/>
  <c r="M161" i="1"/>
  <c r="K162" i="1"/>
  <c r="L162" i="1"/>
  <c r="M162" i="1"/>
  <c r="K163" i="1"/>
  <c r="L163" i="1"/>
  <c r="M163" i="1"/>
  <c r="K164" i="1"/>
  <c r="L164" i="1"/>
  <c r="M164" i="1"/>
  <c r="K165" i="1"/>
  <c r="L165" i="1"/>
  <c r="M165" i="1"/>
  <c r="K166" i="1"/>
  <c r="L166" i="1"/>
  <c r="M166" i="1"/>
  <c r="K167" i="1"/>
  <c r="L167" i="1"/>
  <c r="M167" i="1"/>
  <c r="K168" i="1"/>
  <c r="L168" i="1"/>
  <c r="M168" i="1"/>
  <c r="K169" i="1"/>
  <c r="L169" i="1"/>
  <c r="M169" i="1"/>
  <c r="K170" i="1"/>
  <c r="L170" i="1"/>
  <c r="M170" i="1"/>
  <c r="K171" i="1"/>
  <c r="L171" i="1"/>
  <c r="M171" i="1"/>
  <c r="K172" i="1"/>
  <c r="L172" i="1"/>
  <c r="M172" i="1"/>
  <c r="K173" i="1"/>
  <c r="L173" i="1"/>
  <c r="M173" i="1"/>
  <c r="K174" i="1"/>
  <c r="L174" i="1"/>
  <c r="M174" i="1"/>
  <c r="K175" i="1"/>
  <c r="L175" i="1"/>
  <c r="M175" i="1"/>
  <c r="K176" i="1"/>
  <c r="L176" i="1"/>
  <c r="M176" i="1"/>
  <c r="K177" i="1"/>
  <c r="L177" i="1"/>
  <c r="M177" i="1"/>
  <c r="K178" i="1"/>
  <c r="L178" i="1"/>
  <c r="M178" i="1"/>
  <c r="K179" i="1"/>
  <c r="L179" i="1"/>
  <c r="M179" i="1"/>
  <c r="K180" i="1"/>
  <c r="L180" i="1"/>
  <c r="M180" i="1"/>
  <c r="K181" i="1"/>
  <c r="L181" i="1"/>
  <c r="M181" i="1"/>
  <c r="K182" i="1"/>
  <c r="L182" i="1"/>
  <c r="M182" i="1"/>
  <c r="K183" i="1"/>
  <c r="L183" i="1"/>
  <c r="M183" i="1"/>
  <c r="K184" i="1"/>
  <c r="L184" i="1"/>
  <c r="M184" i="1"/>
  <c r="K185" i="1"/>
  <c r="L185" i="1"/>
  <c r="M185" i="1"/>
  <c r="K186" i="1"/>
  <c r="L186" i="1"/>
  <c r="M186" i="1"/>
  <c r="K187" i="1"/>
  <c r="L187" i="1"/>
  <c r="M187" i="1"/>
  <c r="K188" i="1"/>
  <c r="L188" i="1"/>
  <c r="M188" i="1"/>
  <c r="K189" i="1"/>
  <c r="L189" i="1"/>
  <c r="M189" i="1"/>
  <c r="K190" i="1"/>
  <c r="L190" i="1"/>
  <c r="M190" i="1"/>
  <c r="K191" i="1"/>
  <c r="L191" i="1"/>
  <c r="M191" i="1"/>
  <c r="K192" i="1"/>
  <c r="L192" i="1"/>
  <c r="M192" i="1"/>
  <c r="K193" i="1"/>
  <c r="L193" i="1"/>
  <c r="M193" i="1"/>
  <c r="K194" i="1"/>
  <c r="L194" i="1"/>
  <c r="M194" i="1"/>
  <c r="K195" i="1"/>
  <c r="L195" i="1"/>
  <c r="M195" i="1"/>
  <c r="K196" i="1"/>
  <c r="L196" i="1"/>
  <c r="M196" i="1"/>
  <c r="K197" i="1"/>
  <c r="L197" i="1"/>
  <c r="M197" i="1"/>
  <c r="K198" i="1"/>
  <c r="L198" i="1"/>
  <c r="M198" i="1"/>
  <c r="K199" i="1"/>
  <c r="L199" i="1"/>
  <c r="M199" i="1"/>
  <c r="K200" i="1"/>
  <c r="L200" i="1"/>
  <c r="M200" i="1"/>
  <c r="K201" i="1"/>
  <c r="L201" i="1"/>
  <c r="M201" i="1"/>
  <c r="K202" i="1"/>
  <c r="L202" i="1"/>
  <c r="M202" i="1"/>
  <c r="K203" i="1"/>
  <c r="L203" i="1"/>
  <c r="M203" i="1"/>
  <c r="K204" i="1"/>
  <c r="L204" i="1"/>
  <c r="M204" i="1"/>
  <c r="K205" i="1"/>
  <c r="L205" i="1"/>
  <c r="M205" i="1"/>
  <c r="K206" i="1"/>
  <c r="L206" i="1"/>
  <c r="M206" i="1"/>
  <c r="K207" i="1"/>
  <c r="L207" i="1"/>
  <c r="M207" i="1"/>
  <c r="K208" i="1"/>
  <c r="L208" i="1"/>
  <c r="M208" i="1"/>
  <c r="K209" i="1"/>
  <c r="L209" i="1"/>
  <c r="M209" i="1"/>
  <c r="K210" i="1"/>
  <c r="L210" i="1"/>
  <c r="M210" i="1"/>
  <c r="K211" i="1"/>
  <c r="L211" i="1"/>
  <c r="M211" i="1"/>
  <c r="K212" i="1"/>
  <c r="L212" i="1"/>
  <c r="M212" i="1"/>
  <c r="K213" i="1"/>
  <c r="L213" i="1"/>
  <c r="M213" i="1"/>
  <c r="K214" i="1"/>
  <c r="L214" i="1"/>
  <c r="M214" i="1"/>
  <c r="K215" i="1"/>
  <c r="L215" i="1"/>
  <c r="M215" i="1"/>
  <c r="K216" i="1"/>
  <c r="L216" i="1"/>
  <c r="M216" i="1"/>
  <c r="K217" i="1"/>
  <c r="L217" i="1"/>
  <c r="M217" i="1"/>
  <c r="K218" i="1"/>
  <c r="L218" i="1"/>
  <c r="M218" i="1"/>
  <c r="K219" i="1"/>
  <c r="L219" i="1"/>
  <c r="M219" i="1"/>
  <c r="K220" i="1"/>
  <c r="L220" i="1"/>
  <c r="M220" i="1"/>
  <c r="K221" i="1"/>
  <c r="L221" i="1"/>
  <c r="M221" i="1"/>
  <c r="K222" i="1"/>
  <c r="L222" i="1"/>
  <c r="M222" i="1"/>
  <c r="K223" i="1"/>
  <c r="L223" i="1"/>
  <c r="M223" i="1"/>
  <c r="K224" i="1"/>
  <c r="L224" i="1"/>
  <c r="M224" i="1"/>
  <c r="K225" i="1"/>
  <c r="L225" i="1"/>
  <c r="M225" i="1"/>
  <c r="K226" i="1"/>
  <c r="L226" i="1"/>
  <c r="M226" i="1"/>
  <c r="K227" i="1"/>
  <c r="L227" i="1"/>
  <c r="M227" i="1"/>
  <c r="K228" i="1"/>
  <c r="L228" i="1"/>
  <c r="M228" i="1"/>
  <c r="K229" i="1"/>
  <c r="L229" i="1"/>
  <c r="M229" i="1"/>
  <c r="K230" i="1"/>
  <c r="L230" i="1"/>
  <c r="M230" i="1"/>
  <c r="K231" i="1"/>
  <c r="L231" i="1"/>
  <c r="M231" i="1"/>
  <c r="K232" i="1"/>
  <c r="L232" i="1"/>
  <c r="M232" i="1"/>
  <c r="K233" i="1"/>
  <c r="L233" i="1"/>
  <c r="M233" i="1"/>
  <c r="K234" i="1"/>
  <c r="L234" i="1"/>
  <c r="M234" i="1"/>
  <c r="K235" i="1"/>
  <c r="L235" i="1"/>
  <c r="M235" i="1"/>
  <c r="K236" i="1"/>
  <c r="L236" i="1"/>
  <c r="M236" i="1"/>
  <c r="K237" i="1"/>
  <c r="L237" i="1"/>
  <c r="M237" i="1"/>
  <c r="K238" i="1"/>
  <c r="L238" i="1"/>
  <c r="M238" i="1"/>
  <c r="K239" i="1"/>
  <c r="L239" i="1"/>
  <c r="M239" i="1"/>
  <c r="K240" i="1"/>
  <c r="L240" i="1"/>
  <c r="M240" i="1"/>
  <c r="K241" i="1"/>
  <c r="L241" i="1"/>
  <c r="M241" i="1"/>
  <c r="K242" i="1"/>
  <c r="L242" i="1"/>
  <c r="M242" i="1"/>
  <c r="K243" i="1"/>
  <c r="L243" i="1"/>
  <c r="M243" i="1"/>
  <c r="K244" i="1"/>
  <c r="L244" i="1"/>
  <c r="M244" i="1"/>
  <c r="K245" i="1"/>
  <c r="L245" i="1"/>
  <c r="M245" i="1"/>
  <c r="K246" i="1"/>
  <c r="L246" i="1"/>
  <c r="M246" i="1"/>
  <c r="K247" i="1"/>
  <c r="L247" i="1"/>
  <c r="M247" i="1"/>
  <c r="K248" i="1"/>
  <c r="L248" i="1"/>
  <c r="M248" i="1"/>
  <c r="K249" i="1"/>
  <c r="L249" i="1"/>
  <c r="M249" i="1"/>
  <c r="K250" i="1"/>
  <c r="L250" i="1"/>
  <c r="M250" i="1"/>
  <c r="K251" i="1"/>
  <c r="L251" i="1"/>
  <c r="M251" i="1"/>
  <c r="K252" i="1"/>
  <c r="L252" i="1"/>
  <c r="M252" i="1"/>
  <c r="K253" i="1"/>
  <c r="L253" i="1"/>
  <c r="M253" i="1"/>
  <c r="K254" i="1"/>
  <c r="L254" i="1"/>
  <c r="M254" i="1"/>
  <c r="K255" i="1"/>
  <c r="L255" i="1"/>
  <c r="M255" i="1"/>
  <c r="K256" i="1"/>
  <c r="L256" i="1"/>
  <c r="M256" i="1"/>
  <c r="K257" i="1"/>
  <c r="L257" i="1"/>
  <c r="M257" i="1"/>
  <c r="K258" i="1"/>
  <c r="L258" i="1"/>
  <c r="M258" i="1"/>
  <c r="K259" i="1"/>
  <c r="L259" i="1"/>
  <c r="M259" i="1"/>
  <c r="K260" i="1"/>
  <c r="L260" i="1"/>
  <c r="M260" i="1"/>
  <c r="K261" i="1"/>
  <c r="L261" i="1"/>
  <c r="M261" i="1"/>
  <c r="K262" i="1"/>
  <c r="L262" i="1"/>
  <c r="M262" i="1"/>
  <c r="K263" i="1"/>
  <c r="L263" i="1"/>
  <c r="M263" i="1"/>
  <c r="K264" i="1"/>
  <c r="L264" i="1"/>
  <c r="M264" i="1"/>
  <c r="K265" i="1"/>
  <c r="L265" i="1"/>
  <c r="M265" i="1"/>
  <c r="K266" i="1"/>
  <c r="L266" i="1"/>
  <c r="M266" i="1"/>
  <c r="K267" i="1"/>
  <c r="L267" i="1"/>
  <c r="M267" i="1"/>
  <c r="K268" i="1"/>
  <c r="L268" i="1"/>
  <c r="M268" i="1"/>
  <c r="K269" i="1"/>
  <c r="L269" i="1"/>
  <c r="M269" i="1"/>
  <c r="K270" i="1"/>
  <c r="L270" i="1"/>
  <c r="M270" i="1"/>
  <c r="K271" i="1"/>
  <c r="L271" i="1"/>
  <c r="M271" i="1"/>
  <c r="K272" i="1"/>
  <c r="L272" i="1"/>
  <c r="M272" i="1"/>
  <c r="K273" i="1"/>
  <c r="L273" i="1"/>
  <c r="M273" i="1"/>
  <c r="K274" i="1"/>
  <c r="L274" i="1"/>
  <c r="M274" i="1"/>
  <c r="K275" i="1"/>
  <c r="L275" i="1"/>
  <c r="M275" i="1"/>
  <c r="K276" i="1"/>
  <c r="L276" i="1"/>
  <c r="M276" i="1"/>
  <c r="K277" i="1"/>
  <c r="L277" i="1"/>
  <c r="M277" i="1"/>
  <c r="K278" i="1"/>
  <c r="L278" i="1"/>
  <c r="M278" i="1"/>
  <c r="K279" i="1"/>
  <c r="L279" i="1"/>
  <c r="M279" i="1"/>
  <c r="K280" i="1"/>
  <c r="L280" i="1"/>
  <c r="M280" i="1"/>
  <c r="K281" i="1"/>
  <c r="L281" i="1"/>
  <c r="M281" i="1"/>
  <c r="K282" i="1"/>
  <c r="L282" i="1"/>
  <c r="M282" i="1"/>
  <c r="K283" i="1"/>
  <c r="L283" i="1"/>
  <c r="M283" i="1"/>
  <c r="K284" i="1"/>
  <c r="L284" i="1"/>
  <c r="M284" i="1"/>
  <c r="K285" i="1"/>
  <c r="L285" i="1"/>
  <c r="M285" i="1"/>
  <c r="K286" i="1"/>
  <c r="L286" i="1"/>
  <c r="M286" i="1"/>
  <c r="K287" i="1"/>
  <c r="L287" i="1"/>
  <c r="M287" i="1"/>
  <c r="K288" i="1"/>
  <c r="L288" i="1"/>
  <c r="M288" i="1"/>
  <c r="K289" i="1"/>
  <c r="L289" i="1"/>
  <c r="M289" i="1"/>
  <c r="K290" i="1"/>
  <c r="L290" i="1"/>
  <c r="M290" i="1"/>
  <c r="K291" i="1"/>
  <c r="L291" i="1"/>
  <c r="M291" i="1"/>
  <c r="K292" i="1"/>
  <c r="L292" i="1"/>
  <c r="M292" i="1"/>
  <c r="K293" i="1"/>
  <c r="L293" i="1"/>
  <c r="M293" i="1"/>
  <c r="K294" i="1"/>
  <c r="L294" i="1"/>
  <c r="M294" i="1"/>
  <c r="K295" i="1"/>
  <c r="L295" i="1"/>
  <c r="M295" i="1"/>
  <c r="K296" i="1"/>
  <c r="L296" i="1"/>
  <c r="M296" i="1"/>
  <c r="K297" i="1"/>
  <c r="L297" i="1"/>
  <c r="M297" i="1"/>
  <c r="K298" i="1"/>
  <c r="L298" i="1"/>
  <c r="M298" i="1"/>
  <c r="K299" i="1"/>
  <c r="L299" i="1"/>
  <c r="M299" i="1"/>
  <c r="K300" i="1"/>
  <c r="L300" i="1"/>
  <c r="M300" i="1"/>
  <c r="K301" i="1"/>
  <c r="L301" i="1"/>
  <c r="M301" i="1"/>
  <c r="K302" i="1"/>
  <c r="L302" i="1"/>
  <c r="M302" i="1"/>
  <c r="K303" i="1"/>
  <c r="L303" i="1"/>
  <c r="M303" i="1"/>
  <c r="K304" i="1"/>
  <c r="L304" i="1"/>
  <c r="M304" i="1"/>
  <c r="K305" i="1"/>
  <c r="L305" i="1"/>
  <c r="M305" i="1"/>
  <c r="K306" i="1"/>
  <c r="L306" i="1"/>
  <c r="M306" i="1"/>
  <c r="K307" i="1"/>
  <c r="L307" i="1"/>
  <c r="M307" i="1"/>
  <c r="K308" i="1"/>
  <c r="L308" i="1"/>
  <c r="M308" i="1"/>
  <c r="K309" i="1"/>
  <c r="L309" i="1"/>
  <c r="M309" i="1"/>
  <c r="K310" i="1"/>
  <c r="L310" i="1"/>
  <c r="M310" i="1"/>
  <c r="K311" i="1"/>
  <c r="L311" i="1"/>
  <c r="M311" i="1"/>
  <c r="K312" i="1"/>
  <c r="L312" i="1"/>
  <c r="M312" i="1"/>
  <c r="K313" i="1"/>
  <c r="L313" i="1"/>
  <c r="M313" i="1"/>
  <c r="K314" i="1"/>
  <c r="L314" i="1"/>
  <c r="M314" i="1"/>
  <c r="K315" i="1"/>
  <c r="L315" i="1"/>
  <c r="M315" i="1"/>
  <c r="K316" i="1"/>
  <c r="L316" i="1"/>
  <c r="M316" i="1"/>
  <c r="K317" i="1"/>
  <c r="L317" i="1"/>
  <c r="M317" i="1"/>
  <c r="K318" i="1"/>
  <c r="L318" i="1"/>
  <c r="M318" i="1"/>
  <c r="K319" i="1"/>
  <c r="L319" i="1"/>
  <c r="M319" i="1"/>
  <c r="K320" i="1"/>
  <c r="L320" i="1"/>
  <c r="M320" i="1"/>
  <c r="K321" i="1"/>
  <c r="L321" i="1"/>
  <c r="M321" i="1"/>
  <c r="M2" i="1"/>
  <c r="L2" i="1"/>
  <c r="K2" i="1"/>
</calcChain>
</file>

<file path=xl/sharedStrings.xml><?xml version="1.0" encoding="utf-8"?>
<sst xmlns="http://schemas.openxmlformats.org/spreadsheetml/2006/main" count="16" uniqueCount="14">
  <si>
    <t>date_base</t>
  </si>
  <si>
    <t>date_pred</t>
  </si>
  <si>
    <t>index_pred</t>
  </si>
  <si>
    <t>index_real</t>
  </si>
  <si>
    <t>index_today</t>
  </si>
  <si>
    <t>loss_profits</t>
  </si>
  <si>
    <t>prediction</t>
  </si>
  <si>
    <t>real</t>
  </si>
  <si>
    <t>std</t>
  </si>
  <si>
    <t>accuracy</t>
  </si>
  <si>
    <t xml:space="preserve"> RMSE</t>
  </si>
  <si>
    <t>BT</t>
    <phoneticPr fontId="18" type="noConversion"/>
  </si>
  <si>
    <t>BB</t>
    <phoneticPr fontId="18" type="noConversion"/>
  </si>
  <si>
    <t>predict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</si>
</sst>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vdiff_ensemble_20_10_20_0.001_2!$M$1</c:f>
              <c:strCache>
                <c:ptCount val="1"/>
                <c:pt idx="0">
                  <c:v>predict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vdiff_ensemble_20_10_20_0.001_2!$J$2:$J$321</c:f>
              <c:numCache>
                <c:formatCode>m/d/yyyy</c:formatCode>
                <c:ptCount val="320"/>
                <c:pt idx="0">
                  <c:v>42853</c:v>
                </c:pt>
                <c:pt idx="1">
                  <c:v>42856</c:v>
                </c:pt>
                <c:pt idx="2">
                  <c:v>42857</c:v>
                </c:pt>
                <c:pt idx="3">
                  <c:v>42858</c:v>
                </c:pt>
                <c:pt idx="4">
                  <c:v>42859</c:v>
                </c:pt>
                <c:pt idx="5">
                  <c:v>42860</c:v>
                </c:pt>
                <c:pt idx="6">
                  <c:v>42863</c:v>
                </c:pt>
                <c:pt idx="7">
                  <c:v>42864</c:v>
                </c:pt>
                <c:pt idx="8">
                  <c:v>42865</c:v>
                </c:pt>
                <c:pt idx="9">
                  <c:v>42866</c:v>
                </c:pt>
                <c:pt idx="10">
                  <c:v>42867</c:v>
                </c:pt>
                <c:pt idx="11">
                  <c:v>42870</c:v>
                </c:pt>
                <c:pt idx="12">
                  <c:v>42871</c:v>
                </c:pt>
                <c:pt idx="13">
                  <c:v>42872</c:v>
                </c:pt>
                <c:pt idx="14">
                  <c:v>42873</c:v>
                </c:pt>
                <c:pt idx="15">
                  <c:v>42874</c:v>
                </c:pt>
                <c:pt idx="16">
                  <c:v>42877</c:v>
                </c:pt>
                <c:pt idx="17">
                  <c:v>42878</c:v>
                </c:pt>
                <c:pt idx="18">
                  <c:v>42879</c:v>
                </c:pt>
                <c:pt idx="19">
                  <c:v>42880</c:v>
                </c:pt>
                <c:pt idx="20">
                  <c:v>42881</c:v>
                </c:pt>
                <c:pt idx="21">
                  <c:v>42884</c:v>
                </c:pt>
                <c:pt idx="22">
                  <c:v>42885</c:v>
                </c:pt>
                <c:pt idx="23">
                  <c:v>42886</c:v>
                </c:pt>
                <c:pt idx="24">
                  <c:v>42887</c:v>
                </c:pt>
                <c:pt idx="25">
                  <c:v>42888</c:v>
                </c:pt>
                <c:pt idx="26">
                  <c:v>42891</c:v>
                </c:pt>
                <c:pt idx="27">
                  <c:v>42892</c:v>
                </c:pt>
                <c:pt idx="28">
                  <c:v>42893</c:v>
                </c:pt>
                <c:pt idx="29">
                  <c:v>42894</c:v>
                </c:pt>
                <c:pt idx="30">
                  <c:v>42895</c:v>
                </c:pt>
                <c:pt idx="31">
                  <c:v>42898</c:v>
                </c:pt>
                <c:pt idx="32">
                  <c:v>42899</c:v>
                </c:pt>
                <c:pt idx="33">
                  <c:v>42900</c:v>
                </c:pt>
                <c:pt idx="34">
                  <c:v>42901</c:v>
                </c:pt>
                <c:pt idx="35">
                  <c:v>42902</c:v>
                </c:pt>
                <c:pt idx="36">
                  <c:v>42905</c:v>
                </c:pt>
                <c:pt idx="37">
                  <c:v>42906</c:v>
                </c:pt>
                <c:pt idx="38">
                  <c:v>42907</c:v>
                </c:pt>
                <c:pt idx="39">
                  <c:v>42908</c:v>
                </c:pt>
                <c:pt idx="40">
                  <c:v>42909</c:v>
                </c:pt>
                <c:pt idx="41">
                  <c:v>42912</c:v>
                </c:pt>
                <c:pt idx="42">
                  <c:v>42913</c:v>
                </c:pt>
                <c:pt idx="43">
                  <c:v>42914</c:v>
                </c:pt>
                <c:pt idx="44">
                  <c:v>42915</c:v>
                </c:pt>
                <c:pt idx="45">
                  <c:v>42916</c:v>
                </c:pt>
                <c:pt idx="46">
                  <c:v>42919</c:v>
                </c:pt>
                <c:pt idx="47">
                  <c:v>42920</c:v>
                </c:pt>
                <c:pt idx="48">
                  <c:v>42921</c:v>
                </c:pt>
                <c:pt idx="49">
                  <c:v>42922</c:v>
                </c:pt>
                <c:pt idx="50">
                  <c:v>42923</c:v>
                </c:pt>
                <c:pt idx="51">
                  <c:v>42926</c:v>
                </c:pt>
                <c:pt idx="52">
                  <c:v>42927</c:v>
                </c:pt>
                <c:pt idx="53">
                  <c:v>42928</c:v>
                </c:pt>
                <c:pt idx="54">
                  <c:v>42929</c:v>
                </c:pt>
                <c:pt idx="55">
                  <c:v>42930</c:v>
                </c:pt>
                <c:pt idx="56">
                  <c:v>42933</c:v>
                </c:pt>
                <c:pt idx="57">
                  <c:v>42934</c:v>
                </c:pt>
                <c:pt idx="58">
                  <c:v>42935</c:v>
                </c:pt>
                <c:pt idx="59">
                  <c:v>42936</c:v>
                </c:pt>
                <c:pt idx="60">
                  <c:v>42937</c:v>
                </c:pt>
                <c:pt idx="61">
                  <c:v>42940</c:v>
                </c:pt>
                <c:pt idx="62">
                  <c:v>42941</c:v>
                </c:pt>
                <c:pt idx="63">
                  <c:v>42942</c:v>
                </c:pt>
                <c:pt idx="64">
                  <c:v>42943</c:v>
                </c:pt>
                <c:pt idx="65">
                  <c:v>42944</c:v>
                </c:pt>
                <c:pt idx="66">
                  <c:v>42947</c:v>
                </c:pt>
                <c:pt idx="67">
                  <c:v>42948</c:v>
                </c:pt>
                <c:pt idx="68">
                  <c:v>42949</c:v>
                </c:pt>
                <c:pt idx="69">
                  <c:v>42950</c:v>
                </c:pt>
                <c:pt idx="70">
                  <c:v>42951</c:v>
                </c:pt>
                <c:pt idx="71">
                  <c:v>42954</c:v>
                </c:pt>
                <c:pt idx="72">
                  <c:v>42955</c:v>
                </c:pt>
                <c:pt idx="73">
                  <c:v>42956</c:v>
                </c:pt>
                <c:pt idx="74">
                  <c:v>42957</c:v>
                </c:pt>
                <c:pt idx="75">
                  <c:v>42958</c:v>
                </c:pt>
                <c:pt idx="76">
                  <c:v>42961</c:v>
                </c:pt>
                <c:pt idx="77">
                  <c:v>42962</c:v>
                </c:pt>
                <c:pt idx="78">
                  <c:v>42963</c:v>
                </c:pt>
                <c:pt idx="79">
                  <c:v>42964</c:v>
                </c:pt>
                <c:pt idx="80">
                  <c:v>42965</c:v>
                </c:pt>
                <c:pt idx="81">
                  <c:v>42968</c:v>
                </c:pt>
                <c:pt idx="82">
                  <c:v>42969</c:v>
                </c:pt>
                <c:pt idx="83">
                  <c:v>42970</c:v>
                </c:pt>
                <c:pt idx="84">
                  <c:v>42971</c:v>
                </c:pt>
                <c:pt idx="85">
                  <c:v>42972</c:v>
                </c:pt>
                <c:pt idx="86">
                  <c:v>42975</c:v>
                </c:pt>
                <c:pt idx="87">
                  <c:v>42976</c:v>
                </c:pt>
                <c:pt idx="88">
                  <c:v>42977</c:v>
                </c:pt>
                <c:pt idx="89">
                  <c:v>42978</c:v>
                </c:pt>
                <c:pt idx="90">
                  <c:v>42979</c:v>
                </c:pt>
                <c:pt idx="91">
                  <c:v>42982</c:v>
                </c:pt>
                <c:pt idx="92">
                  <c:v>42983</c:v>
                </c:pt>
                <c:pt idx="93">
                  <c:v>42984</c:v>
                </c:pt>
                <c:pt idx="94">
                  <c:v>42985</c:v>
                </c:pt>
                <c:pt idx="95">
                  <c:v>42986</c:v>
                </c:pt>
                <c:pt idx="96">
                  <c:v>42989</c:v>
                </c:pt>
                <c:pt idx="97">
                  <c:v>42990</c:v>
                </c:pt>
                <c:pt idx="98">
                  <c:v>42991</c:v>
                </c:pt>
                <c:pt idx="99">
                  <c:v>42992</c:v>
                </c:pt>
                <c:pt idx="100">
                  <c:v>42993</c:v>
                </c:pt>
                <c:pt idx="101">
                  <c:v>42996</c:v>
                </c:pt>
                <c:pt idx="102">
                  <c:v>42997</c:v>
                </c:pt>
                <c:pt idx="103">
                  <c:v>42998</c:v>
                </c:pt>
                <c:pt idx="104">
                  <c:v>42999</c:v>
                </c:pt>
                <c:pt idx="105">
                  <c:v>43000</c:v>
                </c:pt>
                <c:pt idx="106">
                  <c:v>43003</c:v>
                </c:pt>
                <c:pt idx="107">
                  <c:v>43004</c:v>
                </c:pt>
                <c:pt idx="108">
                  <c:v>43005</c:v>
                </c:pt>
                <c:pt idx="109">
                  <c:v>43006</c:v>
                </c:pt>
                <c:pt idx="110">
                  <c:v>43007</c:v>
                </c:pt>
                <c:pt idx="111">
                  <c:v>43010</c:v>
                </c:pt>
                <c:pt idx="112">
                  <c:v>43011</c:v>
                </c:pt>
                <c:pt idx="113">
                  <c:v>43012</c:v>
                </c:pt>
                <c:pt idx="114">
                  <c:v>43013</c:v>
                </c:pt>
                <c:pt idx="115">
                  <c:v>43014</c:v>
                </c:pt>
                <c:pt idx="116">
                  <c:v>43017</c:v>
                </c:pt>
                <c:pt idx="117">
                  <c:v>43018</c:v>
                </c:pt>
                <c:pt idx="118">
                  <c:v>43019</c:v>
                </c:pt>
                <c:pt idx="119">
                  <c:v>43020</c:v>
                </c:pt>
                <c:pt idx="120">
                  <c:v>43021</c:v>
                </c:pt>
                <c:pt idx="121">
                  <c:v>43024</c:v>
                </c:pt>
                <c:pt idx="122">
                  <c:v>43025</c:v>
                </c:pt>
                <c:pt idx="123">
                  <c:v>43026</c:v>
                </c:pt>
                <c:pt idx="124">
                  <c:v>43027</c:v>
                </c:pt>
                <c:pt idx="125">
                  <c:v>43028</c:v>
                </c:pt>
                <c:pt idx="126">
                  <c:v>43031</c:v>
                </c:pt>
                <c:pt idx="127">
                  <c:v>43032</c:v>
                </c:pt>
                <c:pt idx="128">
                  <c:v>43033</c:v>
                </c:pt>
                <c:pt idx="129">
                  <c:v>43034</c:v>
                </c:pt>
                <c:pt idx="130">
                  <c:v>43035</c:v>
                </c:pt>
                <c:pt idx="131">
                  <c:v>43038</c:v>
                </c:pt>
                <c:pt idx="132">
                  <c:v>43039</c:v>
                </c:pt>
                <c:pt idx="133">
                  <c:v>43040</c:v>
                </c:pt>
                <c:pt idx="134">
                  <c:v>43041</c:v>
                </c:pt>
                <c:pt idx="135">
                  <c:v>43042</c:v>
                </c:pt>
                <c:pt idx="136">
                  <c:v>43045</c:v>
                </c:pt>
                <c:pt idx="137">
                  <c:v>43046</c:v>
                </c:pt>
                <c:pt idx="138">
                  <c:v>43047</c:v>
                </c:pt>
                <c:pt idx="139">
                  <c:v>43048</c:v>
                </c:pt>
                <c:pt idx="140">
                  <c:v>43049</c:v>
                </c:pt>
                <c:pt idx="141">
                  <c:v>43052</c:v>
                </c:pt>
                <c:pt idx="142">
                  <c:v>43053</c:v>
                </c:pt>
                <c:pt idx="143">
                  <c:v>43054</c:v>
                </c:pt>
                <c:pt idx="144">
                  <c:v>43055</c:v>
                </c:pt>
                <c:pt idx="145">
                  <c:v>43056</c:v>
                </c:pt>
                <c:pt idx="146">
                  <c:v>43059</c:v>
                </c:pt>
                <c:pt idx="147">
                  <c:v>43060</c:v>
                </c:pt>
                <c:pt idx="148">
                  <c:v>43061</c:v>
                </c:pt>
                <c:pt idx="149">
                  <c:v>43062</c:v>
                </c:pt>
                <c:pt idx="150">
                  <c:v>43063</c:v>
                </c:pt>
                <c:pt idx="151">
                  <c:v>43066</c:v>
                </c:pt>
                <c:pt idx="152">
                  <c:v>43067</c:v>
                </c:pt>
                <c:pt idx="153">
                  <c:v>43068</c:v>
                </c:pt>
                <c:pt idx="154">
                  <c:v>43069</c:v>
                </c:pt>
                <c:pt idx="155">
                  <c:v>43070</c:v>
                </c:pt>
                <c:pt idx="156">
                  <c:v>43073</c:v>
                </c:pt>
                <c:pt idx="157">
                  <c:v>43074</c:v>
                </c:pt>
                <c:pt idx="158">
                  <c:v>43075</c:v>
                </c:pt>
                <c:pt idx="159">
                  <c:v>43076</c:v>
                </c:pt>
                <c:pt idx="160">
                  <c:v>43077</c:v>
                </c:pt>
                <c:pt idx="161">
                  <c:v>43080</c:v>
                </c:pt>
                <c:pt idx="162">
                  <c:v>43081</c:v>
                </c:pt>
                <c:pt idx="163">
                  <c:v>43082</c:v>
                </c:pt>
                <c:pt idx="164">
                  <c:v>43083</c:v>
                </c:pt>
                <c:pt idx="165">
                  <c:v>43084</c:v>
                </c:pt>
                <c:pt idx="166">
                  <c:v>43087</c:v>
                </c:pt>
                <c:pt idx="167">
                  <c:v>43088</c:v>
                </c:pt>
                <c:pt idx="168">
                  <c:v>43089</c:v>
                </c:pt>
                <c:pt idx="169">
                  <c:v>43090</c:v>
                </c:pt>
                <c:pt idx="170">
                  <c:v>43091</c:v>
                </c:pt>
                <c:pt idx="171">
                  <c:v>43094</c:v>
                </c:pt>
                <c:pt idx="172">
                  <c:v>43095</c:v>
                </c:pt>
                <c:pt idx="173">
                  <c:v>43096</c:v>
                </c:pt>
                <c:pt idx="174">
                  <c:v>43097</c:v>
                </c:pt>
                <c:pt idx="175">
                  <c:v>43098</c:v>
                </c:pt>
                <c:pt idx="176">
                  <c:v>43101</c:v>
                </c:pt>
                <c:pt idx="177">
                  <c:v>43102</c:v>
                </c:pt>
                <c:pt idx="178">
                  <c:v>43103</c:v>
                </c:pt>
                <c:pt idx="179">
                  <c:v>43104</c:v>
                </c:pt>
                <c:pt idx="180">
                  <c:v>43105</c:v>
                </c:pt>
                <c:pt idx="181">
                  <c:v>43108</c:v>
                </c:pt>
                <c:pt idx="182">
                  <c:v>43109</c:v>
                </c:pt>
                <c:pt idx="183">
                  <c:v>43110</c:v>
                </c:pt>
                <c:pt idx="184">
                  <c:v>43111</c:v>
                </c:pt>
                <c:pt idx="185">
                  <c:v>43112</c:v>
                </c:pt>
                <c:pt idx="186">
                  <c:v>43115</c:v>
                </c:pt>
                <c:pt idx="187">
                  <c:v>43116</c:v>
                </c:pt>
                <c:pt idx="188">
                  <c:v>43117</c:v>
                </c:pt>
                <c:pt idx="189">
                  <c:v>43118</c:v>
                </c:pt>
                <c:pt idx="190">
                  <c:v>43119</c:v>
                </c:pt>
                <c:pt idx="191">
                  <c:v>43122</c:v>
                </c:pt>
                <c:pt idx="192">
                  <c:v>43123</c:v>
                </c:pt>
                <c:pt idx="193">
                  <c:v>43124</c:v>
                </c:pt>
                <c:pt idx="194">
                  <c:v>43125</c:v>
                </c:pt>
                <c:pt idx="195">
                  <c:v>43126</c:v>
                </c:pt>
                <c:pt idx="196">
                  <c:v>43129</c:v>
                </c:pt>
                <c:pt idx="197">
                  <c:v>43130</c:v>
                </c:pt>
                <c:pt idx="198">
                  <c:v>43131</c:v>
                </c:pt>
                <c:pt idx="199">
                  <c:v>43132</c:v>
                </c:pt>
                <c:pt idx="200">
                  <c:v>43133</c:v>
                </c:pt>
                <c:pt idx="201">
                  <c:v>43136</c:v>
                </c:pt>
                <c:pt idx="202">
                  <c:v>43137</c:v>
                </c:pt>
                <c:pt idx="203">
                  <c:v>43138</c:v>
                </c:pt>
                <c:pt idx="204">
                  <c:v>43139</c:v>
                </c:pt>
                <c:pt idx="205">
                  <c:v>43140</c:v>
                </c:pt>
                <c:pt idx="206">
                  <c:v>43143</c:v>
                </c:pt>
                <c:pt idx="207">
                  <c:v>43144</c:v>
                </c:pt>
                <c:pt idx="208">
                  <c:v>43145</c:v>
                </c:pt>
                <c:pt idx="209">
                  <c:v>43146</c:v>
                </c:pt>
                <c:pt idx="210">
                  <c:v>43147</c:v>
                </c:pt>
                <c:pt idx="211">
                  <c:v>43150</c:v>
                </c:pt>
                <c:pt idx="212">
                  <c:v>43151</c:v>
                </c:pt>
                <c:pt idx="213">
                  <c:v>43152</c:v>
                </c:pt>
                <c:pt idx="214">
                  <c:v>43153</c:v>
                </c:pt>
                <c:pt idx="215">
                  <c:v>43154</c:v>
                </c:pt>
                <c:pt idx="216">
                  <c:v>43157</c:v>
                </c:pt>
                <c:pt idx="217">
                  <c:v>43158</c:v>
                </c:pt>
                <c:pt idx="218">
                  <c:v>43159</c:v>
                </c:pt>
                <c:pt idx="219">
                  <c:v>43160</c:v>
                </c:pt>
                <c:pt idx="220">
                  <c:v>43161</c:v>
                </c:pt>
                <c:pt idx="221">
                  <c:v>43164</c:v>
                </c:pt>
                <c:pt idx="222">
                  <c:v>43165</c:v>
                </c:pt>
                <c:pt idx="223">
                  <c:v>43166</c:v>
                </c:pt>
                <c:pt idx="224">
                  <c:v>43167</c:v>
                </c:pt>
                <c:pt idx="225">
                  <c:v>43168</c:v>
                </c:pt>
                <c:pt idx="226">
                  <c:v>43171</c:v>
                </c:pt>
                <c:pt idx="227">
                  <c:v>43172</c:v>
                </c:pt>
                <c:pt idx="228">
                  <c:v>43173</c:v>
                </c:pt>
                <c:pt idx="229">
                  <c:v>43174</c:v>
                </c:pt>
                <c:pt idx="230">
                  <c:v>43175</c:v>
                </c:pt>
                <c:pt idx="231">
                  <c:v>43178</c:v>
                </c:pt>
                <c:pt idx="232">
                  <c:v>43179</c:v>
                </c:pt>
                <c:pt idx="233">
                  <c:v>43180</c:v>
                </c:pt>
                <c:pt idx="234">
                  <c:v>43181</c:v>
                </c:pt>
                <c:pt idx="235">
                  <c:v>43182</c:v>
                </c:pt>
                <c:pt idx="236">
                  <c:v>43185</c:v>
                </c:pt>
                <c:pt idx="237">
                  <c:v>43186</c:v>
                </c:pt>
                <c:pt idx="238">
                  <c:v>43187</c:v>
                </c:pt>
                <c:pt idx="239">
                  <c:v>43188</c:v>
                </c:pt>
                <c:pt idx="240">
                  <c:v>43189</c:v>
                </c:pt>
                <c:pt idx="241">
                  <c:v>43192</c:v>
                </c:pt>
                <c:pt idx="242">
                  <c:v>43193</c:v>
                </c:pt>
                <c:pt idx="243">
                  <c:v>43194</c:v>
                </c:pt>
                <c:pt idx="244">
                  <c:v>43195</c:v>
                </c:pt>
                <c:pt idx="245">
                  <c:v>43196</c:v>
                </c:pt>
                <c:pt idx="246">
                  <c:v>43199</c:v>
                </c:pt>
                <c:pt idx="247">
                  <c:v>43200</c:v>
                </c:pt>
                <c:pt idx="248">
                  <c:v>43201</c:v>
                </c:pt>
                <c:pt idx="249">
                  <c:v>43202</c:v>
                </c:pt>
                <c:pt idx="250">
                  <c:v>43203</c:v>
                </c:pt>
                <c:pt idx="251">
                  <c:v>43206</c:v>
                </c:pt>
                <c:pt idx="252">
                  <c:v>43207</c:v>
                </c:pt>
                <c:pt idx="253">
                  <c:v>43208</c:v>
                </c:pt>
                <c:pt idx="254">
                  <c:v>43209</c:v>
                </c:pt>
                <c:pt idx="255">
                  <c:v>43210</c:v>
                </c:pt>
                <c:pt idx="256">
                  <c:v>43213</c:v>
                </c:pt>
                <c:pt idx="257">
                  <c:v>43214</c:v>
                </c:pt>
                <c:pt idx="258">
                  <c:v>43215</c:v>
                </c:pt>
                <c:pt idx="259">
                  <c:v>43216</c:v>
                </c:pt>
                <c:pt idx="260">
                  <c:v>43217</c:v>
                </c:pt>
                <c:pt idx="261">
                  <c:v>43220</c:v>
                </c:pt>
                <c:pt idx="262">
                  <c:v>43221</c:v>
                </c:pt>
                <c:pt idx="263">
                  <c:v>43222</c:v>
                </c:pt>
                <c:pt idx="264">
                  <c:v>43223</c:v>
                </c:pt>
                <c:pt idx="265">
                  <c:v>43224</c:v>
                </c:pt>
                <c:pt idx="266">
                  <c:v>43227</c:v>
                </c:pt>
                <c:pt idx="267">
                  <c:v>43228</c:v>
                </c:pt>
                <c:pt idx="268">
                  <c:v>43229</c:v>
                </c:pt>
                <c:pt idx="269">
                  <c:v>43230</c:v>
                </c:pt>
                <c:pt idx="270">
                  <c:v>43231</c:v>
                </c:pt>
                <c:pt idx="271">
                  <c:v>43234</c:v>
                </c:pt>
                <c:pt idx="272">
                  <c:v>43235</c:v>
                </c:pt>
                <c:pt idx="273">
                  <c:v>43236</c:v>
                </c:pt>
                <c:pt idx="274">
                  <c:v>43237</c:v>
                </c:pt>
                <c:pt idx="275">
                  <c:v>43238</c:v>
                </c:pt>
                <c:pt idx="276">
                  <c:v>43241</c:v>
                </c:pt>
                <c:pt idx="277">
                  <c:v>43242</c:v>
                </c:pt>
                <c:pt idx="278">
                  <c:v>43243</c:v>
                </c:pt>
                <c:pt idx="279">
                  <c:v>43244</c:v>
                </c:pt>
                <c:pt idx="280">
                  <c:v>43245</c:v>
                </c:pt>
                <c:pt idx="281">
                  <c:v>43248</c:v>
                </c:pt>
                <c:pt idx="282">
                  <c:v>43249</c:v>
                </c:pt>
                <c:pt idx="283">
                  <c:v>43250</c:v>
                </c:pt>
                <c:pt idx="284">
                  <c:v>43251</c:v>
                </c:pt>
                <c:pt idx="285">
                  <c:v>43252</c:v>
                </c:pt>
                <c:pt idx="286">
                  <c:v>43255</c:v>
                </c:pt>
                <c:pt idx="287">
                  <c:v>43256</c:v>
                </c:pt>
                <c:pt idx="288">
                  <c:v>43257</c:v>
                </c:pt>
                <c:pt idx="289">
                  <c:v>43258</c:v>
                </c:pt>
                <c:pt idx="290">
                  <c:v>43259</c:v>
                </c:pt>
                <c:pt idx="291">
                  <c:v>43262</c:v>
                </c:pt>
                <c:pt idx="292">
                  <c:v>43263</c:v>
                </c:pt>
                <c:pt idx="293">
                  <c:v>43264</c:v>
                </c:pt>
                <c:pt idx="294">
                  <c:v>43265</c:v>
                </c:pt>
                <c:pt idx="295">
                  <c:v>43266</c:v>
                </c:pt>
                <c:pt idx="296">
                  <c:v>43269</c:v>
                </c:pt>
                <c:pt idx="297">
                  <c:v>43270</c:v>
                </c:pt>
                <c:pt idx="298">
                  <c:v>43271</c:v>
                </c:pt>
                <c:pt idx="299">
                  <c:v>43272</c:v>
                </c:pt>
                <c:pt idx="300">
                  <c:v>43273</c:v>
                </c:pt>
                <c:pt idx="301">
                  <c:v>43276</c:v>
                </c:pt>
                <c:pt idx="302">
                  <c:v>43277</c:v>
                </c:pt>
                <c:pt idx="303">
                  <c:v>43278</c:v>
                </c:pt>
                <c:pt idx="304">
                  <c:v>43279</c:v>
                </c:pt>
                <c:pt idx="305">
                  <c:v>43280</c:v>
                </c:pt>
                <c:pt idx="306">
                  <c:v>43283</c:v>
                </c:pt>
                <c:pt idx="307">
                  <c:v>43284</c:v>
                </c:pt>
                <c:pt idx="308">
                  <c:v>43285</c:v>
                </c:pt>
                <c:pt idx="309">
                  <c:v>43286</c:v>
                </c:pt>
                <c:pt idx="310">
                  <c:v>43287</c:v>
                </c:pt>
                <c:pt idx="311">
                  <c:v>43290</c:v>
                </c:pt>
                <c:pt idx="312">
                  <c:v>43291</c:v>
                </c:pt>
                <c:pt idx="313">
                  <c:v>43292</c:v>
                </c:pt>
                <c:pt idx="314">
                  <c:v>43293</c:v>
                </c:pt>
                <c:pt idx="315">
                  <c:v>43294</c:v>
                </c:pt>
                <c:pt idx="316">
                  <c:v>43297</c:v>
                </c:pt>
                <c:pt idx="317">
                  <c:v>43298</c:v>
                </c:pt>
                <c:pt idx="318">
                  <c:v>43299</c:v>
                </c:pt>
                <c:pt idx="319">
                  <c:v>43300</c:v>
                </c:pt>
              </c:numCache>
            </c:numRef>
          </c:cat>
          <c:val>
            <c:numRef>
              <c:f>vdiff_ensemble_20_10_20_0.001_2!$M$2:$M$321</c:f>
              <c:numCache>
                <c:formatCode>General</c:formatCode>
                <c:ptCount val="320"/>
                <c:pt idx="0">
                  <c:v>279.57110295295701</c:v>
                </c:pt>
                <c:pt idx="1">
                  <c:v>279.39241852760301</c:v>
                </c:pt>
                <c:pt idx="2">
                  <c:v>276.74952468871999</c:v>
                </c:pt>
                <c:pt idx="3">
                  <c:v>280.64159381985598</c:v>
                </c:pt>
                <c:pt idx="4">
                  <c:v>280.65452089309599</c:v>
                </c:pt>
                <c:pt idx="5">
                  <c:v>280.02657282352402</c:v>
                </c:pt>
                <c:pt idx="6">
                  <c:v>276.33692648410698</c:v>
                </c:pt>
                <c:pt idx="7">
                  <c:v>275.68936156630502</c:v>
                </c:pt>
                <c:pt idx="8">
                  <c:v>277.76579411029797</c:v>
                </c:pt>
                <c:pt idx="9">
                  <c:v>278.65263151526398</c:v>
                </c:pt>
                <c:pt idx="10">
                  <c:v>277.74040408134402</c:v>
                </c:pt>
                <c:pt idx="11">
                  <c:v>274.17506780624302</c:v>
                </c:pt>
                <c:pt idx="12">
                  <c:v>275.86874423027001</c:v>
                </c:pt>
                <c:pt idx="13">
                  <c:v>275.34141812324498</c:v>
                </c:pt>
                <c:pt idx="14">
                  <c:v>276.93325197696601</c:v>
                </c:pt>
                <c:pt idx="15">
                  <c:v>274.07596464157098</c:v>
                </c:pt>
                <c:pt idx="16">
                  <c:v>278.08522639274599</c:v>
                </c:pt>
                <c:pt idx="17">
                  <c:v>281.03673095703101</c:v>
                </c:pt>
                <c:pt idx="18">
                  <c:v>281.11415119171102</c:v>
                </c:pt>
                <c:pt idx="19">
                  <c:v>289.16641316413802</c:v>
                </c:pt>
                <c:pt idx="20">
                  <c:v>285.83672719001697</c:v>
                </c:pt>
                <c:pt idx="21">
                  <c:v>289.52616481781001</c:v>
                </c:pt>
                <c:pt idx="22">
                  <c:v>290.54319365620597</c:v>
                </c:pt>
                <c:pt idx="23">
                  <c:v>287.71604828834501</c:v>
                </c:pt>
                <c:pt idx="24">
                  <c:v>285.47290182113602</c:v>
                </c:pt>
                <c:pt idx="25">
                  <c:v>285.77067947387599</c:v>
                </c:pt>
                <c:pt idx="26">
                  <c:v>296.170880031585</c:v>
                </c:pt>
                <c:pt idx="27">
                  <c:v>294.046355915069</c:v>
                </c:pt>
                <c:pt idx="28">
                  <c:v>292.88023109436</c:v>
                </c:pt>
                <c:pt idx="29">
                  <c:v>298.46821496486598</c:v>
                </c:pt>
                <c:pt idx="30">
                  <c:v>298.70191144347098</c:v>
                </c:pt>
                <c:pt idx="31">
                  <c:v>302.60857024192802</c:v>
                </c:pt>
                <c:pt idx="32">
                  <c:v>299.39150628447499</c:v>
                </c:pt>
                <c:pt idx="33">
                  <c:v>297.71708178520203</c:v>
                </c:pt>
                <c:pt idx="34">
                  <c:v>299.45133724212599</c:v>
                </c:pt>
                <c:pt idx="35">
                  <c:v>297.29516351222901</c:v>
                </c:pt>
                <c:pt idx="36">
                  <c:v>297.55041608810399</c:v>
                </c:pt>
                <c:pt idx="37">
                  <c:v>294.83531122207597</c:v>
                </c:pt>
                <c:pt idx="38">
                  <c:v>301.44253280162798</c:v>
                </c:pt>
                <c:pt idx="39">
                  <c:v>305.02695825695901</c:v>
                </c:pt>
                <c:pt idx="40">
                  <c:v>303.14322195053097</c:v>
                </c:pt>
                <c:pt idx="41">
                  <c:v>302.07931547164901</c:v>
                </c:pt>
                <c:pt idx="42">
                  <c:v>302.86256489753703</c:v>
                </c:pt>
                <c:pt idx="43">
                  <c:v>306.417696642875</c:v>
                </c:pt>
                <c:pt idx="44">
                  <c:v>308.26054325103701</c:v>
                </c:pt>
                <c:pt idx="45">
                  <c:v>311.12995457649203</c:v>
                </c:pt>
                <c:pt idx="46">
                  <c:v>308.883597469329</c:v>
                </c:pt>
                <c:pt idx="47">
                  <c:v>309.224881267547</c:v>
                </c:pt>
                <c:pt idx="48">
                  <c:v>309.11406531333898</c:v>
                </c:pt>
                <c:pt idx="49">
                  <c:v>307.507065558433</c:v>
                </c:pt>
                <c:pt idx="50">
                  <c:v>308.51888789534502</c:v>
                </c:pt>
                <c:pt idx="51">
                  <c:v>308.98116331100402</c:v>
                </c:pt>
                <c:pt idx="52">
                  <c:v>307.89568452834999</c:v>
                </c:pt>
                <c:pt idx="53">
                  <c:v>308.780706191062</c:v>
                </c:pt>
                <c:pt idx="54">
                  <c:v>310.95705213546699</c:v>
                </c:pt>
                <c:pt idx="55">
                  <c:v>310.990046024322</c:v>
                </c:pt>
                <c:pt idx="56">
                  <c:v>314.98138551711997</c:v>
                </c:pt>
                <c:pt idx="57">
                  <c:v>312.022353506088</c:v>
                </c:pt>
                <c:pt idx="58">
                  <c:v>314.64610605239801</c:v>
                </c:pt>
                <c:pt idx="59">
                  <c:v>314.92512445449802</c:v>
                </c:pt>
                <c:pt idx="60">
                  <c:v>310.28449749946498</c:v>
                </c:pt>
                <c:pt idx="61">
                  <c:v>315.06282835006698</c:v>
                </c:pt>
                <c:pt idx="62">
                  <c:v>312.93498430251998</c:v>
                </c:pt>
                <c:pt idx="63">
                  <c:v>314.94687080383301</c:v>
                </c:pt>
                <c:pt idx="64">
                  <c:v>314.317368841171</c:v>
                </c:pt>
                <c:pt idx="65">
                  <c:v>316.12519006729099</c:v>
                </c:pt>
                <c:pt idx="66">
                  <c:v>317.03040428161597</c:v>
                </c:pt>
                <c:pt idx="67">
                  <c:v>316.74491348266599</c:v>
                </c:pt>
                <c:pt idx="68">
                  <c:v>316.02963457107501</c:v>
                </c:pt>
                <c:pt idx="69">
                  <c:v>318.43021831512402</c:v>
                </c:pt>
                <c:pt idx="70">
                  <c:v>314.47261476516701</c:v>
                </c:pt>
                <c:pt idx="71">
                  <c:v>315.046634960174</c:v>
                </c:pt>
                <c:pt idx="72">
                  <c:v>313.39354724883998</c:v>
                </c:pt>
                <c:pt idx="73">
                  <c:v>316.638788318634</c:v>
                </c:pt>
                <c:pt idx="74">
                  <c:v>314.137639808654</c:v>
                </c:pt>
                <c:pt idx="75">
                  <c:v>313.506359529495</c:v>
                </c:pt>
                <c:pt idx="76">
                  <c:v>315.33699035644503</c:v>
                </c:pt>
                <c:pt idx="77">
                  <c:v>316.20983855724302</c:v>
                </c:pt>
                <c:pt idx="78">
                  <c:v>317.59776706695499</c:v>
                </c:pt>
                <c:pt idx="79">
                  <c:v>318.34243497848502</c:v>
                </c:pt>
                <c:pt idx="80">
                  <c:v>319.75767514705598</c:v>
                </c:pt>
                <c:pt idx="81">
                  <c:v>320.20165407657601</c:v>
                </c:pt>
                <c:pt idx="82">
                  <c:v>321.24221208095503</c:v>
                </c:pt>
                <c:pt idx="83">
                  <c:v>322.70110030174197</c:v>
                </c:pt>
                <c:pt idx="84">
                  <c:v>323.68192944526601</c:v>
                </c:pt>
                <c:pt idx="85">
                  <c:v>316.77150897979698</c:v>
                </c:pt>
                <c:pt idx="86">
                  <c:v>322.19920330047597</c:v>
                </c:pt>
                <c:pt idx="87">
                  <c:v>323.52205924987697</c:v>
                </c:pt>
                <c:pt idx="88">
                  <c:v>324.348180675506</c:v>
                </c:pt>
                <c:pt idx="89">
                  <c:v>319.43240060806198</c:v>
                </c:pt>
                <c:pt idx="90">
                  <c:v>321.599400138855</c:v>
                </c:pt>
                <c:pt idx="91">
                  <c:v>320.59776201248098</c:v>
                </c:pt>
                <c:pt idx="92">
                  <c:v>319.53155145645098</c:v>
                </c:pt>
                <c:pt idx="93">
                  <c:v>318.67121639251701</c:v>
                </c:pt>
                <c:pt idx="94">
                  <c:v>312.64865636825499</c:v>
                </c:pt>
                <c:pt idx="95">
                  <c:v>312.70539093017499</c:v>
                </c:pt>
                <c:pt idx="96">
                  <c:v>315.85856685638402</c:v>
                </c:pt>
                <c:pt idx="97">
                  <c:v>314.86571273803702</c:v>
                </c:pt>
                <c:pt idx="98">
                  <c:v>316.79809474945</c:v>
                </c:pt>
                <c:pt idx="99">
                  <c:v>319.45468940734798</c:v>
                </c:pt>
                <c:pt idx="100">
                  <c:v>319.30333328247002</c:v>
                </c:pt>
                <c:pt idx="101">
                  <c:v>319.193883705139</c:v>
                </c:pt>
                <c:pt idx="102">
                  <c:v>317.58566493988002</c:v>
                </c:pt>
                <c:pt idx="103">
                  <c:v>317.81428775787299</c:v>
                </c:pt>
                <c:pt idx="104">
                  <c:v>320.14242897033603</c:v>
                </c:pt>
                <c:pt idx="105">
                  <c:v>320.75231361389098</c:v>
                </c:pt>
                <c:pt idx="106">
                  <c:v>317.19530601501401</c:v>
                </c:pt>
                <c:pt idx="107">
                  <c:v>313.84922447204502</c:v>
                </c:pt>
                <c:pt idx="108">
                  <c:v>316.68531847000099</c:v>
                </c:pt>
                <c:pt idx="109">
                  <c:v>311.07617321014402</c:v>
                </c:pt>
                <c:pt idx="110">
                  <c:v>310.75010757446199</c:v>
                </c:pt>
                <c:pt idx="111">
                  <c:v>313.37766361236498</c:v>
                </c:pt>
                <c:pt idx="112">
                  <c:v>311.53655261993401</c:v>
                </c:pt>
                <c:pt idx="113">
                  <c:v>312.46142177581697</c:v>
                </c:pt>
                <c:pt idx="114">
                  <c:v>311.57953615188597</c:v>
                </c:pt>
                <c:pt idx="115">
                  <c:v>316.751605033874</c:v>
                </c:pt>
                <c:pt idx="116">
                  <c:v>317.03813409805298</c:v>
                </c:pt>
                <c:pt idx="117">
                  <c:v>316.03408975601099</c:v>
                </c:pt>
                <c:pt idx="118">
                  <c:v>317.26021652221601</c:v>
                </c:pt>
                <c:pt idx="119">
                  <c:v>319.626229286193</c:v>
                </c:pt>
                <c:pt idx="120">
                  <c:v>314.13341946601798</c:v>
                </c:pt>
                <c:pt idx="121">
                  <c:v>319.81292576789798</c:v>
                </c:pt>
                <c:pt idx="122">
                  <c:v>317.69225864410402</c:v>
                </c:pt>
                <c:pt idx="123">
                  <c:v>316.20363231301297</c:v>
                </c:pt>
                <c:pt idx="124">
                  <c:v>318.82881789207403</c:v>
                </c:pt>
                <c:pt idx="125">
                  <c:v>321.81589317321698</c:v>
                </c:pt>
                <c:pt idx="126">
                  <c:v>318.89777545928899</c:v>
                </c:pt>
                <c:pt idx="127">
                  <c:v>314.42066078186002</c:v>
                </c:pt>
                <c:pt idx="128">
                  <c:v>319.16921224594103</c:v>
                </c:pt>
                <c:pt idx="129">
                  <c:v>322.41539154052703</c:v>
                </c:pt>
                <c:pt idx="130">
                  <c:v>314.098417776823</c:v>
                </c:pt>
                <c:pt idx="131">
                  <c:v>312.51973168849901</c:v>
                </c:pt>
                <c:pt idx="132">
                  <c:v>313.284604477882</c:v>
                </c:pt>
                <c:pt idx="133">
                  <c:v>312.09022383689802</c:v>
                </c:pt>
                <c:pt idx="134">
                  <c:v>314.77482624650003</c:v>
                </c:pt>
                <c:pt idx="135">
                  <c:v>316.06086199283601</c:v>
                </c:pt>
                <c:pt idx="136">
                  <c:v>316.36880950927701</c:v>
                </c:pt>
                <c:pt idx="137">
                  <c:v>316.3830224514</c:v>
                </c:pt>
                <c:pt idx="138">
                  <c:v>319.74575114250098</c:v>
                </c:pt>
                <c:pt idx="139">
                  <c:v>322.41368498802098</c:v>
                </c:pt>
                <c:pt idx="140">
                  <c:v>318.74773817062299</c:v>
                </c:pt>
                <c:pt idx="141">
                  <c:v>317.08047866821198</c:v>
                </c:pt>
                <c:pt idx="142">
                  <c:v>318.04434852600099</c:v>
                </c:pt>
                <c:pt idx="143">
                  <c:v>320.53858766555697</c:v>
                </c:pt>
                <c:pt idx="144">
                  <c:v>318.99518594741801</c:v>
                </c:pt>
                <c:pt idx="145">
                  <c:v>320.13075780868502</c:v>
                </c:pt>
                <c:pt idx="146">
                  <c:v>318.70049362182601</c:v>
                </c:pt>
                <c:pt idx="147">
                  <c:v>318.65721111297597</c:v>
                </c:pt>
                <c:pt idx="148">
                  <c:v>319.74509954452498</c:v>
                </c:pt>
                <c:pt idx="149">
                  <c:v>317.35933256149201</c:v>
                </c:pt>
                <c:pt idx="150">
                  <c:v>317.36491260528499</c:v>
                </c:pt>
                <c:pt idx="151">
                  <c:v>317.28687210083001</c:v>
                </c:pt>
                <c:pt idx="152">
                  <c:v>321.68305187225297</c:v>
                </c:pt>
                <c:pt idx="153">
                  <c:v>324.38652591705301</c:v>
                </c:pt>
                <c:pt idx="154">
                  <c:v>325.44908504486</c:v>
                </c:pt>
                <c:pt idx="155">
                  <c:v>329.55144319534298</c:v>
                </c:pt>
                <c:pt idx="156">
                  <c:v>322.68843212127598</c:v>
                </c:pt>
                <c:pt idx="157">
                  <c:v>319.91854953765801</c:v>
                </c:pt>
                <c:pt idx="158">
                  <c:v>321.69452381133999</c:v>
                </c:pt>
                <c:pt idx="159">
                  <c:v>324.07646694183302</c:v>
                </c:pt>
                <c:pt idx="160">
                  <c:v>316.59754981994598</c:v>
                </c:pt>
                <c:pt idx="161">
                  <c:v>317.41416530609098</c:v>
                </c:pt>
                <c:pt idx="162">
                  <c:v>317.15957622527998</c:v>
                </c:pt>
                <c:pt idx="163">
                  <c:v>316.07273521423298</c:v>
                </c:pt>
                <c:pt idx="164">
                  <c:v>317.26419048309299</c:v>
                </c:pt>
                <c:pt idx="165">
                  <c:v>321.43785686492902</c:v>
                </c:pt>
                <c:pt idx="166">
                  <c:v>321.01249332427898</c:v>
                </c:pt>
                <c:pt idx="167">
                  <c:v>319.160856819152</c:v>
                </c:pt>
                <c:pt idx="168">
                  <c:v>318.052575874328</c:v>
                </c:pt>
                <c:pt idx="169">
                  <c:v>318.18348331451398</c:v>
                </c:pt>
                <c:pt idx="170">
                  <c:v>318.88307666778502</c:v>
                </c:pt>
                <c:pt idx="171">
                  <c:v>320.47174634933401</c:v>
                </c:pt>
                <c:pt idx="172">
                  <c:v>320.72814817428502</c:v>
                </c:pt>
                <c:pt idx="173">
                  <c:v>321.53660173416102</c:v>
                </c:pt>
                <c:pt idx="174">
                  <c:v>323.68549776077202</c:v>
                </c:pt>
                <c:pt idx="175">
                  <c:v>323.353430724144</c:v>
                </c:pt>
                <c:pt idx="176">
                  <c:v>324.64057719707398</c:v>
                </c:pt>
                <c:pt idx="177">
                  <c:v>325.68316028118102</c:v>
                </c:pt>
                <c:pt idx="178">
                  <c:v>324.77440800666801</c:v>
                </c:pt>
                <c:pt idx="179">
                  <c:v>321.83850903511001</c:v>
                </c:pt>
                <c:pt idx="180">
                  <c:v>322.16777887344301</c:v>
                </c:pt>
                <c:pt idx="181">
                  <c:v>322.97470462322201</c:v>
                </c:pt>
                <c:pt idx="182">
                  <c:v>324.79990215301501</c:v>
                </c:pt>
                <c:pt idx="183">
                  <c:v>324.89259276389998</c:v>
                </c:pt>
                <c:pt idx="184">
                  <c:v>326.55065016746499</c:v>
                </c:pt>
                <c:pt idx="185">
                  <c:v>323.690717220306</c:v>
                </c:pt>
                <c:pt idx="186">
                  <c:v>324.892127656936</c:v>
                </c:pt>
                <c:pt idx="187">
                  <c:v>322.67724261283797</c:v>
                </c:pt>
                <c:pt idx="188">
                  <c:v>326.54132180213901</c:v>
                </c:pt>
                <c:pt idx="189">
                  <c:v>323.32734451293902</c:v>
                </c:pt>
                <c:pt idx="190">
                  <c:v>315.74556946754399</c:v>
                </c:pt>
                <c:pt idx="191">
                  <c:v>315.54436421394303</c:v>
                </c:pt>
                <c:pt idx="192">
                  <c:v>314.77663798332202</c:v>
                </c:pt>
                <c:pt idx="193">
                  <c:v>312.252031517028</c:v>
                </c:pt>
                <c:pt idx="194">
                  <c:v>313.09939804077101</c:v>
                </c:pt>
                <c:pt idx="195">
                  <c:v>313.97891559600799</c:v>
                </c:pt>
                <c:pt idx="196">
                  <c:v>313.19338359832699</c:v>
                </c:pt>
                <c:pt idx="197">
                  <c:v>313.10292720794598</c:v>
                </c:pt>
                <c:pt idx="198">
                  <c:v>314.42199726104701</c:v>
                </c:pt>
                <c:pt idx="199">
                  <c:v>313.75541210174498</c:v>
                </c:pt>
                <c:pt idx="200">
                  <c:v>312.73568840026797</c:v>
                </c:pt>
                <c:pt idx="201">
                  <c:v>315.93022060394202</c:v>
                </c:pt>
                <c:pt idx="202">
                  <c:v>315.822084617614</c:v>
                </c:pt>
                <c:pt idx="203">
                  <c:v>315.11346492767302</c:v>
                </c:pt>
                <c:pt idx="204">
                  <c:v>314.18458080291703</c:v>
                </c:pt>
                <c:pt idx="205">
                  <c:v>313.409210777282</c:v>
                </c:pt>
                <c:pt idx="206">
                  <c:v>311.63560657501199</c:v>
                </c:pt>
                <c:pt idx="207">
                  <c:v>313.14499664306601</c:v>
                </c:pt>
                <c:pt idx="208">
                  <c:v>311.19668312072702</c:v>
                </c:pt>
                <c:pt idx="209">
                  <c:v>314.72643795013403</c:v>
                </c:pt>
                <c:pt idx="210">
                  <c:v>312.06969413757298</c:v>
                </c:pt>
                <c:pt idx="211">
                  <c:v>313.96697139739899</c:v>
                </c:pt>
                <c:pt idx="212">
                  <c:v>314.29016876220697</c:v>
                </c:pt>
                <c:pt idx="213">
                  <c:v>316.05917415618899</c:v>
                </c:pt>
                <c:pt idx="214">
                  <c:v>316.35766868591298</c:v>
                </c:pt>
                <c:pt idx="215">
                  <c:v>319.844845962524</c:v>
                </c:pt>
                <c:pt idx="216">
                  <c:v>324.934491157531</c:v>
                </c:pt>
                <c:pt idx="217">
                  <c:v>319.993256950378</c:v>
                </c:pt>
                <c:pt idx="218">
                  <c:v>325.39670486450098</c:v>
                </c:pt>
                <c:pt idx="219">
                  <c:v>325.87330331802298</c:v>
                </c:pt>
                <c:pt idx="220">
                  <c:v>319.25356426239</c:v>
                </c:pt>
                <c:pt idx="221">
                  <c:v>317.32322072982703</c:v>
                </c:pt>
                <c:pt idx="222">
                  <c:v>313.79929771423298</c:v>
                </c:pt>
                <c:pt idx="223">
                  <c:v>305.00428724288901</c:v>
                </c:pt>
                <c:pt idx="224">
                  <c:v>307.71755456924399</c:v>
                </c:pt>
                <c:pt idx="225">
                  <c:v>300.93142709732001</c:v>
                </c:pt>
                <c:pt idx="226">
                  <c:v>298.09294185638402</c:v>
                </c:pt>
                <c:pt idx="227">
                  <c:v>301.46326198577799</c:v>
                </c:pt>
                <c:pt idx="228">
                  <c:v>305.60295085906898</c:v>
                </c:pt>
                <c:pt idx="229">
                  <c:v>303.99460105895997</c:v>
                </c:pt>
                <c:pt idx="230">
                  <c:v>306.02714233398399</c:v>
                </c:pt>
                <c:pt idx="231">
                  <c:v>304.43992614746003</c:v>
                </c:pt>
                <c:pt idx="232">
                  <c:v>304.58996629714898</c:v>
                </c:pt>
                <c:pt idx="233">
                  <c:v>306.22572641372602</c:v>
                </c:pt>
                <c:pt idx="234">
                  <c:v>310.85870478153203</c:v>
                </c:pt>
                <c:pt idx="235">
                  <c:v>307.95263118743799</c:v>
                </c:pt>
                <c:pt idx="236">
                  <c:v>306.49733600616401</c:v>
                </c:pt>
                <c:pt idx="237">
                  <c:v>306.08508491516102</c:v>
                </c:pt>
                <c:pt idx="238">
                  <c:v>314.411499691009</c:v>
                </c:pt>
                <c:pt idx="239">
                  <c:v>312.81270245909599</c:v>
                </c:pt>
                <c:pt idx="240">
                  <c:v>306.35082199573498</c:v>
                </c:pt>
                <c:pt idx="241">
                  <c:v>300.07343730926499</c:v>
                </c:pt>
                <c:pt idx="242">
                  <c:v>299.85473804473799</c:v>
                </c:pt>
                <c:pt idx="243">
                  <c:v>306.69615216255102</c:v>
                </c:pt>
                <c:pt idx="244">
                  <c:v>314.19959042072298</c:v>
                </c:pt>
                <c:pt idx="245">
                  <c:v>313.29610047340299</c:v>
                </c:pt>
                <c:pt idx="246">
                  <c:v>311.92202053070002</c:v>
                </c:pt>
                <c:pt idx="247">
                  <c:v>312.91158199310303</c:v>
                </c:pt>
                <c:pt idx="248">
                  <c:v>316.84115533828702</c:v>
                </c:pt>
                <c:pt idx="249">
                  <c:v>315.56932649612401</c:v>
                </c:pt>
                <c:pt idx="250">
                  <c:v>313.99656772613503</c:v>
                </c:pt>
                <c:pt idx="251">
                  <c:v>317.16346464157101</c:v>
                </c:pt>
                <c:pt idx="252">
                  <c:v>312.15946559906001</c:v>
                </c:pt>
                <c:pt idx="253">
                  <c:v>316.49779329299901</c:v>
                </c:pt>
                <c:pt idx="254">
                  <c:v>320.786079502105</c:v>
                </c:pt>
                <c:pt idx="255">
                  <c:v>319.104009151458</c:v>
                </c:pt>
                <c:pt idx="256">
                  <c:v>315.16861820220902</c:v>
                </c:pt>
                <c:pt idx="257">
                  <c:v>311.27206482887198</c:v>
                </c:pt>
                <c:pt idx="258">
                  <c:v>315.80856742858799</c:v>
                </c:pt>
                <c:pt idx="259">
                  <c:v>314.30946360230399</c:v>
                </c:pt>
                <c:pt idx="260">
                  <c:v>312.07599835395803</c:v>
                </c:pt>
                <c:pt idx="261">
                  <c:v>306.07396287917999</c:v>
                </c:pt>
                <c:pt idx="262">
                  <c:v>307.16675310134798</c:v>
                </c:pt>
                <c:pt idx="263">
                  <c:v>308.671488571167</c:v>
                </c:pt>
                <c:pt idx="264">
                  <c:v>306.494513702392</c:v>
                </c:pt>
                <c:pt idx="265">
                  <c:v>318.07962532043399</c:v>
                </c:pt>
                <c:pt idx="266">
                  <c:v>316.14890141487098</c:v>
                </c:pt>
                <c:pt idx="267">
                  <c:v>318.52746267318702</c:v>
                </c:pt>
                <c:pt idx="268">
                  <c:v>317.63777227401698</c:v>
                </c:pt>
                <c:pt idx="269">
                  <c:v>318.10958051681502</c:v>
                </c:pt>
                <c:pt idx="270">
                  <c:v>317.31497616767803</c:v>
                </c:pt>
                <c:pt idx="271">
                  <c:v>313.67320423126199</c:v>
                </c:pt>
                <c:pt idx="272">
                  <c:v>317.01470818519499</c:v>
                </c:pt>
                <c:pt idx="273">
                  <c:v>317.91086206436103</c:v>
                </c:pt>
                <c:pt idx="274">
                  <c:v>313.666935443878</c:v>
                </c:pt>
                <c:pt idx="275">
                  <c:v>315.67735233306797</c:v>
                </c:pt>
                <c:pt idx="276">
                  <c:v>318.41922852993002</c:v>
                </c:pt>
                <c:pt idx="277">
                  <c:v>319.45972070693898</c:v>
                </c:pt>
                <c:pt idx="278">
                  <c:v>315.59201211929297</c:v>
                </c:pt>
                <c:pt idx="279">
                  <c:v>320.99362583160399</c:v>
                </c:pt>
                <c:pt idx="280">
                  <c:v>324.490449810028</c:v>
                </c:pt>
                <c:pt idx="281">
                  <c:v>318.15130248069698</c:v>
                </c:pt>
                <c:pt idx="282">
                  <c:v>317.03089227676298</c:v>
                </c:pt>
                <c:pt idx="283">
                  <c:v>315.75555968284601</c:v>
                </c:pt>
                <c:pt idx="284">
                  <c:v>313.13033342361399</c:v>
                </c:pt>
                <c:pt idx="285">
                  <c:v>313.26177139282203</c:v>
                </c:pt>
                <c:pt idx="286">
                  <c:v>312.22676582336402</c:v>
                </c:pt>
                <c:pt idx="287">
                  <c:v>308.636623191833</c:v>
                </c:pt>
                <c:pt idx="288">
                  <c:v>307.75262861251798</c:v>
                </c:pt>
                <c:pt idx="289">
                  <c:v>315.19881782531701</c:v>
                </c:pt>
                <c:pt idx="290">
                  <c:v>310.29491319656302</c:v>
                </c:pt>
                <c:pt idx="291">
                  <c:v>309.93794355392401</c:v>
                </c:pt>
                <c:pt idx="292">
                  <c:v>306.52091264724697</c:v>
                </c:pt>
                <c:pt idx="293">
                  <c:v>308.44361391067503</c:v>
                </c:pt>
                <c:pt idx="294">
                  <c:v>309.43391146659798</c:v>
                </c:pt>
                <c:pt idx="295">
                  <c:v>308.56069421768098</c:v>
                </c:pt>
                <c:pt idx="296">
                  <c:v>308.24667797088603</c:v>
                </c:pt>
                <c:pt idx="297">
                  <c:v>305.72207698822001</c:v>
                </c:pt>
                <c:pt idx="298">
                  <c:v>305.62752285003597</c:v>
                </c:pt>
                <c:pt idx="299">
                  <c:v>313.98345665931703</c:v>
                </c:pt>
                <c:pt idx="300">
                  <c:v>310.112924861907</c:v>
                </c:pt>
                <c:pt idx="301">
                  <c:v>313.025929546356</c:v>
                </c:pt>
                <c:pt idx="302">
                  <c:v>312.62777199745102</c:v>
                </c:pt>
                <c:pt idx="303">
                  <c:v>310.30481104850702</c:v>
                </c:pt>
                <c:pt idx="304">
                  <c:v>307.34172191619803</c:v>
                </c:pt>
                <c:pt idx="305">
                  <c:v>310.67944266796098</c:v>
                </c:pt>
                <c:pt idx="306">
                  <c:v>312.34570755958498</c:v>
                </c:pt>
                <c:pt idx="307">
                  <c:v>309.657676696777</c:v>
                </c:pt>
                <c:pt idx="308">
                  <c:v>310.87485551834101</c:v>
                </c:pt>
                <c:pt idx="309">
                  <c:v>316.30382153987802</c:v>
                </c:pt>
                <c:pt idx="310">
                  <c:v>319.27194433212202</c:v>
                </c:pt>
                <c:pt idx="311">
                  <c:v>317.56295313835102</c:v>
                </c:pt>
                <c:pt idx="312">
                  <c:v>321.208650970458</c:v>
                </c:pt>
                <c:pt idx="313">
                  <c:v>322.14217176437302</c:v>
                </c:pt>
                <c:pt idx="314">
                  <c:v>314.56206693649199</c:v>
                </c:pt>
                <c:pt idx="315">
                  <c:v>315.78094072341901</c:v>
                </c:pt>
                <c:pt idx="316">
                  <c:v>314.42727622985802</c:v>
                </c:pt>
                <c:pt idx="317">
                  <c:v>312.77485332488999</c:v>
                </c:pt>
                <c:pt idx="318">
                  <c:v>314.344689559936</c:v>
                </c:pt>
                <c:pt idx="319">
                  <c:v>312.85192775726301</c:v>
                </c:pt>
              </c:numCache>
            </c:numRef>
          </c:val>
          <c:smooth val="0"/>
        </c:ser>
        <c:ser>
          <c:idx val="3"/>
          <c:order val="1"/>
          <c:tx>
            <c:v>real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vdiff_ensemble_20_10_20_0.001_2!$D$2:$D$321</c:f>
              <c:numCache>
                <c:formatCode>General</c:formatCode>
                <c:ptCount val="320"/>
                <c:pt idx="0">
                  <c:v>287.79999980926499</c:v>
                </c:pt>
                <c:pt idx="1">
                  <c:v>287.80000009536701</c:v>
                </c:pt>
                <c:pt idx="2">
                  <c:v>290.04999980926499</c:v>
                </c:pt>
                <c:pt idx="3">
                  <c:v>290.04999980926499</c:v>
                </c:pt>
                <c:pt idx="4">
                  <c:v>292.75000038146902</c:v>
                </c:pt>
                <c:pt idx="5">
                  <c:v>292.75</c:v>
                </c:pt>
                <c:pt idx="6">
                  <c:v>300.69999923706001</c:v>
                </c:pt>
                <c:pt idx="7">
                  <c:v>300.69999923706001</c:v>
                </c:pt>
                <c:pt idx="8">
                  <c:v>296.45</c:v>
                </c:pt>
                <c:pt idx="9">
                  <c:v>300.10000076293898</c:v>
                </c:pt>
                <c:pt idx="10">
                  <c:v>298.65000076293899</c:v>
                </c:pt>
                <c:pt idx="11">
                  <c:v>299.64999999999998</c:v>
                </c:pt>
                <c:pt idx="12">
                  <c:v>299.24999961853001</c:v>
                </c:pt>
                <c:pt idx="13">
                  <c:v>299.49999961853001</c:v>
                </c:pt>
                <c:pt idx="14">
                  <c:v>298.64999961852999</c:v>
                </c:pt>
                <c:pt idx="15">
                  <c:v>298.24999923706002</c:v>
                </c:pt>
                <c:pt idx="16">
                  <c:v>300.60000000000002</c:v>
                </c:pt>
                <c:pt idx="17">
                  <c:v>301.05000038146898</c:v>
                </c:pt>
                <c:pt idx="18">
                  <c:v>301.89999980926501</c:v>
                </c:pt>
                <c:pt idx="19">
                  <c:v>305.49999961853001</c:v>
                </c:pt>
                <c:pt idx="20">
                  <c:v>307.34999923705999</c:v>
                </c:pt>
                <c:pt idx="21">
                  <c:v>306.8</c:v>
                </c:pt>
                <c:pt idx="22">
                  <c:v>304.35000019073402</c:v>
                </c:pt>
                <c:pt idx="23">
                  <c:v>305.05</c:v>
                </c:pt>
                <c:pt idx="24">
                  <c:v>304.14999961852999</c:v>
                </c:pt>
                <c:pt idx="25">
                  <c:v>307.75</c:v>
                </c:pt>
                <c:pt idx="26">
                  <c:v>307.60000009536702</c:v>
                </c:pt>
                <c:pt idx="27">
                  <c:v>307.60000009536702</c:v>
                </c:pt>
                <c:pt idx="28">
                  <c:v>305.39999980926501</c:v>
                </c:pt>
                <c:pt idx="29">
                  <c:v>306.65000019073398</c:v>
                </c:pt>
                <c:pt idx="30">
                  <c:v>308.54999961853002</c:v>
                </c:pt>
                <c:pt idx="31">
                  <c:v>305.30000009536701</c:v>
                </c:pt>
                <c:pt idx="32">
                  <c:v>307.05000019073401</c:v>
                </c:pt>
                <c:pt idx="33">
                  <c:v>307.40000009536698</c:v>
                </c:pt>
                <c:pt idx="34">
                  <c:v>305.64999999999998</c:v>
                </c:pt>
                <c:pt idx="35">
                  <c:v>306</c:v>
                </c:pt>
                <c:pt idx="36">
                  <c:v>307.79999980926499</c:v>
                </c:pt>
                <c:pt idx="37">
                  <c:v>308.10000019073402</c:v>
                </c:pt>
                <c:pt idx="38">
                  <c:v>306.80000009536701</c:v>
                </c:pt>
                <c:pt idx="39">
                  <c:v>308.549999952316</c:v>
                </c:pt>
                <c:pt idx="40">
                  <c:v>309.24999997615799</c:v>
                </c:pt>
                <c:pt idx="41">
                  <c:v>310.55</c:v>
                </c:pt>
                <c:pt idx="42">
                  <c:v>311.10000000000002</c:v>
                </c:pt>
                <c:pt idx="43">
                  <c:v>310.24999980926498</c:v>
                </c:pt>
                <c:pt idx="44">
                  <c:v>312.349999809265</c:v>
                </c:pt>
                <c:pt idx="45">
                  <c:v>311.549999952316</c:v>
                </c:pt>
                <c:pt idx="46">
                  <c:v>311.94999990463202</c:v>
                </c:pt>
                <c:pt idx="47">
                  <c:v>309.64999995231602</c:v>
                </c:pt>
                <c:pt idx="48">
                  <c:v>311.099999809265</c:v>
                </c:pt>
                <c:pt idx="49">
                  <c:v>311.099999809265</c:v>
                </c:pt>
                <c:pt idx="50">
                  <c:v>310.25000004768299</c:v>
                </c:pt>
                <c:pt idx="51">
                  <c:v>310.8</c:v>
                </c:pt>
                <c:pt idx="52">
                  <c:v>312.70000009536699</c:v>
                </c:pt>
                <c:pt idx="53">
                  <c:v>312.599999809265</c:v>
                </c:pt>
                <c:pt idx="54">
                  <c:v>316.54999961853002</c:v>
                </c:pt>
                <c:pt idx="55">
                  <c:v>316.69999980926502</c:v>
                </c:pt>
                <c:pt idx="56">
                  <c:v>317.49999980926498</c:v>
                </c:pt>
                <c:pt idx="57">
                  <c:v>318.04999980926499</c:v>
                </c:pt>
                <c:pt idx="58">
                  <c:v>318.69999961853</c:v>
                </c:pt>
                <c:pt idx="59">
                  <c:v>319.60000019073402</c:v>
                </c:pt>
                <c:pt idx="60">
                  <c:v>321.10000038146899</c:v>
                </c:pt>
                <c:pt idx="61">
                  <c:v>321.24999980926498</c:v>
                </c:pt>
                <c:pt idx="62">
                  <c:v>319.65000019073398</c:v>
                </c:pt>
                <c:pt idx="63">
                  <c:v>318.94999980926502</c:v>
                </c:pt>
                <c:pt idx="64">
                  <c:v>319.85000000000002</c:v>
                </c:pt>
                <c:pt idx="65">
                  <c:v>312.55</c:v>
                </c:pt>
                <c:pt idx="66">
                  <c:v>313.55000002384099</c:v>
                </c:pt>
                <c:pt idx="67">
                  <c:v>316.55000009536701</c:v>
                </c:pt>
                <c:pt idx="68">
                  <c:v>317.15000019073398</c:v>
                </c:pt>
                <c:pt idx="69">
                  <c:v>311.65000001191999</c:v>
                </c:pt>
                <c:pt idx="70">
                  <c:v>312.849999904632</c:v>
                </c:pt>
                <c:pt idx="71">
                  <c:v>312.89999990463201</c:v>
                </c:pt>
                <c:pt idx="72">
                  <c:v>312.85000000596</c:v>
                </c:pt>
                <c:pt idx="73">
                  <c:v>308.64999995231602</c:v>
                </c:pt>
                <c:pt idx="74">
                  <c:v>307.24999980926498</c:v>
                </c:pt>
                <c:pt idx="75">
                  <c:v>301.500000190734</c:v>
                </c:pt>
                <c:pt idx="76">
                  <c:v>304.60000038146899</c:v>
                </c:pt>
                <c:pt idx="77">
                  <c:v>304.60000019073402</c:v>
                </c:pt>
                <c:pt idx="78">
                  <c:v>306.250000190734</c:v>
                </c:pt>
                <c:pt idx="79">
                  <c:v>307.90000019073398</c:v>
                </c:pt>
                <c:pt idx="80">
                  <c:v>307.74999961853001</c:v>
                </c:pt>
                <c:pt idx="81">
                  <c:v>307.05000019073401</c:v>
                </c:pt>
                <c:pt idx="82">
                  <c:v>308.70000019073399</c:v>
                </c:pt>
                <c:pt idx="83">
                  <c:v>308.59999961852998</c:v>
                </c:pt>
                <c:pt idx="84">
                  <c:v>310.10000000000002</c:v>
                </c:pt>
                <c:pt idx="85">
                  <c:v>310.25000004768299</c:v>
                </c:pt>
                <c:pt idx="86">
                  <c:v>308.20000009536699</c:v>
                </c:pt>
                <c:pt idx="87">
                  <c:v>307.150000381469</c:v>
                </c:pt>
                <c:pt idx="88">
                  <c:v>309.00000038146902</c:v>
                </c:pt>
                <c:pt idx="89">
                  <c:v>306.64999999999998</c:v>
                </c:pt>
                <c:pt idx="90">
                  <c:v>306.29999980926499</c:v>
                </c:pt>
                <c:pt idx="91">
                  <c:v>303.50000038146902</c:v>
                </c:pt>
                <c:pt idx="92">
                  <c:v>302.70000038146901</c:v>
                </c:pt>
                <c:pt idx="93">
                  <c:v>302.30000009536701</c:v>
                </c:pt>
                <c:pt idx="94">
                  <c:v>306.20000004768298</c:v>
                </c:pt>
                <c:pt idx="95">
                  <c:v>306.25</c:v>
                </c:pt>
                <c:pt idx="96">
                  <c:v>309.250000095367</c:v>
                </c:pt>
                <c:pt idx="97">
                  <c:v>309.19999990463202</c:v>
                </c:pt>
                <c:pt idx="98">
                  <c:v>308.549999952316</c:v>
                </c:pt>
                <c:pt idx="99">
                  <c:v>310.24999990463198</c:v>
                </c:pt>
                <c:pt idx="100">
                  <c:v>311.20000004768298</c:v>
                </c:pt>
                <c:pt idx="101">
                  <c:v>316.69999961853</c:v>
                </c:pt>
                <c:pt idx="102">
                  <c:v>316.04999990463199</c:v>
                </c:pt>
                <c:pt idx="103">
                  <c:v>315.79999980926499</c:v>
                </c:pt>
                <c:pt idx="104">
                  <c:v>316.04999980926499</c:v>
                </c:pt>
                <c:pt idx="105">
                  <c:v>313.75</c:v>
                </c:pt>
                <c:pt idx="106">
                  <c:v>313.79999990463199</c:v>
                </c:pt>
                <c:pt idx="107">
                  <c:v>311.80000009536701</c:v>
                </c:pt>
                <c:pt idx="108">
                  <c:v>311.40000009536698</c:v>
                </c:pt>
                <c:pt idx="109">
                  <c:v>311.599999809265</c:v>
                </c:pt>
                <c:pt idx="110">
                  <c:v>314.3</c:v>
                </c:pt>
                <c:pt idx="111">
                  <c:v>314.30000019073401</c:v>
                </c:pt>
                <c:pt idx="112">
                  <c:v>314.30000038146898</c:v>
                </c:pt>
                <c:pt idx="113">
                  <c:v>314.3</c:v>
                </c:pt>
                <c:pt idx="114">
                  <c:v>314.30000038146898</c:v>
                </c:pt>
                <c:pt idx="115">
                  <c:v>314.30000019073401</c:v>
                </c:pt>
                <c:pt idx="116">
                  <c:v>314.30000019073401</c:v>
                </c:pt>
                <c:pt idx="117">
                  <c:v>320.14999980926501</c:v>
                </c:pt>
                <c:pt idx="118">
                  <c:v>323.24999980926498</c:v>
                </c:pt>
                <c:pt idx="119">
                  <c:v>325.64999961852999</c:v>
                </c:pt>
                <c:pt idx="120">
                  <c:v>325.30000038146898</c:v>
                </c:pt>
                <c:pt idx="121">
                  <c:v>325.500000190734</c:v>
                </c:pt>
                <c:pt idx="122">
                  <c:v>325.8</c:v>
                </c:pt>
                <c:pt idx="123">
                  <c:v>325.85000019073402</c:v>
                </c:pt>
                <c:pt idx="124">
                  <c:v>324.10000019073402</c:v>
                </c:pt>
                <c:pt idx="125">
                  <c:v>326.25</c:v>
                </c:pt>
                <c:pt idx="126">
                  <c:v>327.05</c:v>
                </c:pt>
                <c:pt idx="127">
                  <c:v>326.55</c:v>
                </c:pt>
                <c:pt idx="128">
                  <c:v>326.75000038146902</c:v>
                </c:pt>
                <c:pt idx="129">
                  <c:v>323.74999961853001</c:v>
                </c:pt>
                <c:pt idx="130">
                  <c:v>326.85000019073402</c:v>
                </c:pt>
                <c:pt idx="131">
                  <c:v>327.44999961853</c:v>
                </c:pt>
                <c:pt idx="132">
                  <c:v>331.05</c:v>
                </c:pt>
                <c:pt idx="133">
                  <c:v>336.55</c:v>
                </c:pt>
                <c:pt idx="134">
                  <c:v>335.05</c:v>
                </c:pt>
                <c:pt idx="135">
                  <c:v>336.34999923705999</c:v>
                </c:pt>
                <c:pt idx="136">
                  <c:v>334.150000381469</c:v>
                </c:pt>
                <c:pt idx="137">
                  <c:v>333.75000038146902</c:v>
                </c:pt>
                <c:pt idx="138">
                  <c:v>335.25</c:v>
                </c:pt>
                <c:pt idx="139">
                  <c:v>333.65</c:v>
                </c:pt>
                <c:pt idx="140">
                  <c:v>332.89999990463201</c:v>
                </c:pt>
                <c:pt idx="141">
                  <c:v>331.55000019073401</c:v>
                </c:pt>
                <c:pt idx="142">
                  <c:v>331.3</c:v>
                </c:pt>
                <c:pt idx="143">
                  <c:v>329.14999995231602</c:v>
                </c:pt>
                <c:pt idx="144">
                  <c:v>331.29999980926499</c:v>
                </c:pt>
                <c:pt idx="145">
                  <c:v>330.94999980926502</c:v>
                </c:pt>
                <c:pt idx="146">
                  <c:v>329.45000009536699</c:v>
                </c:pt>
                <c:pt idx="147">
                  <c:v>330.85000019073402</c:v>
                </c:pt>
                <c:pt idx="148">
                  <c:v>332.55000019073401</c:v>
                </c:pt>
                <c:pt idx="149">
                  <c:v>331.44999980926502</c:v>
                </c:pt>
                <c:pt idx="150">
                  <c:v>332.250000095367</c:v>
                </c:pt>
                <c:pt idx="151">
                  <c:v>325.90000004768302</c:v>
                </c:pt>
                <c:pt idx="152">
                  <c:v>327.70000009536699</c:v>
                </c:pt>
                <c:pt idx="153">
                  <c:v>327.69999961853</c:v>
                </c:pt>
                <c:pt idx="154">
                  <c:v>322.24999980926498</c:v>
                </c:pt>
                <c:pt idx="155">
                  <c:v>321.85000000000002</c:v>
                </c:pt>
                <c:pt idx="156">
                  <c:v>325.00000038146902</c:v>
                </c:pt>
                <c:pt idx="157">
                  <c:v>326.599999904632</c:v>
                </c:pt>
                <c:pt idx="158">
                  <c:v>321.64999961852999</c:v>
                </c:pt>
                <c:pt idx="159">
                  <c:v>320.70000019073399</c:v>
                </c:pt>
                <c:pt idx="160">
                  <c:v>321.39999999999998</c:v>
                </c:pt>
                <c:pt idx="161">
                  <c:v>321.49999980926498</c:v>
                </c:pt>
                <c:pt idx="162">
                  <c:v>320.44999961853</c:v>
                </c:pt>
                <c:pt idx="163">
                  <c:v>322.849999809265</c:v>
                </c:pt>
                <c:pt idx="164">
                  <c:v>324.3</c:v>
                </c:pt>
                <c:pt idx="165">
                  <c:v>322.750000190734</c:v>
                </c:pt>
                <c:pt idx="166">
                  <c:v>324.14999980926501</c:v>
                </c:pt>
                <c:pt idx="167">
                  <c:v>323.85000000000002</c:v>
                </c:pt>
                <c:pt idx="168">
                  <c:v>323.55</c:v>
                </c:pt>
                <c:pt idx="169">
                  <c:v>316.84999961852998</c:v>
                </c:pt>
                <c:pt idx="170">
                  <c:v>318.5</c:v>
                </c:pt>
                <c:pt idx="171">
                  <c:v>318.49999990463198</c:v>
                </c:pt>
                <c:pt idx="172">
                  <c:v>317.45</c:v>
                </c:pt>
                <c:pt idx="173">
                  <c:v>321.2</c:v>
                </c:pt>
                <c:pt idx="174">
                  <c:v>325.65000009536698</c:v>
                </c:pt>
                <c:pt idx="175">
                  <c:v>325.64999995231602</c:v>
                </c:pt>
                <c:pt idx="176">
                  <c:v>325.64999997615803</c:v>
                </c:pt>
                <c:pt idx="177">
                  <c:v>326.499999998509</c:v>
                </c:pt>
                <c:pt idx="178">
                  <c:v>327.70000019073399</c:v>
                </c:pt>
                <c:pt idx="179">
                  <c:v>325.000000190734</c:v>
                </c:pt>
                <c:pt idx="180">
                  <c:v>328.95000019073399</c:v>
                </c:pt>
                <c:pt idx="181">
                  <c:v>331.25</c:v>
                </c:pt>
                <c:pt idx="182">
                  <c:v>330.45</c:v>
                </c:pt>
                <c:pt idx="183">
                  <c:v>327.85</c:v>
                </c:pt>
                <c:pt idx="184">
                  <c:v>326.50000004768299</c:v>
                </c:pt>
                <c:pt idx="185">
                  <c:v>326.849999904632</c:v>
                </c:pt>
                <c:pt idx="186">
                  <c:v>327.30000009536701</c:v>
                </c:pt>
                <c:pt idx="187">
                  <c:v>330.500000095367</c:v>
                </c:pt>
                <c:pt idx="188">
                  <c:v>329.20000009536699</c:v>
                </c:pt>
                <c:pt idx="189">
                  <c:v>329.40000019073398</c:v>
                </c:pt>
                <c:pt idx="190">
                  <c:v>329.60000038146899</c:v>
                </c:pt>
                <c:pt idx="191">
                  <c:v>326.25</c:v>
                </c:pt>
                <c:pt idx="192">
                  <c:v>331.250000190734</c:v>
                </c:pt>
                <c:pt idx="193">
                  <c:v>331.59999961852998</c:v>
                </c:pt>
                <c:pt idx="194">
                  <c:v>334.29999961853002</c:v>
                </c:pt>
                <c:pt idx="195">
                  <c:v>335.95000019073399</c:v>
                </c:pt>
                <c:pt idx="196">
                  <c:v>338.50000038146902</c:v>
                </c:pt>
                <c:pt idx="197">
                  <c:v>333.90000009536698</c:v>
                </c:pt>
                <c:pt idx="198">
                  <c:v>334.45</c:v>
                </c:pt>
                <c:pt idx="199">
                  <c:v>333.64999961852999</c:v>
                </c:pt>
                <c:pt idx="200">
                  <c:v>327.40000004768302</c:v>
                </c:pt>
                <c:pt idx="201">
                  <c:v>323</c:v>
                </c:pt>
                <c:pt idx="202">
                  <c:v>317.64999980926501</c:v>
                </c:pt>
                <c:pt idx="203">
                  <c:v>309.49999961853001</c:v>
                </c:pt>
                <c:pt idx="204">
                  <c:v>312.5</c:v>
                </c:pt>
                <c:pt idx="205">
                  <c:v>303.85000000000002</c:v>
                </c:pt>
                <c:pt idx="206">
                  <c:v>308.09999923705999</c:v>
                </c:pt>
                <c:pt idx="207">
                  <c:v>311.39999961852999</c:v>
                </c:pt>
                <c:pt idx="208">
                  <c:v>314.30000038146898</c:v>
                </c:pt>
                <c:pt idx="209">
                  <c:v>314.29999961853002</c:v>
                </c:pt>
                <c:pt idx="210">
                  <c:v>314.29999980926499</c:v>
                </c:pt>
                <c:pt idx="211">
                  <c:v>316.25</c:v>
                </c:pt>
                <c:pt idx="212">
                  <c:v>312</c:v>
                </c:pt>
                <c:pt idx="213">
                  <c:v>314.05000076293902</c:v>
                </c:pt>
                <c:pt idx="214">
                  <c:v>311.84999923705999</c:v>
                </c:pt>
                <c:pt idx="215">
                  <c:v>316.95</c:v>
                </c:pt>
                <c:pt idx="216">
                  <c:v>317.10000038146899</c:v>
                </c:pt>
                <c:pt idx="217">
                  <c:v>315.75000038146902</c:v>
                </c:pt>
                <c:pt idx="218">
                  <c:v>312.45</c:v>
                </c:pt>
                <c:pt idx="219">
                  <c:v>312.44999923706001</c:v>
                </c:pt>
                <c:pt idx="220">
                  <c:v>308.14999999999998</c:v>
                </c:pt>
                <c:pt idx="221">
                  <c:v>303.85000038146899</c:v>
                </c:pt>
                <c:pt idx="222">
                  <c:v>310.30000009536701</c:v>
                </c:pt>
                <c:pt idx="223">
                  <c:v>310.44999998807901</c:v>
                </c:pt>
                <c:pt idx="224">
                  <c:v>313.60000002384101</c:v>
                </c:pt>
                <c:pt idx="225">
                  <c:v>317.10000000000002</c:v>
                </c:pt>
                <c:pt idx="226">
                  <c:v>320.10000000000002</c:v>
                </c:pt>
                <c:pt idx="227">
                  <c:v>321.50000038146902</c:v>
                </c:pt>
                <c:pt idx="228">
                  <c:v>321.55</c:v>
                </c:pt>
                <c:pt idx="229">
                  <c:v>322.85000019073402</c:v>
                </c:pt>
                <c:pt idx="230">
                  <c:v>321.99999980926498</c:v>
                </c:pt>
                <c:pt idx="231">
                  <c:v>319.849999904632</c:v>
                </c:pt>
                <c:pt idx="232">
                  <c:v>321.30000019073401</c:v>
                </c:pt>
                <c:pt idx="233">
                  <c:v>321.60000019073402</c:v>
                </c:pt>
                <c:pt idx="234">
                  <c:v>322.10000000000002</c:v>
                </c:pt>
                <c:pt idx="235">
                  <c:v>311.500000190734</c:v>
                </c:pt>
                <c:pt idx="236">
                  <c:v>314.500000095367</c:v>
                </c:pt>
                <c:pt idx="237">
                  <c:v>315.14999997615803</c:v>
                </c:pt>
                <c:pt idx="238">
                  <c:v>310.65000004768302</c:v>
                </c:pt>
                <c:pt idx="239">
                  <c:v>314.45</c:v>
                </c:pt>
                <c:pt idx="240">
                  <c:v>314.55000009536701</c:v>
                </c:pt>
                <c:pt idx="241">
                  <c:v>313.45000038146901</c:v>
                </c:pt>
                <c:pt idx="242">
                  <c:v>312.8</c:v>
                </c:pt>
                <c:pt idx="243">
                  <c:v>307.54999990463199</c:v>
                </c:pt>
                <c:pt idx="244">
                  <c:v>312.95000002384103</c:v>
                </c:pt>
                <c:pt idx="245">
                  <c:v>311.19999990463202</c:v>
                </c:pt>
                <c:pt idx="246">
                  <c:v>312.94999990463202</c:v>
                </c:pt>
                <c:pt idx="247">
                  <c:v>313.44999980926502</c:v>
                </c:pt>
                <c:pt idx="248">
                  <c:v>312.44999961853</c:v>
                </c:pt>
                <c:pt idx="249">
                  <c:v>311.74999961853001</c:v>
                </c:pt>
                <c:pt idx="250">
                  <c:v>314.44999980926502</c:v>
                </c:pt>
                <c:pt idx="251">
                  <c:v>314.29999980926499</c:v>
                </c:pt>
                <c:pt idx="252">
                  <c:v>314.39999990463201</c:v>
                </c:pt>
                <c:pt idx="253">
                  <c:v>317.60000000000002</c:v>
                </c:pt>
                <c:pt idx="254">
                  <c:v>319.000000095367</c:v>
                </c:pt>
                <c:pt idx="255">
                  <c:v>316.90000009536698</c:v>
                </c:pt>
                <c:pt idx="256">
                  <c:v>317.099999904632</c:v>
                </c:pt>
                <c:pt idx="257">
                  <c:v>315.35000000297998</c:v>
                </c:pt>
                <c:pt idx="258">
                  <c:v>312.94999995231598</c:v>
                </c:pt>
                <c:pt idx="259">
                  <c:v>317.45</c:v>
                </c:pt>
                <c:pt idx="260">
                  <c:v>320.14999990463201</c:v>
                </c:pt>
                <c:pt idx="261">
                  <c:v>321.64999980926501</c:v>
                </c:pt>
                <c:pt idx="262">
                  <c:v>321.650000381469</c:v>
                </c:pt>
                <c:pt idx="263">
                  <c:v>319.74999980926498</c:v>
                </c:pt>
                <c:pt idx="264">
                  <c:v>318.000000190734</c:v>
                </c:pt>
                <c:pt idx="265">
                  <c:v>316.45</c:v>
                </c:pt>
                <c:pt idx="266">
                  <c:v>316.45</c:v>
                </c:pt>
                <c:pt idx="267">
                  <c:v>314.05000002384099</c:v>
                </c:pt>
                <c:pt idx="268">
                  <c:v>314.05000002384099</c:v>
                </c:pt>
                <c:pt idx="269">
                  <c:v>315.849999904632</c:v>
                </c:pt>
                <c:pt idx="270">
                  <c:v>317.65000004768302</c:v>
                </c:pt>
                <c:pt idx="271">
                  <c:v>316.84999995231601</c:v>
                </c:pt>
                <c:pt idx="272">
                  <c:v>313.75000002384098</c:v>
                </c:pt>
                <c:pt idx="273">
                  <c:v>314.89999995231602</c:v>
                </c:pt>
                <c:pt idx="274">
                  <c:v>313.40000009536698</c:v>
                </c:pt>
                <c:pt idx="275">
                  <c:v>314.74999990463198</c:v>
                </c:pt>
                <c:pt idx="276">
                  <c:v>315.10000000000002</c:v>
                </c:pt>
                <c:pt idx="277">
                  <c:v>315.10000000000002</c:v>
                </c:pt>
                <c:pt idx="278">
                  <c:v>317.14999980926501</c:v>
                </c:pt>
                <c:pt idx="279">
                  <c:v>316.55000002384099</c:v>
                </c:pt>
                <c:pt idx="280">
                  <c:v>317.30000009536701</c:v>
                </c:pt>
                <c:pt idx="281">
                  <c:v>318.10000004768301</c:v>
                </c:pt>
                <c:pt idx="282">
                  <c:v>314.89999999999998</c:v>
                </c:pt>
                <c:pt idx="283">
                  <c:v>307.55000019073401</c:v>
                </c:pt>
                <c:pt idx="284">
                  <c:v>309.14999961852999</c:v>
                </c:pt>
                <c:pt idx="285">
                  <c:v>311.39999980926501</c:v>
                </c:pt>
                <c:pt idx="286">
                  <c:v>313.15000004768302</c:v>
                </c:pt>
                <c:pt idx="287">
                  <c:v>313.74999998807903</c:v>
                </c:pt>
                <c:pt idx="288">
                  <c:v>313.74999998807903</c:v>
                </c:pt>
                <c:pt idx="289">
                  <c:v>316.85000000000002</c:v>
                </c:pt>
                <c:pt idx="290">
                  <c:v>313.30000009536701</c:v>
                </c:pt>
                <c:pt idx="291">
                  <c:v>316.15000001191999</c:v>
                </c:pt>
                <c:pt idx="292">
                  <c:v>315.64999997615803</c:v>
                </c:pt>
                <c:pt idx="293">
                  <c:v>315.64999999999998</c:v>
                </c:pt>
                <c:pt idx="294">
                  <c:v>310.39999999999998</c:v>
                </c:pt>
                <c:pt idx="295">
                  <c:v>309.19999980926502</c:v>
                </c:pt>
                <c:pt idx="296">
                  <c:v>305.85000000000002</c:v>
                </c:pt>
                <c:pt idx="297">
                  <c:v>301.35000000000002</c:v>
                </c:pt>
                <c:pt idx="298">
                  <c:v>304.20000019073399</c:v>
                </c:pt>
                <c:pt idx="299">
                  <c:v>300.74999980926498</c:v>
                </c:pt>
                <c:pt idx="300">
                  <c:v>303.650000381469</c:v>
                </c:pt>
                <c:pt idx="301">
                  <c:v>303.24999961853001</c:v>
                </c:pt>
                <c:pt idx="302">
                  <c:v>302.39999999999998</c:v>
                </c:pt>
                <c:pt idx="303">
                  <c:v>301.55</c:v>
                </c:pt>
                <c:pt idx="304">
                  <c:v>299.099999809265</c:v>
                </c:pt>
                <c:pt idx="305">
                  <c:v>300.00000038146902</c:v>
                </c:pt>
                <c:pt idx="306">
                  <c:v>292.89999999999998</c:v>
                </c:pt>
                <c:pt idx="307">
                  <c:v>293.75</c:v>
                </c:pt>
                <c:pt idx="308">
                  <c:v>292.54999923705998</c:v>
                </c:pt>
                <c:pt idx="309">
                  <c:v>291.99999961853001</c:v>
                </c:pt>
                <c:pt idx="310">
                  <c:v>296.94999961853</c:v>
                </c:pt>
                <c:pt idx="311">
                  <c:v>295.29999961853002</c:v>
                </c:pt>
                <c:pt idx="312">
                  <c:v>296.00000038146902</c:v>
                </c:pt>
                <c:pt idx="313">
                  <c:v>299.10000076293898</c:v>
                </c:pt>
                <c:pt idx="314">
                  <c:v>298.20000019073399</c:v>
                </c:pt>
                <c:pt idx="315">
                  <c:v>297.34999961852998</c:v>
                </c:pt>
                <c:pt idx="316">
                  <c:v>297.04999980926499</c:v>
                </c:pt>
                <c:pt idx="317">
                  <c:v>296.04999980926499</c:v>
                </c:pt>
                <c:pt idx="318">
                  <c:v>297.04999990463199</c:v>
                </c:pt>
                <c:pt idx="319">
                  <c:v>296.05000019073401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71634960"/>
        <c:axId val="-1271630608"/>
      </c:lineChart>
      <c:dateAx>
        <c:axId val="-12716349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271630608"/>
        <c:crosses val="autoZero"/>
        <c:auto val="1"/>
        <c:lblOffset val="100"/>
        <c:baseTimeUnit val="days"/>
      </c:dateAx>
      <c:valAx>
        <c:axId val="-1271630608"/>
        <c:scaling>
          <c:orientation val="minMax"/>
          <c:min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27163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292</xdr:row>
      <xdr:rowOff>38100</xdr:rowOff>
    </xdr:from>
    <xdr:to>
      <xdr:col>19</xdr:col>
      <xdr:colOff>142875</xdr:colOff>
      <xdr:row>314</xdr:row>
      <xdr:rowOff>28575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3"/>
  <sheetViews>
    <sheetView tabSelected="1" topLeftCell="A290" workbookViewId="0">
      <selection activeCell="J1" sqref="J1:M321"/>
    </sheetView>
  </sheetViews>
  <sheetFormatPr defaultRowHeight="16.5" x14ac:dyDescent="0.3"/>
  <cols>
    <col min="1" max="1" width="11.25" customWidth="1"/>
    <col min="2" max="2" width="10.625" customWidth="1"/>
    <col min="10" max="10" width="10.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</v>
      </c>
      <c r="K1" t="s">
        <v>11</v>
      </c>
      <c r="L1" t="s">
        <v>12</v>
      </c>
      <c r="M1" t="s">
        <v>13</v>
      </c>
    </row>
    <row r="2" spans="1:13" x14ac:dyDescent="0.3">
      <c r="A2" s="1">
        <v>42825</v>
      </c>
      <c r="B2" s="1">
        <v>42853</v>
      </c>
      <c r="C2">
        <v>279.57110295295701</v>
      </c>
      <c r="D2">
        <v>287.79999980926499</v>
      </c>
      <c r="E2">
        <v>281.60000000000002</v>
      </c>
      <c r="F2">
        <v>-6.1999998092651296</v>
      </c>
      <c r="G2">
        <v>-2.02889704704284</v>
      </c>
      <c r="H2">
        <v>6.1999998092651296</v>
      </c>
      <c r="I2">
        <v>5.8009555539999997</v>
      </c>
      <c r="J2" s="1">
        <v>42853</v>
      </c>
      <c r="K2">
        <f>D2+1.65*I2</f>
        <v>297.371576473365</v>
      </c>
      <c r="L2">
        <f>D2-1.65*I2</f>
        <v>278.22842314516498</v>
      </c>
      <c r="M2">
        <f>C2</f>
        <v>279.57110295295701</v>
      </c>
    </row>
    <row r="3" spans="1:13" x14ac:dyDescent="0.3">
      <c r="A3" s="1">
        <v>42828</v>
      </c>
      <c r="B3" s="1">
        <v>42856</v>
      </c>
      <c r="C3">
        <v>279.39241852760301</v>
      </c>
      <c r="D3">
        <v>287.80000009536701</v>
      </c>
      <c r="E3">
        <v>281.89999999999998</v>
      </c>
      <c r="F3">
        <v>-5.9000000953674299</v>
      </c>
      <c r="G3">
        <v>-2.5075814723968501</v>
      </c>
      <c r="H3">
        <v>5.9000000953674299</v>
      </c>
      <c r="I3">
        <v>5.9515918809999997</v>
      </c>
      <c r="J3" s="1">
        <v>42856</v>
      </c>
      <c r="K3">
        <f t="shared" ref="K3:K66" si="0">D3+1.65*I3</f>
        <v>297.62012669901702</v>
      </c>
      <c r="L3">
        <f t="shared" ref="L3:L66" si="1">D3-1.65*I3</f>
        <v>277.979873491717</v>
      </c>
      <c r="M3">
        <f t="shared" ref="M3:M66" si="2">C3</f>
        <v>279.39241852760301</v>
      </c>
    </row>
    <row r="4" spans="1:13" x14ac:dyDescent="0.3">
      <c r="A4" s="1">
        <v>42829</v>
      </c>
      <c r="B4" s="1">
        <v>42857</v>
      </c>
      <c r="C4">
        <v>276.74952468871999</v>
      </c>
      <c r="D4">
        <v>290.04999980926499</v>
      </c>
      <c r="E4">
        <v>281.35000000000002</v>
      </c>
      <c r="F4">
        <v>-8.6999998092651296</v>
      </c>
      <c r="G4">
        <v>-4.6004753112792898</v>
      </c>
      <c r="H4">
        <v>8.6999998092651296</v>
      </c>
      <c r="I4">
        <v>6.1302727499999996</v>
      </c>
      <c r="J4" s="1">
        <v>42857</v>
      </c>
      <c r="K4">
        <f t="shared" si="0"/>
        <v>300.16494984676501</v>
      </c>
      <c r="L4">
        <f t="shared" si="1"/>
        <v>279.93504977176497</v>
      </c>
      <c r="M4">
        <f t="shared" si="2"/>
        <v>276.74952468871999</v>
      </c>
    </row>
    <row r="5" spans="1:13" x14ac:dyDescent="0.3">
      <c r="A5" s="1">
        <v>42830</v>
      </c>
      <c r="B5" s="1">
        <v>42858</v>
      </c>
      <c r="C5">
        <v>280.64159381985598</v>
      </c>
      <c r="D5">
        <v>290.04999980926499</v>
      </c>
      <c r="E5">
        <v>280.85000000000002</v>
      </c>
      <c r="F5">
        <v>-9.1999998092651296</v>
      </c>
      <c r="G5">
        <v>-0.20840618014335599</v>
      </c>
      <c r="H5">
        <v>9.1999998092651296</v>
      </c>
      <c r="I5">
        <v>6.3048647659999997</v>
      </c>
      <c r="J5" s="1">
        <v>42858</v>
      </c>
      <c r="K5">
        <f t="shared" si="0"/>
        <v>300.45302667316497</v>
      </c>
      <c r="L5">
        <f t="shared" si="1"/>
        <v>279.64697294536501</v>
      </c>
      <c r="M5">
        <f t="shared" si="2"/>
        <v>280.64159381985598</v>
      </c>
    </row>
    <row r="6" spans="1:13" x14ac:dyDescent="0.3">
      <c r="A6" s="1">
        <v>42831</v>
      </c>
      <c r="B6" s="1">
        <v>42859</v>
      </c>
      <c r="C6">
        <v>280.65452089309599</v>
      </c>
      <c r="D6">
        <v>292.75000038146902</v>
      </c>
      <c r="E6">
        <v>279.89999999999998</v>
      </c>
      <c r="F6">
        <v>12.8500003814697</v>
      </c>
      <c r="G6">
        <v>0.75452089309692305</v>
      </c>
      <c r="H6">
        <v>12.8500003814697</v>
      </c>
      <c r="I6">
        <v>6.5351740600000001</v>
      </c>
      <c r="J6" s="1">
        <v>42859</v>
      </c>
      <c r="K6">
        <f t="shared" si="0"/>
        <v>303.533037580469</v>
      </c>
      <c r="L6">
        <f t="shared" si="1"/>
        <v>281.96696318246904</v>
      </c>
      <c r="M6">
        <f t="shared" si="2"/>
        <v>280.65452089309599</v>
      </c>
    </row>
    <row r="7" spans="1:13" x14ac:dyDescent="0.3">
      <c r="A7" s="1">
        <v>42832</v>
      </c>
      <c r="B7" s="1">
        <v>42860</v>
      </c>
      <c r="C7">
        <v>280.02657282352402</v>
      </c>
      <c r="D7">
        <v>292.75</v>
      </c>
      <c r="E7">
        <v>279.25</v>
      </c>
      <c r="F7">
        <v>13.5</v>
      </c>
      <c r="G7">
        <v>0.77657282352447499</v>
      </c>
      <c r="H7">
        <v>13.5</v>
      </c>
      <c r="I7">
        <v>6.7490680449999996</v>
      </c>
      <c r="J7" s="1">
        <v>42860</v>
      </c>
      <c r="K7">
        <f t="shared" si="0"/>
        <v>303.88596227425001</v>
      </c>
      <c r="L7">
        <f t="shared" si="1"/>
        <v>281.61403772574999</v>
      </c>
      <c r="M7">
        <f t="shared" si="2"/>
        <v>280.02657282352402</v>
      </c>
    </row>
    <row r="8" spans="1:13" x14ac:dyDescent="0.3">
      <c r="A8" s="1">
        <v>42835</v>
      </c>
      <c r="B8" s="1">
        <v>42863</v>
      </c>
      <c r="C8">
        <v>276.33692648410698</v>
      </c>
      <c r="D8">
        <v>300.69999923706001</v>
      </c>
      <c r="E8">
        <v>277.64999999999998</v>
      </c>
      <c r="F8">
        <v>-23.049999237060501</v>
      </c>
      <c r="G8">
        <v>-1.3130735158920199</v>
      </c>
      <c r="H8">
        <v>23.049999237060501</v>
      </c>
      <c r="I8">
        <v>7.2712381229999998</v>
      </c>
      <c r="J8" s="1">
        <v>42863</v>
      </c>
      <c r="K8">
        <f t="shared" si="0"/>
        <v>312.69754214001</v>
      </c>
      <c r="L8">
        <f t="shared" si="1"/>
        <v>288.70245633411002</v>
      </c>
      <c r="M8">
        <f t="shared" si="2"/>
        <v>276.33692648410698</v>
      </c>
    </row>
    <row r="9" spans="1:13" x14ac:dyDescent="0.3">
      <c r="A9" s="1">
        <v>42836</v>
      </c>
      <c r="B9" s="1">
        <v>42864</v>
      </c>
      <c r="C9">
        <v>275.68936156630502</v>
      </c>
      <c r="D9">
        <v>300.69999923706001</v>
      </c>
      <c r="E9">
        <v>275.89999999999998</v>
      </c>
      <c r="F9">
        <v>-24.799999237060501</v>
      </c>
      <c r="G9">
        <v>-0.21063843369483901</v>
      </c>
      <c r="H9">
        <v>24.799999237060501</v>
      </c>
      <c r="I9">
        <v>7.7170976509999996</v>
      </c>
      <c r="J9" s="1">
        <v>42864</v>
      </c>
      <c r="K9">
        <f t="shared" si="0"/>
        <v>313.43321036121</v>
      </c>
      <c r="L9">
        <f t="shared" si="1"/>
        <v>287.96678811291002</v>
      </c>
      <c r="M9">
        <f t="shared" si="2"/>
        <v>275.68936156630502</v>
      </c>
    </row>
    <row r="10" spans="1:13" x14ac:dyDescent="0.3">
      <c r="A10" s="1">
        <v>42837</v>
      </c>
      <c r="B10" s="1">
        <v>42865</v>
      </c>
      <c r="C10">
        <v>277.76579411029797</v>
      </c>
      <c r="D10">
        <v>296.45</v>
      </c>
      <c r="E10">
        <v>276.95</v>
      </c>
      <c r="F10">
        <v>19.5</v>
      </c>
      <c r="G10">
        <v>0.81579411029815596</v>
      </c>
      <c r="H10">
        <v>19.5</v>
      </c>
      <c r="I10">
        <v>7.9254520919999996</v>
      </c>
      <c r="J10" s="1">
        <v>42865</v>
      </c>
      <c r="K10">
        <f t="shared" si="0"/>
        <v>309.52699595179996</v>
      </c>
      <c r="L10">
        <f t="shared" si="1"/>
        <v>283.37300404820002</v>
      </c>
      <c r="M10">
        <f t="shared" si="2"/>
        <v>277.76579411029797</v>
      </c>
    </row>
    <row r="11" spans="1:13" x14ac:dyDescent="0.3">
      <c r="A11" s="1">
        <v>42838</v>
      </c>
      <c r="B11" s="1">
        <v>42866</v>
      </c>
      <c r="C11">
        <v>278.65263151526398</v>
      </c>
      <c r="D11">
        <v>300.10000076293898</v>
      </c>
      <c r="E11">
        <v>279.14999999999998</v>
      </c>
      <c r="F11">
        <v>-20.9500007629394</v>
      </c>
      <c r="G11">
        <v>-0.497368484735488</v>
      </c>
      <c r="H11">
        <v>20.9500007629394</v>
      </c>
      <c r="I11">
        <v>8.2422430020000004</v>
      </c>
      <c r="J11" s="1">
        <v>42866</v>
      </c>
      <c r="K11">
        <f t="shared" si="0"/>
        <v>313.69970171623896</v>
      </c>
      <c r="L11">
        <f t="shared" si="1"/>
        <v>286.50029980963899</v>
      </c>
      <c r="M11">
        <f t="shared" si="2"/>
        <v>278.65263151526398</v>
      </c>
    </row>
    <row r="12" spans="1:13" x14ac:dyDescent="0.3">
      <c r="A12" s="1">
        <v>42839</v>
      </c>
      <c r="B12" s="1">
        <v>42867</v>
      </c>
      <c r="C12">
        <v>277.74040408134402</v>
      </c>
      <c r="D12">
        <v>298.65000076293899</v>
      </c>
      <c r="E12">
        <v>277.7</v>
      </c>
      <c r="F12">
        <v>20.9500007629394</v>
      </c>
      <c r="G12">
        <v>4.0404081344604402E-2</v>
      </c>
      <c r="H12">
        <v>20.9500007629394</v>
      </c>
      <c r="I12">
        <v>8.4724296929999898</v>
      </c>
      <c r="J12" s="1">
        <v>42867</v>
      </c>
      <c r="K12">
        <f t="shared" si="0"/>
        <v>312.62950975638898</v>
      </c>
      <c r="L12">
        <f t="shared" si="1"/>
        <v>284.67049176948899</v>
      </c>
      <c r="M12">
        <f t="shared" si="2"/>
        <v>277.74040408134402</v>
      </c>
    </row>
    <row r="13" spans="1:13" x14ac:dyDescent="0.3">
      <c r="A13" s="1">
        <v>42842</v>
      </c>
      <c r="B13" s="1">
        <v>42870</v>
      </c>
      <c r="C13">
        <v>274.17506780624302</v>
      </c>
      <c r="D13">
        <v>299.64999999999998</v>
      </c>
      <c r="E13">
        <v>278.64999999999998</v>
      </c>
      <c r="F13">
        <v>-21</v>
      </c>
      <c r="G13">
        <v>-4.4749321937561</v>
      </c>
      <c r="H13">
        <v>21</v>
      </c>
      <c r="I13">
        <v>8.7078664149999998</v>
      </c>
      <c r="J13" s="1">
        <v>42870</v>
      </c>
      <c r="K13">
        <f t="shared" si="0"/>
        <v>314.01797958474998</v>
      </c>
      <c r="L13">
        <f t="shared" si="1"/>
        <v>285.28202041524997</v>
      </c>
      <c r="M13">
        <f t="shared" si="2"/>
        <v>274.17506780624302</v>
      </c>
    </row>
    <row r="14" spans="1:13" x14ac:dyDescent="0.3">
      <c r="A14" s="1">
        <v>42843</v>
      </c>
      <c r="B14" s="1">
        <v>42871</v>
      </c>
      <c r="C14">
        <v>275.86874423027001</v>
      </c>
      <c r="D14">
        <v>299.24999961853001</v>
      </c>
      <c r="E14">
        <v>278.35000000000002</v>
      </c>
      <c r="F14">
        <v>-20.899999618530199</v>
      </c>
      <c r="G14">
        <v>-2.4812557697296098</v>
      </c>
      <c r="H14">
        <v>20.899999618530199</v>
      </c>
      <c r="I14">
        <v>8.8802910829999995</v>
      </c>
      <c r="J14" s="1">
        <v>42871</v>
      </c>
      <c r="K14">
        <f t="shared" si="0"/>
        <v>313.90247990547999</v>
      </c>
      <c r="L14">
        <f t="shared" si="1"/>
        <v>284.59751933158003</v>
      </c>
      <c r="M14">
        <f t="shared" si="2"/>
        <v>275.86874423027001</v>
      </c>
    </row>
    <row r="15" spans="1:13" x14ac:dyDescent="0.3">
      <c r="A15" s="1">
        <v>42844</v>
      </c>
      <c r="B15" s="1">
        <v>42872</v>
      </c>
      <c r="C15">
        <v>275.34141812324498</v>
      </c>
      <c r="D15">
        <v>299.49999961853001</v>
      </c>
      <c r="E15">
        <v>276.85000000000002</v>
      </c>
      <c r="F15">
        <v>-22.649999618530199</v>
      </c>
      <c r="G15">
        <v>-1.5085818767547601</v>
      </c>
      <c r="H15">
        <v>22.649999618530199</v>
      </c>
      <c r="I15">
        <v>9.0512411489999902</v>
      </c>
      <c r="J15" s="1">
        <v>42872</v>
      </c>
      <c r="K15">
        <f t="shared" si="0"/>
        <v>314.43454751437997</v>
      </c>
      <c r="L15">
        <f t="shared" si="1"/>
        <v>284.56545172268005</v>
      </c>
      <c r="M15">
        <f t="shared" si="2"/>
        <v>275.34141812324498</v>
      </c>
    </row>
    <row r="16" spans="1:13" x14ac:dyDescent="0.3">
      <c r="A16" s="1">
        <v>42845</v>
      </c>
      <c r="B16" s="1">
        <v>42873</v>
      </c>
      <c r="C16">
        <v>276.93325197696601</v>
      </c>
      <c r="D16">
        <v>298.64999961852999</v>
      </c>
      <c r="E16">
        <v>278.25</v>
      </c>
      <c r="F16">
        <v>-20.399999618530199</v>
      </c>
      <c r="G16">
        <v>-1.3167480230331401</v>
      </c>
      <c r="H16">
        <v>20.399999618530199</v>
      </c>
      <c r="I16">
        <v>9.1663748500000004</v>
      </c>
      <c r="J16" s="1">
        <v>42873</v>
      </c>
      <c r="K16">
        <f t="shared" si="0"/>
        <v>313.77451812102998</v>
      </c>
      <c r="L16">
        <f t="shared" si="1"/>
        <v>283.52548111602999</v>
      </c>
      <c r="M16">
        <f t="shared" si="2"/>
        <v>276.93325197696601</v>
      </c>
    </row>
    <row r="17" spans="1:13" x14ac:dyDescent="0.3">
      <c r="A17" s="1">
        <v>42846</v>
      </c>
      <c r="B17" s="1">
        <v>42874</v>
      </c>
      <c r="C17">
        <v>274.07596464157098</v>
      </c>
      <c r="D17">
        <v>298.24999923706002</v>
      </c>
      <c r="E17">
        <v>280.7</v>
      </c>
      <c r="F17">
        <v>-17.549999237060501</v>
      </c>
      <c r="G17">
        <v>-6.6240353584289497</v>
      </c>
      <c r="H17">
        <v>17.549999237060501</v>
      </c>
      <c r="I17">
        <v>9.2516346659999993</v>
      </c>
      <c r="J17" s="1">
        <v>42874</v>
      </c>
      <c r="K17">
        <f t="shared" si="0"/>
        <v>313.51519643596004</v>
      </c>
      <c r="L17">
        <f t="shared" si="1"/>
        <v>282.98480203816001</v>
      </c>
      <c r="M17">
        <f t="shared" si="2"/>
        <v>274.07596464157098</v>
      </c>
    </row>
    <row r="18" spans="1:13" x14ac:dyDescent="0.3">
      <c r="A18" s="1">
        <v>42849</v>
      </c>
      <c r="B18" s="1">
        <v>42877</v>
      </c>
      <c r="C18">
        <v>278.08522639274599</v>
      </c>
      <c r="D18">
        <v>300.60000000000002</v>
      </c>
      <c r="E18">
        <v>281.85000000000002</v>
      </c>
      <c r="F18">
        <v>-18.75</v>
      </c>
      <c r="G18">
        <v>-3.7647736072540199</v>
      </c>
      <c r="H18">
        <v>18.75</v>
      </c>
      <c r="I18">
        <v>9.3965916739999997</v>
      </c>
      <c r="J18" s="1">
        <v>42877</v>
      </c>
      <c r="K18">
        <f t="shared" si="0"/>
        <v>316.1043762621</v>
      </c>
      <c r="L18">
        <f t="shared" si="1"/>
        <v>285.09562373790004</v>
      </c>
      <c r="M18">
        <f t="shared" si="2"/>
        <v>278.08522639274599</v>
      </c>
    </row>
    <row r="19" spans="1:13" x14ac:dyDescent="0.3">
      <c r="A19" s="1">
        <v>42850</v>
      </c>
      <c r="B19" s="1">
        <v>42878</v>
      </c>
      <c r="C19">
        <v>281.03673095703101</v>
      </c>
      <c r="D19">
        <v>301.05000038146898</v>
      </c>
      <c r="E19">
        <v>285.2</v>
      </c>
      <c r="F19">
        <v>-15.8500003814697</v>
      </c>
      <c r="G19">
        <v>-4.16326904296875</v>
      </c>
      <c r="H19">
        <v>15.8500003814697</v>
      </c>
      <c r="I19">
        <v>9.5776644470000001</v>
      </c>
      <c r="J19" s="1">
        <v>42878</v>
      </c>
      <c r="K19">
        <f t="shared" si="0"/>
        <v>316.85314671901898</v>
      </c>
      <c r="L19">
        <f t="shared" si="1"/>
        <v>285.24685404391897</v>
      </c>
      <c r="M19">
        <f t="shared" si="2"/>
        <v>281.03673095703101</v>
      </c>
    </row>
    <row r="20" spans="1:13" x14ac:dyDescent="0.3">
      <c r="A20" s="1">
        <v>42851</v>
      </c>
      <c r="B20" s="1">
        <v>42879</v>
      </c>
      <c r="C20">
        <v>281.11415119171102</v>
      </c>
      <c r="D20">
        <v>301.89999980926501</v>
      </c>
      <c r="E20">
        <v>286.45</v>
      </c>
      <c r="F20">
        <v>-15.449999809265099</v>
      </c>
      <c r="G20">
        <v>-5.3358488082885698</v>
      </c>
      <c r="H20">
        <v>15.449999809265099</v>
      </c>
      <c r="I20">
        <v>9.7665355339999902</v>
      </c>
      <c r="J20" s="1">
        <v>42879</v>
      </c>
      <c r="K20">
        <f t="shared" si="0"/>
        <v>318.01478344036502</v>
      </c>
      <c r="L20">
        <f t="shared" si="1"/>
        <v>285.785216178165</v>
      </c>
      <c r="M20">
        <f t="shared" si="2"/>
        <v>281.11415119171102</v>
      </c>
    </row>
    <row r="21" spans="1:13" x14ac:dyDescent="0.3">
      <c r="A21" s="1">
        <v>42852</v>
      </c>
      <c r="B21" s="1">
        <v>42880</v>
      </c>
      <c r="C21">
        <v>289.16641316413802</v>
      </c>
      <c r="D21">
        <v>305.49999961853001</v>
      </c>
      <c r="E21">
        <v>287.35000000000002</v>
      </c>
      <c r="F21">
        <v>18.149999618530199</v>
      </c>
      <c r="G21">
        <v>1.8164131641387899</v>
      </c>
      <c r="H21">
        <v>18.149999618530199</v>
      </c>
      <c r="I21">
        <v>10.048205210000001</v>
      </c>
      <c r="J21" s="1">
        <v>42880</v>
      </c>
      <c r="K21">
        <f t="shared" si="0"/>
        <v>322.07953821503003</v>
      </c>
      <c r="L21">
        <f t="shared" si="1"/>
        <v>288.92046102203</v>
      </c>
      <c r="M21">
        <f t="shared" si="2"/>
        <v>289.16641316413802</v>
      </c>
    </row>
    <row r="22" spans="1:13" x14ac:dyDescent="0.3">
      <c r="A22" s="1">
        <v>42853</v>
      </c>
      <c r="B22" s="1">
        <v>42881</v>
      </c>
      <c r="C22">
        <v>285.83672719001697</v>
      </c>
      <c r="D22">
        <v>307.34999923705999</v>
      </c>
      <c r="E22">
        <v>287.8</v>
      </c>
      <c r="F22">
        <v>-19.549999237060501</v>
      </c>
      <c r="G22">
        <v>-1.96327280998229</v>
      </c>
      <c r="H22">
        <v>19.549999237060501</v>
      </c>
      <c r="I22">
        <v>10.31187108</v>
      </c>
      <c r="J22" s="1">
        <v>42881</v>
      </c>
      <c r="K22">
        <f t="shared" si="0"/>
        <v>324.36458651905997</v>
      </c>
      <c r="L22">
        <f t="shared" si="1"/>
        <v>290.33541195506001</v>
      </c>
      <c r="M22">
        <f t="shared" si="2"/>
        <v>285.83672719001697</v>
      </c>
    </row>
    <row r="23" spans="1:13" x14ac:dyDescent="0.3">
      <c r="A23" s="1">
        <v>42856</v>
      </c>
      <c r="B23" s="1">
        <v>42884</v>
      </c>
      <c r="C23">
        <v>289.52616481781001</v>
      </c>
      <c r="D23">
        <v>306.8</v>
      </c>
      <c r="E23">
        <v>287.8</v>
      </c>
      <c r="F23">
        <v>19</v>
      </c>
      <c r="G23">
        <v>1.7261648178100499</v>
      </c>
      <c r="H23">
        <v>19</v>
      </c>
      <c r="I23">
        <v>10.49691587</v>
      </c>
      <c r="J23" s="1">
        <v>42884</v>
      </c>
      <c r="K23">
        <f t="shared" si="0"/>
        <v>324.11991118550003</v>
      </c>
      <c r="L23">
        <f t="shared" si="1"/>
        <v>289.48008881449999</v>
      </c>
      <c r="M23">
        <f t="shared" si="2"/>
        <v>289.52616481781001</v>
      </c>
    </row>
    <row r="24" spans="1:13" x14ac:dyDescent="0.3">
      <c r="A24" s="1">
        <v>42857</v>
      </c>
      <c r="B24" s="1">
        <v>42885</v>
      </c>
      <c r="C24">
        <v>290.54319365620597</v>
      </c>
      <c r="D24">
        <v>304.35000019073402</v>
      </c>
      <c r="E24">
        <v>290.05</v>
      </c>
      <c r="F24">
        <v>14.300000190734799</v>
      </c>
      <c r="G24">
        <v>0.49319365620613098</v>
      </c>
      <c r="H24">
        <v>14.300000190734799</v>
      </c>
      <c r="I24">
        <v>10.58185993</v>
      </c>
      <c r="J24" s="1">
        <v>42885</v>
      </c>
      <c r="K24">
        <f t="shared" si="0"/>
        <v>321.81006907523403</v>
      </c>
      <c r="L24">
        <f t="shared" si="1"/>
        <v>286.88993130623402</v>
      </c>
      <c r="M24">
        <f t="shared" si="2"/>
        <v>290.54319365620597</v>
      </c>
    </row>
    <row r="25" spans="1:13" x14ac:dyDescent="0.3">
      <c r="A25" s="1">
        <v>42858</v>
      </c>
      <c r="B25" s="1">
        <v>42886</v>
      </c>
      <c r="C25">
        <v>287.71604828834501</v>
      </c>
      <c r="D25">
        <v>305.05</v>
      </c>
      <c r="E25">
        <v>290.05</v>
      </c>
      <c r="F25">
        <v>-15</v>
      </c>
      <c r="G25">
        <v>-2.33395171165466</v>
      </c>
      <c r="H25">
        <v>15</v>
      </c>
      <c r="I25">
        <v>10.658228579999999</v>
      </c>
      <c r="J25" s="1">
        <v>42886</v>
      </c>
      <c r="K25">
        <f t="shared" si="0"/>
        <v>322.63607715699999</v>
      </c>
      <c r="L25">
        <f t="shared" si="1"/>
        <v>287.46392284300003</v>
      </c>
      <c r="M25">
        <f t="shared" si="2"/>
        <v>287.71604828834501</v>
      </c>
    </row>
    <row r="26" spans="1:13" x14ac:dyDescent="0.3">
      <c r="A26" s="1">
        <v>42859</v>
      </c>
      <c r="B26" s="1">
        <v>42887</v>
      </c>
      <c r="C26">
        <v>285.47290182113602</v>
      </c>
      <c r="D26">
        <v>304.14999961852999</v>
      </c>
      <c r="E26">
        <v>292.75</v>
      </c>
      <c r="F26">
        <v>-11.399999618530201</v>
      </c>
      <c r="G26">
        <v>-7.2770981788635201</v>
      </c>
      <c r="H26">
        <v>11.399999618530201</v>
      </c>
      <c r="I26">
        <v>10.74919317</v>
      </c>
      <c r="J26" s="1">
        <v>42887</v>
      </c>
      <c r="K26">
        <f t="shared" si="0"/>
        <v>321.88616834902996</v>
      </c>
      <c r="L26">
        <f t="shared" si="1"/>
        <v>286.41383088803002</v>
      </c>
      <c r="M26">
        <f t="shared" si="2"/>
        <v>285.47290182113602</v>
      </c>
    </row>
    <row r="27" spans="1:13" x14ac:dyDescent="0.3">
      <c r="A27" s="1">
        <v>42860</v>
      </c>
      <c r="B27" s="1">
        <v>42888</v>
      </c>
      <c r="C27">
        <v>285.77067947387599</v>
      </c>
      <c r="D27">
        <v>307.75</v>
      </c>
      <c r="E27">
        <v>292.75</v>
      </c>
      <c r="F27">
        <v>-15</v>
      </c>
      <c r="G27">
        <v>-6.9793205261230398</v>
      </c>
      <c r="H27">
        <v>15</v>
      </c>
      <c r="I27">
        <v>10.844289529999999</v>
      </c>
      <c r="J27" s="1">
        <v>42888</v>
      </c>
      <c r="K27">
        <f t="shared" si="0"/>
        <v>325.64307772450002</v>
      </c>
      <c r="L27">
        <f t="shared" si="1"/>
        <v>289.85692227549998</v>
      </c>
      <c r="M27">
        <f t="shared" si="2"/>
        <v>285.77067947387599</v>
      </c>
    </row>
    <row r="28" spans="1:13" x14ac:dyDescent="0.3">
      <c r="A28" s="1">
        <v>42863</v>
      </c>
      <c r="B28" s="1">
        <v>42891</v>
      </c>
      <c r="C28">
        <v>296.170880031585</v>
      </c>
      <c r="D28">
        <v>307.60000009536702</v>
      </c>
      <c r="E28">
        <v>300.7</v>
      </c>
      <c r="F28">
        <v>-6.9000000953674299</v>
      </c>
      <c r="G28">
        <v>-4.5291199684143004</v>
      </c>
      <c r="H28">
        <v>6.9000000953674299</v>
      </c>
      <c r="I28">
        <v>10.917859180000001</v>
      </c>
      <c r="J28" s="1">
        <v>42891</v>
      </c>
      <c r="K28">
        <f t="shared" si="0"/>
        <v>325.61446774236703</v>
      </c>
      <c r="L28">
        <f t="shared" si="1"/>
        <v>289.58553244836702</v>
      </c>
      <c r="M28">
        <f t="shared" si="2"/>
        <v>296.170880031585</v>
      </c>
    </row>
    <row r="29" spans="1:13" x14ac:dyDescent="0.3">
      <c r="A29" s="1">
        <v>42864</v>
      </c>
      <c r="B29" s="1">
        <v>42892</v>
      </c>
      <c r="C29">
        <v>294.046355915069</v>
      </c>
      <c r="D29">
        <v>307.60000009536702</v>
      </c>
      <c r="E29">
        <v>300.7</v>
      </c>
      <c r="F29">
        <v>-6.9000000953674299</v>
      </c>
      <c r="G29">
        <v>-6.6536440849304199</v>
      </c>
      <c r="H29">
        <v>6.9000000953674299</v>
      </c>
      <c r="I29">
        <v>10.99521569</v>
      </c>
      <c r="J29" s="1">
        <v>42892</v>
      </c>
      <c r="K29">
        <f t="shared" si="0"/>
        <v>325.74210598386702</v>
      </c>
      <c r="L29">
        <f t="shared" si="1"/>
        <v>289.45789420686702</v>
      </c>
      <c r="M29">
        <f t="shared" si="2"/>
        <v>294.046355915069</v>
      </c>
    </row>
    <row r="30" spans="1:13" x14ac:dyDescent="0.3">
      <c r="A30" s="1">
        <v>42865</v>
      </c>
      <c r="B30" s="1">
        <v>42893</v>
      </c>
      <c r="C30">
        <v>292.88023109436</v>
      </c>
      <c r="D30">
        <v>305.39999980926501</v>
      </c>
      <c r="E30">
        <v>296.45</v>
      </c>
      <c r="F30">
        <v>-8.9499998092651296</v>
      </c>
      <c r="G30">
        <v>-3.56976890563964</v>
      </c>
      <c r="H30">
        <v>8.9499998092651296</v>
      </c>
      <c r="I30">
        <v>11.00263064</v>
      </c>
      <c r="J30" s="1">
        <v>42893</v>
      </c>
      <c r="K30">
        <f t="shared" si="0"/>
        <v>323.55434036526503</v>
      </c>
      <c r="L30">
        <f t="shared" si="1"/>
        <v>287.24565925326499</v>
      </c>
      <c r="M30">
        <f t="shared" si="2"/>
        <v>292.88023109436</v>
      </c>
    </row>
    <row r="31" spans="1:13" x14ac:dyDescent="0.3">
      <c r="A31" s="1">
        <v>42866</v>
      </c>
      <c r="B31" s="1">
        <v>42894</v>
      </c>
      <c r="C31">
        <v>298.46821496486598</v>
      </c>
      <c r="D31">
        <v>306.65000019073398</v>
      </c>
      <c r="E31">
        <v>300.10000000000002</v>
      </c>
      <c r="F31">
        <v>-6.5500001907348597</v>
      </c>
      <c r="G31">
        <v>-1.63178503513336</v>
      </c>
      <c r="H31">
        <v>6.5500001907348597</v>
      </c>
      <c r="I31">
        <v>10.99680094</v>
      </c>
      <c r="J31" s="1">
        <v>42894</v>
      </c>
      <c r="K31">
        <f t="shared" si="0"/>
        <v>324.79472174173395</v>
      </c>
      <c r="L31">
        <f t="shared" si="1"/>
        <v>288.505278639734</v>
      </c>
      <c r="M31">
        <f t="shared" si="2"/>
        <v>298.46821496486598</v>
      </c>
    </row>
    <row r="32" spans="1:13" x14ac:dyDescent="0.3">
      <c r="A32" s="1">
        <v>42867</v>
      </c>
      <c r="B32" s="1">
        <v>42895</v>
      </c>
      <c r="C32">
        <v>298.70191144347098</v>
      </c>
      <c r="D32">
        <v>308.54999961853002</v>
      </c>
      <c r="E32">
        <v>298.64999999999998</v>
      </c>
      <c r="F32">
        <v>9.8999996185302699</v>
      </c>
      <c r="G32">
        <v>5.19114434719085E-2</v>
      </c>
      <c r="H32">
        <v>9.8999996185302699</v>
      </c>
      <c r="I32">
        <v>11.034456799999999</v>
      </c>
      <c r="J32" s="1">
        <v>42895</v>
      </c>
      <c r="K32">
        <f t="shared" si="0"/>
        <v>326.75685333853005</v>
      </c>
      <c r="L32">
        <f t="shared" si="1"/>
        <v>290.34314589853</v>
      </c>
      <c r="M32">
        <f t="shared" si="2"/>
        <v>298.70191144347098</v>
      </c>
    </row>
    <row r="33" spans="1:13" x14ac:dyDescent="0.3">
      <c r="A33" s="1">
        <v>42870</v>
      </c>
      <c r="B33" s="1">
        <v>42898</v>
      </c>
      <c r="C33">
        <v>302.60857024192802</v>
      </c>
      <c r="D33">
        <v>305.30000009536701</v>
      </c>
      <c r="E33">
        <v>299.64999999999998</v>
      </c>
      <c r="F33">
        <v>5.6500000953674299</v>
      </c>
      <c r="G33">
        <v>2.9585702419281001</v>
      </c>
      <c r="H33">
        <v>5.6500000953674299</v>
      </c>
      <c r="I33">
        <v>11.043044220000001</v>
      </c>
      <c r="J33" s="1">
        <v>42898</v>
      </c>
      <c r="K33">
        <f t="shared" si="0"/>
        <v>323.52102305836701</v>
      </c>
      <c r="L33">
        <f t="shared" si="1"/>
        <v>287.07897713236702</v>
      </c>
      <c r="M33">
        <f t="shared" si="2"/>
        <v>302.60857024192802</v>
      </c>
    </row>
    <row r="34" spans="1:13" x14ac:dyDescent="0.3">
      <c r="A34" s="1">
        <v>42871</v>
      </c>
      <c r="B34" s="1">
        <v>42899</v>
      </c>
      <c r="C34">
        <v>299.39150628447499</v>
      </c>
      <c r="D34">
        <v>307.05000019073401</v>
      </c>
      <c r="E34">
        <v>299.25</v>
      </c>
      <c r="F34">
        <v>7.8000001907348597</v>
      </c>
      <c r="G34">
        <v>0.14150628447532601</v>
      </c>
      <c r="H34">
        <v>7.8000001907348597</v>
      </c>
      <c r="I34">
        <v>11.11508293</v>
      </c>
      <c r="J34" s="1">
        <v>42899</v>
      </c>
      <c r="K34">
        <f t="shared" si="0"/>
        <v>325.38988702523403</v>
      </c>
      <c r="L34">
        <f t="shared" si="1"/>
        <v>288.71011335623399</v>
      </c>
      <c r="M34">
        <f t="shared" si="2"/>
        <v>299.39150628447499</v>
      </c>
    </row>
    <row r="35" spans="1:13" x14ac:dyDescent="0.3">
      <c r="A35" s="1">
        <v>42872</v>
      </c>
      <c r="B35" s="1">
        <v>42900</v>
      </c>
      <c r="C35">
        <v>297.71708178520203</v>
      </c>
      <c r="D35">
        <v>307.40000009536698</v>
      </c>
      <c r="E35">
        <v>299.5</v>
      </c>
      <c r="F35">
        <v>-7.9000000953674299</v>
      </c>
      <c r="G35">
        <v>-1.7829182147979701</v>
      </c>
      <c r="H35">
        <v>7.9000000953674299</v>
      </c>
      <c r="I35">
        <v>11.187194720000001</v>
      </c>
      <c r="J35" s="1">
        <v>42900</v>
      </c>
      <c r="K35">
        <f t="shared" si="0"/>
        <v>325.85887138336699</v>
      </c>
      <c r="L35">
        <f t="shared" si="1"/>
        <v>288.94112880736697</v>
      </c>
      <c r="M35">
        <f t="shared" si="2"/>
        <v>297.71708178520203</v>
      </c>
    </row>
    <row r="36" spans="1:13" x14ac:dyDescent="0.3">
      <c r="A36" s="1">
        <v>42873</v>
      </c>
      <c r="B36" s="1">
        <v>42901</v>
      </c>
      <c r="C36">
        <v>299.45133724212599</v>
      </c>
      <c r="D36">
        <v>305.64999999999998</v>
      </c>
      <c r="E36">
        <v>298.64999999999998</v>
      </c>
      <c r="F36">
        <v>7</v>
      </c>
      <c r="G36">
        <v>0.80133724212646396</v>
      </c>
      <c r="H36">
        <v>7</v>
      </c>
      <c r="I36">
        <v>11.23464326</v>
      </c>
      <c r="J36" s="1">
        <v>42901</v>
      </c>
      <c r="K36">
        <f t="shared" si="0"/>
        <v>324.18716137899997</v>
      </c>
      <c r="L36">
        <f t="shared" si="1"/>
        <v>287.11283862099998</v>
      </c>
      <c r="M36">
        <f t="shared" si="2"/>
        <v>299.45133724212599</v>
      </c>
    </row>
    <row r="37" spans="1:13" x14ac:dyDescent="0.3">
      <c r="A37" s="1">
        <v>42874</v>
      </c>
      <c r="B37" s="1">
        <v>42902</v>
      </c>
      <c r="C37">
        <v>297.29516351222901</v>
      </c>
      <c r="D37">
        <v>306</v>
      </c>
      <c r="E37">
        <v>298.25</v>
      </c>
      <c r="F37">
        <v>-7.75</v>
      </c>
      <c r="G37">
        <v>-0.95483648777008001</v>
      </c>
      <c r="H37">
        <v>7.75</v>
      </c>
      <c r="I37">
        <v>11.29285252</v>
      </c>
      <c r="J37" s="1">
        <v>42902</v>
      </c>
      <c r="K37">
        <f t="shared" si="0"/>
        <v>324.63320665800001</v>
      </c>
      <c r="L37">
        <f t="shared" si="1"/>
        <v>287.36679334199999</v>
      </c>
      <c r="M37">
        <f t="shared" si="2"/>
        <v>297.29516351222901</v>
      </c>
    </row>
    <row r="38" spans="1:13" x14ac:dyDescent="0.3">
      <c r="A38" s="1">
        <v>42877</v>
      </c>
      <c r="B38" s="1">
        <v>42905</v>
      </c>
      <c r="C38">
        <v>297.55041608810399</v>
      </c>
      <c r="D38">
        <v>307.79999980926499</v>
      </c>
      <c r="E38">
        <v>300.60000000000002</v>
      </c>
      <c r="F38">
        <v>-7.1999998092651296</v>
      </c>
      <c r="G38">
        <v>-3.0495839118957502</v>
      </c>
      <c r="H38">
        <v>7.1999998092651296</v>
      </c>
      <c r="I38">
        <v>11.374184619999999</v>
      </c>
      <c r="J38" s="1">
        <v>42905</v>
      </c>
      <c r="K38">
        <f t="shared" si="0"/>
        <v>326.56740443226499</v>
      </c>
      <c r="L38">
        <f t="shared" si="1"/>
        <v>289.03259518626498</v>
      </c>
      <c r="M38">
        <f t="shared" si="2"/>
        <v>297.55041608810399</v>
      </c>
    </row>
    <row r="39" spans="1:13" x14ac:dyDescent="0.3">
      <c r="A39" s="1">
        <v>42878</v>
      </c>
      <c r="B39" s="1">
        <v>42906</v>
      </c>
      <c r="C39">
        <v>294.83531122207597</v>
      </c>
      <c r="D39">
        <v>308.10000019073402</v>
      </c>
      <c r="E39">
        <v>301.05</v>
      </c>
      <c r="F39">
        <v>-7.0500001907348597</v>
      </c>
      <c r="G39">
        <v>-6.2146887779235804</v>
      </c>
      <c r="H39">
        <v>7.0500001907348597</v>
      </c>
      <c r="I39">
        <v>11.48218117</v>
      </c>
      <c r="J39" s="1">
        <v>42906</v>
      </c>
      <c r="K39">
        <f t="shared" si="0"/>
        <v>327.04559912123403</v>
      </c>
      <c r="L39">
        <f t="shared" si="1"/>
        <v>289.15440126023401</v>
      </c>
      <c r="M39">
        <f t="shared" si="2"/>
        <v>294.83531122207597</v>
      </c>
    </row>
    <row r="40" spans="1:13" x14ac:dyDescent="0.3">
      <c r="A40" s="1">
        <v>42879</v>
      </c>
      <c r="B40" s="1">
        <v>42907</v>
      </c>
      <c r="C40">
        <v>301.44253280162798</v>
      </c>
      <c r="D40">
        <v>306.80000009536701</v>
      </c>
      <c r="E40">
        <v>301.89999999999998</v>
      </c>
      <c r="F40">
        <v>-4.9000000953674299</v>
      </c>
      <c r="G40">
        <v>-0.45746719837188698</v>
      </c>
      <c r="H40">
        <v>4.9000000953674299</v>
      </c>
      <c r="I40">
        <v>11.531701290000001</v>
      </c>
      <c r="J40" s="1">
        <v>42907</v>
      </c>
      <c r="K40">
        <f t="shared" si="0"/>
        <v>325.82730722386702</v>
      </c>
      <c r="L40">
        <f t="shared" si="1"/>
        <v>287.772692966867</v>
      </c>
      <c r="M40">
        <f t="shared" si="2"/>
        <v>301.44253280162798</v>
      </c>
    </row>
    <row r="41" spans="1:13" x14ac:dyDescent="0.3">
      <c r="A41" s="1">
        <v>42880</v>
      </c>
      <c r="B41" s="1">
        <v>42908</v>
      </c>
      <c r="C41">
        <v>305.02695825695901</v>
      </c>
      <c r="D41">
        <v>308.549999952316</v>
      </c>
      <c r="E41">
        <v>305.5</v>
      </c>
      <c r="F41">
        <v>-3.0499999523162802</v>
      </c>
      <c r="G41">
        <v>-0.47304174304008401</v>
      </c>
      <c r="H41">
        <v>3.0499999523162802</v>
      </c>
      <c r="I41">
        <v>11.611243569999999</v>
      </c>
      <c r="J41" s="1">
        <v>42908</v>
      </c>
      <c r="K41">
        <f t="shared" si="0"/>
        <v>327.70855184281601</v>
      </c>
      <c r="L41">
        <f t="shared" si="1"/>
        <v>289.39144806181599</v>
      </c>
      <c r="M41">
        <f t="shared" si="2"/>
        <v>305.02695825695901</v>
      </c>
    </row>
    <row r="42" spans="1:13" x14ac:dyDescent="0.3">
      <c r="A42" s="1">
        <v>42881</v>
      </c>
      <c r="B42" s="1">
        <v>42909</v>
      </c>
      <c r="C42">
        <v>303.14322195053097</v>
      </c>
      <c r="D42">
        <v>309.24999997615799</v>
      </c>
      <c r="E42">
        <v>307.35000000000002</v>
      </c>
      <c r="F42">
        <v>-1.8999999761581401</v>
      </c>
      <c r="G42">
        <v>-4.2067780494689897</v>
      </c>
      <c r="H42">
        <v>1.8999999761581401</v>
      </c>
      <c r="I42">
        <v>11.68553629</v>
      </c>
      <c r="J42" s="1">
        <v>42909</v>
      </c>
      <c r="K42">
        <f t="shared" si="0"/>
        <v>328.53113485465798</v>
      </c>
      <c r="L42">
        <f t="shared" si="1"/>
        <v>289.96886509765801</v>
      </c>
      <c r="M42">
        <f t="shared" si="2"/>
        <v>303.14322195053097</v>
      </c>
    </row>
    <row r="43" spans="1:13" x14ac:dyDescent="0.3">
      <c r="A43" s="1">
        <v>42884</v>
      </c>
      <c r="B43" s="1">
        <v>42912</v>
      </c>
      <c r="C43">
        <v>302.07931547164901</v>
      </c>
      <c r="D43">
        <v>310.55</v>
      </c>
      <c r="E43">
        <v>306.8</v>
      </c>
      <c r="F43">
        <v>-3.75</v>
      </c>
      <c r="G43">
        <v>-4.7206845283508301</v>
      </c>
      <c r="H43">
        <v>3.75</v>
      </c>
      <c r="I43">
        <v>11.735649840000001</v>
      </c>
      <c r="J43" s="1">
        <v>42912</v>
      </c>
      <c r="K43">
        <f t="shared" si="0"/>
        <v>329.91382223599999</v>
      </c>
      <c r="L43">
        <f t="shared" si="1"/>
        <v>291.18617776400004</v>
      </c>
      <c r="M43">
        <f t="shared" si="2"/>
        <v>302.07931547164901</v>
      </c>
    </row>
    <row r="44" spans="1:13" x14ac:dyDescent="0.3">
      <c r="A44" s="1">
        <v>42885</v>
      </c>
      <c r="B44" s="1">
        <v>42913</v>
      </c>
      <c r="C44">
        <v>302.86256489753703</v>
      </c>
      <c r="D44">
        <v>311.10000000000002</v>
      </c>
      <c r="E44">
        <v>304.35000000000002</v>
      </c>
      <c r="F44">
        <v>-6.75</v>
      </c>
      <c r="G44">
        <v>-1.4874351024627599</v>
      </c>
      <c r="H44">
        <v>6.75</v>
      </c>
      <c r="I44">
        <v>11.79365825</v>
      </c>
      <c r="J44" s="1">
        <v>42913</v>
      </c>
      <c r="K44">
        <f t="shared" si="0"/>
        <v>330.55953611250004</v>
      </c>
      <c r="L44">
        <f t="shared" si="1"/>
        <v>291.6404638875</v>
      </c>
      <c r="M44">
        <f t="shared" si="2"/>
        <v>302.86256489753703</v>
      </c>
    </row>
    <row r="45" spans="1:13" x14ac:dyDescent="0.3">
      <c r="A45" s="1">
        <v>42886</v>
      </c>
      <c r="B45" s="1">
        <v>42914</v>
      </c>
      <c r="C45">
        <v>306.417696642875</v>
      </c>
      <c r="D45">
        <v>310.24999980926498</v>
      </c>
      <c r="E45">
        <v>305.05</v>
      </c>
      <c r="F45">
        <v>5.1999998092651296</v>
      </c>
      <c r="G45">
        <v>1.3676966428756701</v>
      </c>
      <c r="H45">
        <v>5.1999998092651296</v>
      </c>
      <c r="I45">
        <v>11.828234480000001</v>
      </c>
      <c r="J45" s="1">
        <v>42914</v>
      </c>
      <c r="K45">
        <f t="shared" si="0"/>
        <v>329.766586701265</v>
      </c>
      <c r="L45">
        <f t="shared" si="1"/>
        <v>290.73341291726496</v>
      </c>
      <c r="M45">
        <f t="shared" si="2"/>
        <v>306.417696642875</v>
      </c>
    </row>
    <row r="46" spans="1:13" x14ac:dyDescent="0.3">
      <c r="A46" s="1">
        <v>42887</v>
      </c>
      <c r="B46" s="1">
        <v>42915</v>
      </c>
      <c r="C46">
        <v>308.26054325103701</v>
      </c>
      <c r="D46">
        <v>312.349999809265</v>
      </c>
      <c r="E46">
        <v>304.14999999999998</v>
      </c>
      <c r="F46">
        <v>8.1999998092651296</v>
      </c>
      <c r="G46">
        <v>4.1105432510375897</v>
      </c>
      <c r="H46">
        <v>8.1999998092651296</v>
      </c>
      <c r="I46">
        <v>11.888275119999999</v>
      </c>
      <c r="J46" s="1">
        <v>42915</v>
      </c>
      <c r="K46">
        <f t="shared" si="0"/>
        <v>331.96565375726499</v>
      </c>
      <c r="L46">
        <f t="shared" si="1"/>
        <v>292.73434586126501</v>
      </c>
      <c r="M46">
        <f t="shared" si="2"/>
        <v>308.26054325103701</v>
      </c>
    </row>
    <row r="47" spans="1:13" x14ac:dyDescent="0.3">
      <c r="A47" s="1">
        <v>42888</v>
      </c>
      <c r="B47" s="1">
        <v>42916</v>
      </c>
      <c r="C47">
        <v>311.12995457649203</v>
      </c>
      <c r="D47">
        <v>311.549999952316</v>
      </c>
      <c r="E47">
        <v>307.75</v>
      </c>
      <c r="F47">
        <v>3.7999999523162802</v>
      </c>
      <c r="G47">
        <v>3.3799545764922998</v>
      </c>
      <c r="H47">
        <v>3.7999999523162802</v>
      </c>
      <c r="I47">
        <v>11.90461505</v>
      </c>
      <c r="J47" s="1">
        <v>42916</v>
      </c>
      <c r="K47">
        <f t="shared" si="0"/>
        <v>331.19261478481599</v>
      </c>
      <c r="L47">
        <f t="shared" si="1"/>
        <v>291.90738511981601</v>
      </c>
      <c r="M47">
        <f t="shared" si="2"/>
        <v>311.12995457649203</v>
      </c>
    </row>
    <row r="48" spans="1:13" x14ac:dyDescent="0.3">
      <c r="A48" s="1">
        <v>42891</v>
      </c>
      <c r="B48" s="1">
        <v>42919</v>
      </c>
      <c r="C48">
        <v>308.883597469329</v>
      </c>
      <c r="D48">
        <v>311.94999990463202</v>
      </c>
      <c r="E48">
        <v>307.60000000000002</v>
      </c>
      <c r="F48">
        <v>4.3499999046325604</v>
      </c>
      <c r="G48">
        <v>1.28359746932983</v>
      </c>
      <c r="H48">
        <v>4.3499999046325604</v>
      </c>
      <c r="I48">
        <v>11.916593049999999</v>
      </c>
      <c r="J48" s="1">
        <v>42919</v>
      </c>
      <c r="K48">
        <f t="shared" si="0"/>
        <v>331.61237843713201</v>
      </c>
      <c r="L48">
        <f t="shared" si="1"/>
        <v>292.28762137213204</v>
      </c>
      <c r="M48">
        <f t="shared" si="2"/>
        <v>308.883597469329</v>
      </c>
    </row>
    <row r="49" spans="1:13" x14ac:dyDescent="0.3">
      <c r="A49" s="1">
        <v>42892</v>
      </c>
      <c r="B49" s="1">
        <v>42920</v>
      </c>
      <c r="C49">
        <v>309.224881267547</v>
      </c>
      <c r="D49">
        <v>309.64999995231602</v>
      </c>
      <c r="E49">
        <v>307.60000000000002</v>
      </c>
      <c r="F49">
        <v>2.0499999523162802</v>
      </c>
      <c r="G49">
        <v>1.6248812675476001</v>
      </c>
      <c r="H49">
        <v>2.0499999523162802</v>
      </c>
      <c r="I49">
        <v>11.858192150000001</v>
      </c>
      <c r="J49" s="1">
        <v>42920</v>
      </c>
      <c r="K49">
        <f t="shared" si="0"/>
        <v>329.21601699981602</v>
      </c>
      <c r="L49">
        <f t="shared" si="1"/>
        <v>290.08398290481603</v>
      </c>
      <c r="M49">
        <f t="shared" si="2"/>
        <v>309.224881267547</v>
      </c>
    </row>
    <row r="50" spans="1:13" x14ac:dyDescent="0.3">
      <c r="A50" s="1">
        <v>42893</v>
      </c>
      <c r="B50" s="1">
        <v>42921</v>
      </c>
      <c r="C50">
        <v>309.11406531333898</v>
      </c>
      <c r="D50">
        <v>311.099999809265</v>
      </c>
      <c r="E50">
        <v>305.39999999999998</v>
      </c>
      <c r="F50">
        <v>5.6999998092651296</v>
      </c>
      <c r="G50">
        <v>3.7140653133392298</v>
      </c>
      <c r="H50">
        <v>5.6999998092651296</v>
      </c>
      <c r="I50">
        <v>11.79643377</v>
      </c>
      <c r="J50" s="1">
        <v>42921</v>
      </c>
      <c r="K50">
        <f t="shared" si="0"/>
        <v>330.56411552976499</v>
      </c>
      <c r="L50">
        <f t="shared" si="1"/>
        <v>291.63588408876501</v>
      </c>
      <c r="M50">
        <f t="shared" si="2"/>
        <v>309.11406531333898</v>
      </c>
    </row>
    <row r="51" spans="1:13" x14ac:dyDescent="0.3">
      <c r="A51" s="1">
        <v>42894</v>
      </c>
      <c r="B51" s="1">
        <v>42922</v>
      </c>
      <c r="C51">
        <v>307.507065558433</v>
      </c>
      <c r="D51">
        <v>311.099999809265</v>
      </c>
      <c r="E51">
        <v>306.64999999999998</v>
      </c>
      <c r="F51">
        <v>4.4499998092651296</v>
      </c>
      <c r="G51">
        <v>0.85706555843353205</v>
      </c>
      <c r="H51">
        <v>4.4499998092651296</v>
      </c>
      <c r="I51">
        <v>11.69295086</v>
      </c>
      <c r="J51" s="1">
        <v>42922</v>
      </c>
      <c r="K51">
        <f t="shared" si="0"/>
        <v>330.39336872826499</v>
      </c>
      <c r="L51">
        <f t="shared" si="1"/>
        <v>291.80663089026501</v>
      </c>
      <c r="M51">
        <f t="shared" si="2"/>
        <v>307.507065558433</v>
      </c>
    </row>
    <row r="52" spans="1:13" x14ac:dyDescent="0.3">
      <c r="A52" s="1">
        <v>42895</v>
      </c>
      <c r="B52" s="1">
        <v>42923</v>
      </c>
      <c r="C52">
        <v>308.51888789534502</v>
      </c>
      <c r="D52">
        <v>310.25000004768299</v>
      </c>
      <c r="E52">
        <v>308.55</v>
      </c>
      <c r="F52">
        <v>-1.70000004768371</v>
      </c>
      <c r="G52">
        <v>-3.1112104654312099E-2</v>
      </c>
      <c r="H52">
        <v>1.70000004768371</v>
      </c>
      <c r="I52">
        <v>11.537757989999999</v>
      </c>
      <c r="J52" s="1">
        <v>42923</v>
      </c>
      <c r="K52">
        <f t="shared" si="0"/>
        <v>329.287300731183</v>
      </c>
      <c r="L52">
        <f t="shared" si="1"/>
        <v>291.21269936418298</v>
      </c>
      <c r="M52">
        <f t="shared" si="2"/>
        <v>308.51888789534502</v>
      </c>
    </row>
    <row r="53" spans="1:13" x14ac:dyDescent="0.3">
      <c r="A53" s="1">
        <v>42898</v>
      </c>
      <c r="B53" s="1">
        <v>42926</v>
      </c>
      <c r="C53">
        <v>308.98116331100402</v>
      </c>
      <c r="D53">
        <v>310.8</v>
      </c>
      <c r="E53">
        <v>305.3</v>
      </c>
      <c r="F53">
        <v>5.5</v>
      </c>
      <c r="G53">
        <v>3.6811633110046298</v>
      </c>
      <c r="H53">
        <v>5.5</v>
      </c>
      <c r="I53">
        <v>11.32296408</v>
      </c>
      <c r="J53" s="1">
        <v>42926</v>
      </c>
      <c r="K53">
        <f t="shared" si="0"/>
        <v>329.48289073199999</v>
      </c>
      <c r="L53">
        <f t="shared" si="1"/>
        <v>292.11710926800004</v>
      </c>
      <c r="M53">
        <f t="shared" si="2"/>
        <v>308.98116331100402</v>
      </c>
    </row>
    <row r="54" spans="1:13" x14ac:dyDescent="0.3">
      <c r="A54" s="1">
        <v>42899</v>
      </c>
      <c r="B54" s="1">
        <v>42927</v>
      </c>
      <c r="C54">
        <v>307.89568452834999</v>
      </c>
      <c r="D54">
        <v>312.70000009536699</v>
      </c>
      <c r="E54">
        <v>307.05</v>
      </c>
      <c r="F54">
        <v>5.6500000953674299</v>
      </c>
      <c r="G54">
        <v>0.84568452835082997</v>
      </c>
      <c r="H54">
        <v>5.6500000953674299</v>
      </c>
      <c r="I54">
        <v>11.05558579</v>
      </c>
      <c r="J54" s="1">
        <v>42927</v>
      </c>
      <c r="K54">
        <f t="shared" si="0"/>
        <v>330.94171664886699</v>
      </c>
      <c r="L54">
        <f t="shared" si="1"/>
        <v>294.45828354186699</v>
      </c>
      <c r="M54">
        <f t="shared" si="2"/>
        <v>307.89568452834999</v>
      </c>
    </row>
    <row r="55" spans="1:13" x14ac:dyDescent="0.3">
      <c r="A55" s="1">
        <v>42900</v>
      </c>
      <c r="B55" s="1">
        <v>42928</v>
      </c>
      <c r="C55">
        <v>308.780706191062</v>
      </c>
      <c r="D55">
        <v>312.599999809265</v>
      </c>
      <c r="E55">
        <v>307.39999999999998</v>
      </c>
      <c r="F55">
        <v>5.1999998092651296</v>
      </c>
      <c r="G55">
        <v>1.3807061910629199</v>
      </c>
      <c r="H55">
        <v>5.1999998092651296</v>
      </c>
      <c r="I55">
        <v>10.785996859999999</v>
      </c>
      <c r="J55" s="1">
        <v>42928</v>
      </c>
      <c r="K55">
        <f t="shared" si="0"/>
        <v>330.39689462826499</v>
      </c>
      <c r="L55">
        <f t="shared" si="1"/>
        <v>294.80310499026501</v>
      </c>
      <c r="M55">
        <f t="shared" si="2"/>
        <v>308.780706191062</v>
      </c>
    </row>
    <row r="56" spans="1:13" x14ac:dyDescent="0.3">
      <c r="A56" s="1">
        <v>42901</v>
      </c>
      <c r="B56" s="1">
        <v>42929</v>
      </c>
      <c r="C56">
        <v>310.95705213546699</v>
      </c>
      <c r="D56">
        <v>316.54999961853002</v>
      </c>
      <c r="E56">
        <v>305.64999999999998</v>
      </c>
      <c r="F56">
        <v>10.899999618530201</v>
      </c>
      <c r="G56">
        <v>5.3070521354675204</v>
      </c>
      <c r="H56">
        <v>10.899999618530201</v>
      </c>
      <c r="I56">
        <v>10.63473525</v>
      </c>
      <c r="J56" s="1">
        <v>42929</v>
      </c>
      <c r="K56">
        <f t="shared" si="0"/>
        <v>334.09731278103004</v>
      </c>
      <c r="L56">
        <f t="shared" si="1"/>
        <v>299.00268645603001</v>
      </c>
      <c r="M56">
        <f t="shared" si="2"/>
        <v>310.95705213546699</v>
      </c>
    </row>
    <row r="57" spans="1:13" x14ac:dyDescent="0.3">
      <c r="A57" s="1">
        <v>42902</v>
      </c>
      <c r="B57" s="1">
        <v>42930</v>
      </c>
      <c r="C57">
        <v>310.990046024322</v>
      </c>
      <c r="D57">
        <v>316.69999980926502</v>
      </c>
      <c r="E57">
        <v>306</v>
      </c>
      <c r="F57">
        <v>10.699999809265099</v>
      </c>
      <c r="G57">
        <v>4.9900460243225098</v>
      </c>
      <c r="H57">
        <v>10.699999809265099</v>
      </c>
      <c r="I57">
        <v>10.4024231</v>
      </c>
      <c r="J57" s="1">
        <v>42930</v>
      </c>
      <c r="K57">
        <f t="shared" si="0"/>
        <v>333.86399792426505</v>
      </c>
      <c r="L57">
        <f t="shared" si="1"/>
        <v>299.536001694265</v>
      </c>
      <c r="M57">
        <f t="shared" si="2"/>
        <v>310.990046024322</v>
      </c>
    </row>
    <row r="58" spans="1:13" x14ac:dyDescent="0.3">
      <c r="A58" s="1">
        <v>42905</v>
      </c>
      <c r="B58" s="1">
        <v>42933</v>
      </c>
      <c r="C58">
        <v>314.98138551711997</v>
      </c>
      <c r="D58">
        <v>317.49999980926498</v>
      </c>
      <c r="E58">
        <v>307.8</v>
      </c>
      <c r="F58">
        <v>9.6999998092651296</v>
      </c>
      <c r="G58">
        <v>7.1813855171203604</v>
      </c>
      <c r="H58">
        <v>9.6999998092651296</v>
      </c>
      <c r="I58">
        <v>10.182204260000001</v>
      </c>
      <c r="J58" s="1">
        <v>42933</v>
      </c>
      <c r="K58">
        <f t="shared" si="0"/>
        <v>334.30063683826495</v>
      </c>
      <c r="L58">
        <f t="shared" si="1"/>
        <v>300.69936278026501</v>
      </c>
      <c r="M58">
        <f t="shared" si="2"/>
        <v>314.98138551711997</v>
      </c>
    </row>
    <row r="59" spans="1:13" x14ac:dyDescent="0.3">
      <c r="A59" s="1">
        <v>42906</v>
      </c>
      <c r="B59" s="1">
        <v>42934</v>
      </c>
      <c r="C59">
        <v>312.022353506088</v>
      </c>
      <c r="D59">
        <v>318.04999980926499</v>
      </c>
      <c r="E59">
        <v>308.10000000000002</v>
      </c>
      <c r="F59">
        <v>9.9499998092651296</v>
      </c>
      <c r="G59">
        <v>3.9223535060882502</v>
      </c>
      <c r="H59">
        <v>9.9499998092651296</v>
      </c>
      <c r="I59">
        <v>9.9222192629999899</v>
      </c>
      <c r="J59" s="1">
        <v>42934</v>
      </c>
      <c r="K59">
        <f t="shared" si="0"/>
        <v>334.42166159321499</v>
      </c>
      <c r="L59">
        <f t="shared" si="1"/>
        <v>301.67833802531499</v>
      </c>
      <c r="M59">
        <f t="shared" si="2"/>
        <v>312.022353506088</v>
      </c>
    </row>
    <row r="60" spans="1:13" x14ac:dyDescent="0.3">
      <c r="A60" s="1">
        <v>42907</v>
      </c>
      <c r="B60" s="1">
        <v>42935</v>
      </c>
      <c r="C60">
        <v>314.64610605239801</v>
      </c>
      <c r="D60">
        <v>318.69999961853</v>
      </c>
      <c r="E60">
        <v>306.8</v>
      </c>
      <c r="F60">
        <v>11.899999618530201</v>
      </c>
      <c r="G60">
        <v>7.8461060523986799</v>
      </c>
      <c r="H60">
        <v>11.899999618530201</v>
      </c>
      <c r="I60">
        <v>9.5689236219999998</v>
      </c>
      <c r="J60" s="1">
        <v>42935</v>
      </c>
      <c r="K60">
        <f t="shared" si="0"/>
        <v>334.48872359482999</v>
      </c>
      <c r="L60">
        <f t="shared" si="1"/>
        <v>302.91127564223001</v>
      </c>
      <c r="M60">
        <f t="shared" si="2"/>
        <v>314.64610605239801</v>
      </c>
    </row>
    <row r="61" spans="1:13" x14ac:dyDescent="0.3">
      <c r="A61" s="1">
        <v>42908</v>
      </c>
      <c r="B61" s="1">
        <v>42936</v>
      </c>
      <c r="C61">
        <v>314.92512445449802</v>
      </c>
      <c r="D61">
        <v>319.60000019073402</v>
      </c>
      <c r="E61">
        <v>308.55</v>
      </c>
      <c r="F61">
        <v>11.050000190734799</v>
      </c>
      <c r="G61">
        <v>6.3751244544982901</v>
      </c>
      <c r="H61">
        <v>11.050000190734799</v>
      </c>
      <c r="I61">
        <v>9.2422643719999993</v>
      </c>
      <c r="J61" s="1">
        <v>42936</v>
      </c>
      <c r="K61">
        <f t="shared" si="0"/>
        <v>334.84973640453404</v>
      </c>
      <c r="L61">
        <f t="shared" si="1"/>
        <v>304.350263976934</v>
      </c>
      <c r="M61">
        <f t="shared" si="2"/>
        <v>314.92512445449802</v>
      </c>
    </row>
    <row r="62" spans="1:13" x14ac:dyDescent="0.3">
      <c r="A62" s="1">
        <v>42909</v>
      </c>
      <c r="B62" s="1">
        <v>42937</v>
      </c>
      <c r="C62">
        <v>310.28449749946498</v>
      </c>
      <c r="D62">
        <v>321.10000038146899</v>
      </c>
      <c r="E62">
        <v>309.25</v>
      </c>
      <c r="F62">
        <v>11.8500003814697</v>
      </c>
      <c r="G62">
        <v>1.0344974994659399</v>
      </c>
      <c r="H62">
        <v>11.8500003814697</v>
      </c>
      <c r="I62">
        <v>9.0064031040000003</v>
      </c>
      <c r="J62" s="1">
        <v>42937</v>
      </c>
      <c r="K62">
        <f t="shared" si="0"/>
        <v>335.96056550306901</v>
      </c>
      <c r="L62">
        <f t="shared" si="1"/>
        <v>306.23943525986897</v>
      </c>
      <c r="M62">
        <f t="shared" si="2"/>
        <v>310.28449749946498</v>
      </c>
    </row>
    <row r="63" spans="1:13" x14ac:dyDescent="0.3">
      <c r="A63" s="1">
        <v>42912</v>
      </c>
      <c r="B63" s="1">
        <v>42940</v>
      </c>
      <c r="C63">
        <v>315.06282835006698</v>
      </c>
      <c r="D63">
        <v>321.24999980926498</v>
      </c>
      <c r="E63">
        <v>310.55</v>
      </c>
      <c r="F63">
        <v>10.699999809265099</v>
      </c>
      <c r="G63">
        <v>4.5128283500671298</v>
      </c>
      <c r="H63">
        <v>10.699999809265099</v>
      </c>
      <c r="I63">
        <v>8.7728100349999991</v>
      </c>
      <c r="J63" s="1">
        <v>42940</v>
      </c>
      <c r="K63">
        <f t="shared" si="0"/>
        <v>335.72513636701495</v>
      </c>
      <c r="L63">
        <f t="shared" si="1"/>
        <v>306.774863251515</v>
      </c>
      <c r="M63">
        <f t="shared" si="2"/>
        <v>315.06282835006698</v>
      </c>
    </row>
    <row r="64" spans="1:13" x14ac:dyDescent="0.3">
      <c r="A64" s="1">
        <v>42913</v>
      </c>
      <c r="B64" s="1">
        <v>42941</v>
      </c>
      <c r="C64">
        <v>312.93498430251998</v>
      </c>
      <c r="D64">
        <v>319.65000019073398</v>
      </c>
      <c r="E64">
        <v>311.10000000000002</v>
      </c>
      <c r="F64">
        <v>8.5500001907348597</v>
      </c>
      <c r="G64">
        <v>1.83498430252075</v>
      </c>
      <c r="H64">
        <v>8.5500001907348597</v>
      </c>
      <c r="I64">
        <v>8.5826155489999998</v>
      </c>
      <c r="J64" s="1">
        <v>42941</v>
      </c>
      <c r="K64">
        <f t="shared" si="0"/>
        <v>333.81131584658397</v>
      </c>
      <c r="L64">
        <f t="shared" si="1"/>
        <v>305.48868453488399</v>
      </c>
      <c r="M64">
        <f t="shared" si="2"/>
        <v>312.93498430251998</v>
      </c>
    </row>
    <row r="65" spans="1:13" x14ac:dyDescent="0.3">
      <c r="A65" s="1">
        <v>42914</v>
      </c>
      <c r="B65" s="1">
        <v>42942</v>
      </c>
      <c r="C65">
        <v>314.94687080383301</v>
      </c>
      <c r="D65">
        <v>318.94999980926502</v>
      </c>
      <c r="E65">
        <v>310.25</v>
      </c>
      <c r="F65">
        <v>8.6999998092651296</v>
      </c>
      <c r="G65">
        <v>4.6968708038329998</v>
      </c>
      <c r="H65">
        <v>8.6999998092651296</v>
      </c>
      <c r="I65">
        <v>8.3847168799999992</v>
      </c>
      <c r="J65" s="1">
        <v>42942</v>
      </c>
      <c r="K65">
        <f t="shared" si="0"/>
        <v>332.78478266126501</v>
      </c>
      <c r="L65">
        <f t="shared" si="1"/>
        <v>305.11521695726503</v>
      </c>
      <c r="M65">
        <f t="shared" si="2"/>
        <v>314.94687080383301</v>
      </c>
    </row>
    <row r="66" spans="1:13" x14ac:dyDescent="0.3">
      <c r="A66" s="1">
        <v>42915</v>
      </c>
      <c r="B66" s="1">
        <v>42943</v>
      </c>
      <c r="C66">
        <v>314.317368841171</v>
      </c>
      <c r="D66">
        <v>319.85000000000002</v>
      </c>
      <c r="E66">
        <v>312.35000000000002</v>
      </c>
      <c r="F66">
        <v>7.5</v>
      </c>
      <c r="G66">
        <v>1.96736884117126</v>
      </c>
      <c r="H66">
        <v>7.5</v>
      </c>
      <c r="I66">
        <v>8.2068212279999901</v>
      </c>
      <c r="J66" s="1">
        <v>42943</v>
      </c>
      <c r="K66">
        <f t="shared" si="0"/>
        <v>333.39125502619999</v>
      </c>
      <c r="L66">
        <f t="shared" si="1"/>
        <v>306.30874497380006</v>
      </c>
      <c r="M66">
        <f t="shared" si="2"/>
        <v>314.317368841171</v>
      </c>
    </row>
    <row r="67" spans="1:13" x14ac:dyDescent="0.3">
      <c r="A67" s="1">
        <v>42916</v>
      </c>
      <c r="B67" s="1">
        <v>42944</v>
      </c>
      <c r="C67">
        <v>316.12519006729099</v>
      </c>
      <c r="D67">
        <v>312.55</v>
      </c>
      <c r="E67">
        <v>311.55</v>
      </c>
      <c r="F67">
        <v>1</v>
      </c>
      <c r="G67">
        <v>4.5751900672912598</v>
      </c>
      <c r="H67">
        <v>1</v>
      </c>
      <c r="I67">
        <v>7.8812786329999902</v>
      </c>
      <c r="J67" s="1">
        <v>42944</v>
      </c>
      <c r="K67">
        <f t="shared" ref="K67:K130" si="3">D67+1.65*I67</f>
        <v>325.55410974444999</v>
      </c>
      <c r="L67">
        <f t="shared" ref="L67:L130" si="4">D67-1.65*I67</f>
        <v>299.54589025555003</v>
      </c>
      <c r="M67">
        <f t="shared" ref="M67:M130" si="5">C67</f>
        <v>316.12519006729099</v>
      </c>
    </row>
    <row r="68" spans="1:13" x14ac:dyDescent="0.3">
      <c r="A68" s="1">
        <v>42919</v>
      </c>
      <c r="B68" s="1">
        <v>42947</v>
      </c>
      <c r="C68">
        <v>317.03040428161597</v>
      </c>
      <c r="D68">
        <v>313.55000002384099</v>
      </c>
      <c r="E68">
        <v>311.95</v>
      </c>
      <c r="F68">
        <v>1.6000000238418499</v>
      </c>
      <c r="G68">
        <v>5.08040428161621</v>
      </c>
      <c r="H68">
        <v>1.6000000238418499</v>
      </c>
      <c r="I68">
        <v>7.5336136170000003</v>
      </c>
      <c r="J68" s="1">
        <v>42947</v>
      </c>
      <c r="K68">
        <f t="shared" si="3"/>
        <v>325.98046249189099</v>
      </c>
      <c r="L68">
        <f t="shared" si="4"/>
        <v>301.119537555791</v>
      </c>
      <c r="M68">
        <f t="shared" si="5"/>
        <v>317.03040428161597</v>
      </c>
    </row>
    <row r="69" spans="1:13" x14ac:dyDescent="0.3">
      <c r="A69" s="1">
        <v>42920</v>
      </c>
      <c r="B69" s="1">
        <v>42948</v>
      </c>
      <c r="C69">
        <v>316.74491348266599</v>
      </c>
      <c r="D69">
        <v>316.55000009536701</v>
      </c>
      <c r="E69">
        <v>309.64999999999998</v>
      </c>
      <c r="F69">
        <v>6.9000000953674299</v>
      </c>
      <c r="G69">
        <v>7.0949134826660103</v>
      </c>
      <c r="H69">
        <v>6.9000000953674299</v>
      </c>
      <c r="I69">
        <v>7.2856713629999996</v>
      </c>
      <c r="J69" s="1">
        <v>42948</v>
      </c>
      <c r="K69">
        <f t="shared" si="3"/>
        <v>328.57135784431699</v>
      </c>
      <c r="L69">
        <f t="shared" si="4"/>
        <v>304.52864234641703</v>
      </c>
      <c r="M69">
        <f t="shared" si="5"/>
        <v>316.74491348266599</v>
      </c>
    </row>
    <row r="70" spans="1:13" x14ac:dyDescent="0.3">
      <c r="A70" s="1">
        <v>42921</v>
      </c>
      <c r="B70" s="1">
        <v>42949</v>
      </c>
      <c r="C70">
        <v>316.02963457107501</v>
      </c>
      <c r="D70">
        <v>317.15000019073398</v>
      </c>
      <c r="E70">
        <v>311.10000000000002</v>
      </c>
      <c r="F70">
        <v>6.0500001907348597</v>
      </c>
      <c r="G70">
        <v>4.9296345710754297</v>
      </c>
      <c r="H70">
        <v>6.0500001907348597</v>
      </c>
      <c r="I70">
        <v>7.0162937079999903</v>
      </c>
      <c r="J70" s="1">
        <v>42949</v>
      </c>
      <c r="K70">
        <f t="shared" si="3"/>
        <v>328.72688480893396</v>
      </c>
      <c r="L70">
        <f t="shared" si="4"/>
        <v>305.57311557253399</v>
      </c>
      <c r="M70">
        <f t="shared" si="5"/>
        <v>316.02963457107501</v>
      </c>
    </row>
    <row r="71" spans="1:13" x14ac:dyDescent="0.3">
      <c r="A71" s="1">
        <v>42922</v>
      </c>
      <c r="B71" s="1">
        <v>42950</v>
      </c>
      <c r="C71">
        <v>318.43021831512402</v>
      </c>
      <c r="D71">
        <v>311.65000001191999</v>
      </c>
      <c r="E71">
        <v>311.10000000000002</v>
      </c>
      <c r="F71">
        <v>0.55000001192092896</v>
      </c>
      <c r="G71">
        <v>7.3302183151245099</v>
      </c>
      <c r="H71">
        <v>0.55000001192092896</v>
      </c>
      <c r="I71">
        <v>6.7457855429999896</v>
      </c>
      <c r="J71" s="1">
        <v>42950</v>
      </c>
      <c r="K71">
        <f t="shared" si="3"/>
        <v>322.78054615786999</v>
      </c>
      <c r="L71">
        <f t="shared" si="4"/>
        <v>300.51945386596998</v>
      </c>
      <c r="M71">
        <f t="shared" si="5"/>
        <v>318.43021831512402</v>
      </c>
    </row>
    <row r="72" spans="1:13" x14ac:dyDescent="0.3">
      <c r="A72" s="1">
        <v>42923</v>
      </c>
      <c r="B72" s="1">
        <v>42951</v>
      </c>
      <c r="C72">
        <v>314.47261476516701</v>
      </c>
      <c r="D72">
        <v>312.849999904632</v>
      </c>
      <c r="E72">
        <v>310.25</v>
      </c>
      <c r="F72">
        <v>2.5999999046325599</v>
      </c>
      <c r="G72">
        <v>4.2226147651672301</v>
      </c>
      <c r="H72">
        <v>2.5999999046325599</v>
      </c>
      <c r="I72">
        <v>6.4602585010000002</v>
      </c>
      <c r="J72" s="1">
        <v>42951</v>
      </c>
      <c r="K72">
        <f t="shared" si="3"/>
        <v>323.50942643128201</v>
      </c>
      <c r="L72">
        <f t="shared" si="4"/>
        <v>302.19057337798199</v>
      </c>
      <c r="M72">
        <f t="shared" si="5"/>
        <v>314.47261476516701</v>
      </c>
    </row>
    <row r="73" spans="1:13" x14ac:dyDescent="0.3">
      <c r="A73" s="1">
        <v>42926</v>
      </c>
      <c r="B73" s="1">
        <v>42954</v>
      </c>
      <c r="C73">
        <v>315.046634960174</v>
      </c>
      <c r="D73">
        <v>312.89999990463201</v>
      </c>
      <c r="E73">
        <v>310.8</v>
      </c>
      <c r="F73">
        <v>2.0999999046325599</v>
      </c>
      <c r="G73">
        <v>4.2466349601745597</v>
      </c>
      <c r="H73">
        <v>2.0999999046325599</v>
      </c>
      <c r="I73">
        <v>6.3934764299999998</v>
      </c>
      <c r="J73" s="1">
        <v>42954</v>
      </c>
      <c r="K73">
        <f t="shared" si="3"/>
        <v>323.449236014132</v>
      </c>
      <c r="L73">
        <f t="shared" si="4"/>
        <v>302.35076379513202</v>
      </c>
      <c r="M73">
        <f t="shared" si="5"/>
        <v>315.046634960174</v>
      </c>
    </row>
    <row r="74" spans="1:13" x14ac:dyDescent="0.3">
      <c r="A74" s="1">
        <v>42927</v>
      </c>
      <c r="B74" s="1">
        <v>42955</v>
      </c>
      <c r="C74">
        <v>313.39354724883998</v>
      </c>
      <c r="D74">
        <v>312.85000000596</v>
      </c>
      <c r="E74">
        <v>312.7</v>
      </c>
      <c r="F74">
        <v>0.15000000596046401</v>
      </c>
      <c r="G74">
        <v>0.69354724884033203</v>
      </c>
      <c r="H74">
        <v>0.15000000596046401</v>
      </c>
      <c r="I74">
        <v>6.3198931379999896</v>
      </c>
      <c r="J74" s="1">
        <v>42955</v>
      </c>
      <c r="K74">
        <f t="shared" si="3"/>
        <v>323.27782368365996</v>
      </c>
      <c r="L74">
        <f t="shared" si="4"/>
        <v>302.42217632826004</v>
      </c>
      <c r="M74">
        <f t="shared" si="5"/>
        <v>313.39354724883998</v>
      </c>
    </row>
    <row r="75" spans="1:13" x14ac:dyDescent="0.3">
      <c r="A75" s="1">
        <v>42928</v>
      </c>
      <c r="B75" s="1">
        <v>42956</v>
      </c>
      <c r="C75">
        <v>316.638788318634</v>
      </c>
      <c r="D75">
        <v>308.64999995231602</v>
      </c>
      <c r="E75">
        <v>312.60000000000002</v>
      </c>
      <c r="F75">
        <v>-3.95000004768371</v>
      </c>
      <c r="G75">
        <v>4.0387883186340297</v>
      </c>
      <c r="H75">
        <v>-3.95000004768371</v>
      </c>
      <c r="I75">
        <v>6.1089700950000001</v>
      </c>
      <c r="J75" s="1">
        <v>42956</v>
      </c>
      <c r="K75">
        <f t="shared" si="3"/>
        <v>318.72980060906605</v>
      </c>
      <c r="L75">
        <f t="shared" si="4"/>
        <v>298.570199295566</v>
      </c>
      <c r="M75">
        <f t="shared" si="5"/>
        <v>316.638788318634</v>
      </c>
    </row>
    <row r="76" spans="1:13" x14ac:dyDescent="0.3">
      <c r="A76" s="1">
        <v>42929</v>
      </c>
      <c r="B76" s="1">
        <v>42957</v>
      </c>
      <c r="C76">
        <v>314.137639808654</v>
      </c>
      <c r="D76">
        <v>307.24999980926498</v>
      </c>
      <c r="E76">
        <v>316.55</v>
      </c>
      <c r="F76">
        <v>9.3000001907348597</v>
      </c>
      <c r="G76">
        <v>-2.41236019134521</v>
      </c>
      <c r="H76">
        <v>-9.3000001907348597</v>
      </c>
      <c r="I76">
        <v>6.0001028639999996</v>
      </c>
      <c r="J76" s="1">
        <v>42957</v>
      </c>
      <c r="K76">
        <f t="shared" si="3"/>
        <v>317.15016953486497</v>
      </c>
      <c r="L76">
        <f t="shared" si="4"/>
        <v>297.34983008366498</v>
      </c>
      <c r="M76">
        <f t="shared" si="5"/>
        <v>314.137639808654</v>
      </c>
    </row>
    <row r="77" spans="1:13" x14ac:dyDescent="0.3">
      <c r="A77" s="1">
        <v>42930</v>
      </c>
      <c r="B77" s="1">
        <v>42958</v>
      </c>
      <c r="C77">
        <v>313.506359529495</v>
      </c>
      <c r="D77">
        <v>301.500000190734</v>
      </c>
      <c r="E77">
        <v>316.7</v>
      </c>
      <c r="F77">
        <v>15.199999809265099</v>
      </c>
      <c r="G77">
        <v>-3.1936404705047599</v>
      </c>
      <c r="H77">
        <v>-15.199999809265099</v>
      </c>
      <c r="I77">
        <v>5.9285992999999904</v>
      </c>
      <c r="J77" s="1">
        <v>42958</v>
      </c>
      <c r="K77">
        <f t="shared" si="3"/>
        <v>311.28218903573401</v>
      </c>
      <c r="L77">
        <f t="shared" si="4"/>
        <v>291.71781134573399</v>
      </c>
      <c r="M77">
        <f t="shared" si="5"/>
        <v>313.506359529495</v>
      </c>
    </row>
    <row r="78" spans="1:13" x14ac:dyDescent="0.3">
      <c r="A78" s="1">
        <v>42933</v>
      </c>
      <c r="B78" s="1">
        <v>42961</v>
      </c>
      <c r="C78">
        <v>315.33699035644503</v>
      </c>
      <c r="D78">
        <v>304.60000038146899</v>
      </c>
      <c r="E78">
        <v>317.5</v>
      </c>
      <c r="F78">
        <v>12.899999618530201</v>
      </c>
      <c r="G78">
        <v>-2.16300964355468</v>
      </c>
      <c r="H78">
        <v>-12.899999618530201</v>
      </c>
      <c r="I78">
        <v>5.8287809619999997</v>
      </c>
      <c r="J78" s="1">
        <v>42961</v>
      </c>
      <c r="K78">
        <f t="shared" si="3"/>
        <v>314.21748896876898</v>
      </c>
      <c r="L78">
        <f t="shared" si="4"/>
        <v>294.982511794169</v>
      </c>
      <c r="M78">
        <f t="shared" si="5"/>
        <v>315.33699035644503</v>
      </c>
    </row>
    <row r="79" spans="1:13" x14ac:dyDescent="0.3">
      <c r="A79" s="1">
        <v>42934</v>
      </c>
      <c r="B79" s="1">
        <v>42962</v>
      </c>
      <c r="C79">
        <v>316.20983855724302</v>
      </c>
      <c r="D79">
        <v>304.60000019073402</v>
      </c>
      <c r="E79">
        <v>318.05</v>
      </c>
      <c r="F79">
        <v>13.449999809265099</v>
      </c>
      <c r="G79">
        <v>-1.8401614427566499</v>
      </c>
      <c r="H79">
        <v>-13.449999809265099</v>
      </c>
      <c r="I79">
        <v>5.7148547579999898</v>
      </c>
      <c r="J79" s="1">
        <v>42962</v>
      </c>
      <c r="K79">
        <f t="shared" si="3"/>
        <v>314.02951054143398</v>
      </c>
      <c r="L79">
        <f t="shared" si="4"/>
        <v>295.17048984003407</v>
      </c>
      <c r="M79">
        <f t="shared" si="5"/>
        <v>316.20983855724302</v>
      </c>
    </row>
    <row r="80" spans="1:13" x14ac:dyDescent="0.3">
      <c r="A80" s="1">
        <v>42935</v>
      </c>
      <c r="B80" s="1">
        <v>42963</v>
      </c>
      <c r="C80">
        <v>317.59776706695499</v>
      </c>
      <c r="D80">
        <v>306.250000190734</v>
      </c>
      <c r="E80">
        <v>318.7</v>
      </c>
      <c r="F80">
        <v>12.449999809265099</v>
      </c>
      <c r="G80">
        <v>-1.10223293304443</v>
      </c>
      <c r="H80">
        <v>-12.449999809265099</v>
      </c>
      <c r="I80">
        <v>5.5839999359999997</v>
      </c>
      <c r="J80" s="1">
        <v>42963</v>
      </c>
      <c r="K80">
        <f t="shared" si="3"/>
        <v>315.46360008513398</v>
      </c>
      <c r="L80">
        <f t="shared" si="4"/>
        <v>297.03640029633402</v>
      </c>
      <c r="M80">
        <f t="shared" si="5"/>
        <v>317.59776706695499</v>
      </c>
    </row>
    <row r="81" spans="1:13" x14ac:dyDescent="0.3">
      <c r="A81" s="1">
        <v>42936</v>
      </c>
      <c r="B81" s="1">
        <v>42964</v>
      </c>
      <c r="C81">
        <v>318.34243497848502</v>
      </c>
      <c r="D81">
        <v>307.90000019073398</v>
      </c>
      <c r="E81">
        <v>319.60000000000002</v>
      </c>
      <c r="F81">
        <v>11.699999809265099</v>
      </c>
      <c r="G81">
        <v>-1.2575650215148899</v>
      </c>
      <c r="H81">
        <v>-11.699999809265099</v>
      </c>
      <c r="I81">
        <v>5.4069397629999996</v>
      </c>
      <c r="J81" s="1">
        <v>42964</v>
      </c>
      <c r="K81">
        <f t="shared" si="3"/>
        <v>316.82145079968399</v>
      </c>
      <c r="L81">
        <f t="shared" si="4"/>
        <v>298.97854958178397</v>
      </c>
      <c r="M81">
        <f t="shared" si="5"/>
        <v>318.34243497848502</v>
      </c>
    </row>
    <row r="82" spans="1:13" x14ac:dyDescent="0.3">
      <c r="A82" s="1">
        <v>42937</v>
      </c>
      <c r="B82" s="1">
        <v>42965</v>
      </c>
      <c r="C82">
        <v>319.75767514705598</v>
      </c>
      <c r="D82">
        <v>307.74999961853001</v>
      </c>
      <c r="E82">
        <v>321.10000000000002</v>
      </c>
      <c r="F82">
        <v>13.3500003814697</v>
      </c>
      <c r="G82">
        <v>-1.34232485294342</v>
      </c>
      <c r="H82">
        <v>-13.3500003814697</v>
      </c>
      <c r="I82">
        <v>5.206907395</v>
      </c>
      <c r="J82" s="1">
        <v>42965</v>
      </c>
      <c r="K82">
        <f t="shared" si="3"/>
        <v>316.34139682028001</v>
      </c>
      <c r="L82">
        <f t="shared" si="4"/>
        <v>299.15860241678001</v>
      </c>
      <c r="M82">
        <f t="shared" si="5"/>
        <v>319.75767514705598</v>
      </c>
    </row>
    <row r="83" spans="1:13" x14ac:dyDescent="0.3">
      <c r="A83" s="1">
        <v>42940</v>
      </c>
      <c r="B83" s="1">
        <v>42968</v>
      </c>
      <c r="C83">
        <v>320.20165407657601</v>
      </c>
      <c r="D83">
        <v>307.05000019073401</v>
      </c>
      <c r="E83">
        <v>321.25</v>
      </c>
      <c r="F83">
        <v>14.199999809265099</v>
      </c>
      <c r="G83">
        <v>-1.04834592342376</v>
      </c>
      <c r="H83">
        <v>-14.199999809265099</v>
      </c>
      <c r="I83">
        <v>5.0805473660000002</v>
      </c>
      <c r="J83" s="1">
        <v>42968</v>
      </c>
      <c r="K83">
        <f t="shared" si="3"/>
        <v>315.43290334463398</v>
      </c>
      <c r="L83">
        <f t="shared" si="4"/>
        <v>298.66709703683404</v>
      </c>
      <c r="M83">
        <f t="shared" si="5"/>
        <v>320.20165407657601</v>
      </c>
    </row>
    <row r="84" spans="1:13" x14ac:dyDescent="0.3">
      <c r="A84" s="1">
        <v>42941</v>
      </c>
      <c r="B84" s="1">
        <v>42969</v>
      </c>
      <c r="C84">
        <v>321.24221208095503</v>
      </c>
      <c r="D84">
        <v>308.70000019073399</v>
      </c>
      <c r="E84">
        <v>319.64999999999998</v>
      </c>
      <c r="F84">
        <v>-10.949999809265099</v>
      </c>
      <c r="G84">
        <v>1.5922120809555</v>
      </c>
      <c r="H84">
        <v>-10.949999809265099</v>
      </c>
      <c r="I84">
        <v>4.9492705370000003</v>
      </c>
      <c r="J84" s="1">
        <v>42969</v>
      </c>
      <c r="K84">
        <f t="shared" si="3"/>
        <v>316.86629657678401</v>
      </c>
      <c r="L84">
        <f t="shared" si="4"/>
        <v>300.53370380468397</v>
      </c>
      <c r="M84">
        <f t="shared" si="5"/>
        <v>321.24221208095503</v>
      </c>
    </row>
    <row r="85" spans="1:13" x14ac:dyDescent="0.3">
      <c r="A85" s="1">
        <v>42942</v>
      </c>
      <c r="B85" s="1">
        <v>42970</v>
      </c>
      <c r="C85">
        <v>322.70110030174197</v>
      </c>
      <c r="D85">
        <v>308.59999961852998</v>
      </c>
      <c r="E85">
        <v>318.95</v>
      </c>
      <c r="F85">
        <v>-10.3500003814697</v>
      </c>
      <c r="G85">
        <v>3.7511003017425502</v>
      </c>
      <c r="H85">
        <v>-10.3500003814697</v>
      </c>
      <c r="I85">
        <v>4.8370972300000004</v>
      </c>
      <c r="J85" s="1">
        <v>42970</v>
      </c>
      <c r="K85">
        <f t="shared" si="3"/>
        <v>316.58121004802996</v>
      </c>
      <c r="L85">
        <f t="shared" si="4"/>
        <v>300.61878918903</v>
      </c>
      <c r="M85">
        <f t="shared" si="5"/>
        <v>322.70110030174197</v>
      </c>
    </row>
    <row r="86" spans="1:13" x14ac:dyDescent="0.3">
      <c r="A86" s="1">
        <v>42943</v>
      </c>
      <c r="B86" s="1">
        <v>42971</v>
      </c>
      <c r="C86">
        <v>323.68192944526601</v>
      </c>
      <c r="D86">
        <v>310.10000000000002</v>
      </c>
      <c r="E86">
        <v>319.85000000000002</v>
      </c>
      <c r="F86">
        <v>-9.75</v>
      </c>
      <c r="G86">
        <v>3.8319294452667201</v>
      </c>
      <c r="H86">
        <v>-9.75</v>
      </c>
      <c r="I86">
        <v>4.7956109739999997</v>
      </c>
      <c r="J86" s="1">
        <v>42971</v>
      </c>
      <c r="K86">
        <f t="shared" si="3"/>
        <v>318.01275810710001</v>
      </c>
      <c r="L86">
        <f t="shared" si="4"/>
        <v>302.18724189290003</v>
      </c>
      <c r="M86">
        <f t="shared" si="5"/>
        <v>323.68192944526601</v>
      </c>
    </row>
    <row r="87" spans="1:13" x14ac:dyDescent="0.3">
      <c r="A87" s="1">
        <v>42944</v>
      </c>
      <c r="B87" s="1">
        <v>42972</v>
      </c>
      <c r="C87">
        <v>316.77150897979698</v>
      </c>
      <c r="D87">
        <v>310.25000004768299</v>
      </c>
      <c r="E87">
        <v>312.55</v>
      </c>
      <c r="F87">
        <v>-2.2999999523162802</v>
      </c>
      <c r="G87">
        <v>4.2215089797973597</v>
      </c>
      <c r="H87">
        <v>-2.2999999523162802</v>
      </c>
      <c r="I87">
        <v>4.7782155399999997</v>
      </c>
      <c r="J87" s="1">
        <v>42972</v>
      </c>
      <c r="K87">
        <f t="shared" si="3"/>
        <v>318.13405568868296</v>
      </c>
      <c r="L87">
        <f t="shared" si="4"/>
        <v>302.36594440668301</v>
      </c>
      <c r="M87">
        <f t="shared" si="5"/>
        <v>316.77150897979698</v>
      </c>
    </row>
    <row r="88" spans="1:13" x14ac:dyDescent="0.3">
      <c r="A88" s="1">
        <v>42947</v>
      </c>
      <c r="B88" s="1">
        <v>42975</v>
      </c>
      <c r="C88">
        <v>322.19920330047597</v>
      </c>
      <c r="D88">
        <v>308.20000009536699</v>
      </c>
      <c r="E88">
        <v>313.55</v>
      </c>
      <c r="F88">
        <v>-5.3499999046325604</v>
      </c>
      <c r="G88">
        <v>8.6492033004760707</v>
      </c>
      <c r="H88">
        <v>-5.3499999046325604</v>
      </c>
      <c r="I88">
        <v>4.7636774239999999</v>
      </c>
      <c r="J88" s="1">
        <v>42975</v>
      </c>
      <c r="K88">
        <f t="shared" si="3"/>
        <v>316.06006784496697</v>
      </c>
      <c r="L88">
        <f t="shared" si="4"/>
        <v>300.33993234576701</v>
      </c>
      <c r="M88">
        <f t="shared" si="5"/>
        <v>322.19920330047597</v>
      </c>
    </row>
    <row r="89" spans="1:13" x14ac:dyDescent="0.3">
      <c r="A89" s="1">
        <v>42948</v>
      </c>
      <c r="B89" s="1">
        <v>42976</v>
      </c>
      <c r="C89">
        <v>323.52205924987697</v>
      </c>
      <c r="D89">
        <v>307.150000381469</v>
      </c>
      <c r="E89">
        <v>316.55</v>
      </c>
      <c r="F89">
        <v>-9.3999996185302699</v>
      </c>
      <c r="G89">
        <v>6.9720592498779297</v>
      </c>
      <c r="H89">
        <v>-9.3999996185302699</v>
      </c>
      <c r="I89">
        <v>4.7179686689999896</v>
      </c>
      <c r="J89" s="1">
        <v>42976</v>
      </c>
      <c r="K89">
        <f t="shared" si="3"/>
        <v>314.93464868531896</v>
      </c>
      <c r="L89">
        <f t="shared" si="4"/>
        <v>299.36535207761904</v>
      </c>
      <c r="M89">
        <f t="shared" si="5"/>
        <v>323.52205924987697</v>
      </c>
    </row>
    <row r="90" spans="1:13" x14ac:dyDescent="0.3">
      <c r="A90" s="1">
        <v>42949</v>
      </c>
      <c r="B90" s="1">
        <v>42977</v>
      </c>
      <c r="C90">
        <v>324.348180675506</v>
      </c>
      <c r="D90">
        <v>309.00000038146902</v>
      </c>
      <c r="E90">
        <v>317.14999999999998</v>
      </c>
      <c r="F90">
        <v>-8.1499996185302699</v>
      </c>
      <c r="G90">
        <v>7.19818067550659</v>
      </c>
      <c r="H90">
        <v>-8.1499996185302699</v>
      </c>
      <c r="I90">
        <v>4.6689191989999896</v>
      </c>
      <c r="J90" s="1">
        <v>42977</v>
      </c>
      <c r="K90">
        <f t="shared" si="3"/>
        <v>316.70371705981898</v>
      </c>
      <c r="L90">
        <f t="shared" si="4"/>
        <v>301.29628370311906</v>
      </c>
      <c r="M90">
        <f t="shared" si="5"/>
        <v>324.348180675506</v>
      </c>
    </row>
    <row r="91" spans="1:13" x14ac:dyDescent="0.3">
      <c r="A91" s="1">
        <v>42950</v>
      </c>
      <c r="B91" s="1">
        <v>42978</v>
      </c>
      <c r="C91">
        <v>319.43240060806198</v>
      </c>
      <c r="D91">
        <v>306.64999999999998</v>
      </c>
      <c r="E91">
        <v>311.64999999999998</v>
      </c>
      <c r="F91">
        <v>-5</v>
      </c>
      <c r="G91">
        <v>7.7824006080627397</v>
      </c>
      <c r="H91">
        <v>-5</v>
      </c>
      <c r="I91">
        <v>4.6234803900000001</v>
      </c>
      <c r="J91" s="1">
        <v>42978</v>
      </c>
      <c r="K91">
        <f t="shared" si="3"/>
        <v>314.27874264349998</v>
      </c>
      <c r="L91">
        <f t="shared" si="4"/>
        <v>299.02125735649997</v>
      </c>
      <c r="M91">
        <f t="shared" si="5"/>
        <v>319.43240060806198</v>
      </c>
    </row>
    <row r="92" spans="1:13" x14ac:dyDescent="0.3">
      <c r="A92" s="1">
        <v>42951</v>
      </c>
      <c r="B92" s="1">
        <v>42979</v>
      </c>
      <c r="C92">
        <v>321.599400138855</v>
      </c>
      <c r="D92">
        <v>306.29999980926499</v>
      </c>
      <c r="E92">
        <v>312.85000000000002</v>
      </c>
      <c r="F92">
        <v>-6.5500001907348597</v>
      </c>
      <c r="G92">
        <v>8.7494001388549805</v>
      </c>
      <c r="H92">
        <v>-6.5500001907348597</v>
      </c>
      <c r="I92">
        <v>4.6420039549999998</v>
      </c>
      <c r="J92" s="1">
        <v>42979</v>
      </c>
      <c r="K92">
        <f t="shared" si="3"/>
        <v>313.95930633501501</v>
      </c>
      <c r="L92">
        <f t="shared" si="4"/>
        <v>298.64069328351496</v>
      </c>
      <c r="M92">
        <f t="shared" si="5"/>
        <v>321.599400138855</v>
      </c>
    </row>
    <row r="93" spans="1:13" x14ac:dyDescent="0.3">
      <c r="A93" s="1">
        <v>42954</v>
      </c>
      <c r="B93" s="1">
        <v>42982</v>
      </c>
      <c r="C93">
        <v>320.59776201248098</v>
      </c>
      <c r="D93">
        <v>303.50000038146902</v>
      </c>
      <c r="E93">
        <v>312.89999999999998</v>
      </c>
      <c r="F93">
        <v>-9.3999996185302699</v>
      </c>
      <c r="G93">
        <v>7.6977620124816797</v>
      </c>
      <c r="H93">
        <v>-9.3999996185302699</v>
      </c>
      <c r="I93">
        <v>4.7134926779999997</v>
      </c>
      <c r="J93" s="1">
        <v>42982</v>
      </c>
      <c r="K93">
        <f t="shared" si="3"/>
        <v>311.27726330016901</v>
      </c>
      <c r="L93">
        <f t="shared" si="4"/>
        <v>295.72273746276903</v>
      </c>
      <c r="M93">
        <f t="shared" si="5"/>
        <v>320.59776201248098</v>
      </c>
    </row>
    <row r="94" spans="1:13" x14ac:dyDescent="0.3">
      <c r="A94" s="1">
        <v>42955</v>
      </c>
      <c r="B94" s="1">
        <v>42983</v>
      </c>
      <c r="C94">
        <v>319.53155145645098</v>
      </c>
      <c r="D94">
        <v>302.70000038146901</v>
      </c>
      <c r="E94">
        <v>312.85000000000002</v>
      </c>
      <c r="F94">
        <v>-10.149999618530201</v>
      </c>
      <c r="G94">
        <v>6.6815514564514098</v>
      </c>
      <c r="H94">
        <v>-10.149999618530201</v>
      </c>
      <c r="I94">
        <v>4.8028090489999897</v>
      </c>
      <c r="J94" s="1">
        <v>42983</v>
      </c>
      <c r="K94">
        <f t="shared" si="3"/>
        <v>310.62463531231901</v>
      </c>
      <c r="L94">
        <f t="shared" si="4"/>
        <v>294.77536545061901</v>
      </c>
      <c r="M94">
        <f t="shared" si="5"/>
        <v>319.53155145645098</v>
      </c>
    </row>
    <row r="95" spans="1:13" x14ac:dyDescent="0.3">
      <c r="A95" s="1">
        <v>42956</v>
      </c>
      <c r="B95" s="1">
        <v>42984</v>
      </c>
      <c r="C95">
        <v>318.67121639251701</v>
      </c>
      <c r="D95">
        <v>302.30000009536701</v>
      </c>
      <c r="E95">
        <v>308.64999999999998</v>
      </c>
      <c r="F95">
        <v>-6.3499999046325604</v>
      </c>
      <c r="G95">
        <v>10.021216392516999</v>
      </c>
      <c r="H95">
        <v>-6.3499999046325604</v>
      </c>
      <c r="I95">
        <v>4.8707988550000003</v>
      </c>
      <c r="J95" s="1">
        <v>42984</v>
      </c>
      <c r="K95">
        <f t="shared" si="3"/>
        <v>310.33681820611702</v>
      </c>
      <c r="L95">
        <f t="shared" si="4"/>
        <v>294.26318198461701</v>
      </c>
      <c r="M95">
        <f t="shared" si="5"/>
        <v>318.67121639251701</v>
      </c>
    </row>
    <row r="96" spans="1:13" x14ac:dyDescent="0.3">
      <c r="A96" s="1">
        <v>42957</v>
      </c>
      <c r="B96" s="1">
        <v>42985</v>
      </c>
      <c r="C96">
        <v>312.64865636825499</v>
      </c>
      <c r="D96">
        <v>306.20000004768298</v>
      </c>
      <c r="E96">
        <v>307.25</v>
      </c>
      <c r="F96">
        <v>-1.04999995231628</v>
      </c>
      <c r="G96">
        <v>5.3986563682556099</v>
      </c>
      <c r="H96">
        <v>-1.04999995231628</v>
      </c>
      <c r="I96">
        <v>4.8768391500000003</v>
      </c>
      <c r="J96" s="1">
        <v>42985</v>
      </c>
      <c r="K96">
        <f t="shared" si="3"/>
        <v>314.24678464518297</v>
      </c>
      <c r="L96">
        <f t="shared" si="4"/>
        <v>298.15321545018298</v>
      </c>
      <c r="M96">
        <f t="shared" si="5"/>
        <v>312.64865636825499</v>
      </c>
    </row>
    <row r="97" spans="1:13" x14ac:dyDescent="0.3">
      <c r="A97" s="1">
        <v>42958</v>
      </c>
      <c r="B97" s="1">
        <v>42986</v>
      </c>
      <c r="C97">
        <v>312.70539093017499</v>
      </c>
      <c r="D97">
        <v>306.25</v>
      </c>
      <c r="E97">
        <v>301.5</v>
      </c>
      <c r="F97">
        <v>4.75</v>
      </c>
      <c r="G97">
        <v>11.2053909301757</v>
      </c>
      <c r="H97">
        <v>4.75</v>
      </c>
      <c r="I97">
        <v>4.9002955659999996</v>
      </c>
      <c r="J97" s="1">
        <v>42986</v>
      </c>
      <c r="K97">
        <f t="shared" si="3"/>
        <v>314.3354876839</v>
      </c>
      <c r="L97">
        <f t="shared" si="4"/>
        <v>298.1645123161</v>
      </c>
      <c r="M97">
        <f t="shared" si="5"/>
        <v>312.70539093017499</v>
      </c>
    </row>
    <row r="98" spans="1:13" x14ac:dyDescent="0.3">
      <c r="A98" s="1">
        <v>42961</v>
      </c>
      <c r="B98" s="1">
        <v>42989</v>
      </c>
      <c r="C98">
        <v>315.85856685638402</v>
      </c>
      <c r="D98">
        <v>309.250000095367</v>
      </c>
      <c r="E98">
        <v>304.60000000000002</v>
      </c>
      <c r="F98">
        <v>4.6500000953674299</v>
      </c>
      <c r="G98">
        <v>11.258566856384199</v>
      </c>
      <c r="H98">
        <v>4.6500000953674299</v>
      </c>
      <c r="I98">
        <v>4.8581930450000002</v>
      </c>
      <c r="J98" s="1">
        <v>42989</v>
      </c>
      <c r="K98">
        <f t="shared" si="3"/>
        <v>317.266018619617</v>
      </c>
      <c r="L98">
        <f t="shared" si="4"/>
        <v>301.233981571117</v>
      </c>
      <c r="M98">
        <f t="shared" si="5"/>
        <v>315.85856685638402</v>
      </c>
    </row>
    <row r="99" spans="1:13" x14ac:dyDescent="0.3">
      <c r="A99" s="1">
        <v>42962</v>
      </c>
      <c r="B99" s="1">
        <v>42990</v>
      </c>
      <c r="C99">
        <v>314.86571273803702</v>
      </c>
      <c r="D99">
        <v>309.19999990463202</v>
      </c>
      <c r="E99">
        <v>304.60000000000002</v>
      </c>
      <c r="F99">
        <v>4.5999999046325604</v>
      </c>
      <c r="G99">
        <v>10.2657127380371</v>
      </c>
      <c r="H99">
        <v>4.5999999046325604</v>
      </c>
      <c r="I99">
        <v>4.8406988530000001</v>
      </c>
      <c r="J99" s="1">
        <v>42990</v>
      </c>
      <c r="K99">
        <f t="shared" si="3"/>
        <v>317.18715301208204</v>
      </c>
      <c r="L99">
        <f t="shared" si="4"/>
        <v>301.21284679718201</v>
      </c>
      <c r="M99">
        <f t="shared" si="5"/>
        <v>314.86571273803702</v>
      </c>
    </row>
    <row r="100" spans="1:13" x14ac:dyDescent="0.3">
      <c r="A100" s="1">
        <v>42963</v>
      </c>
      <c r="B100" s="1">
        <v>42991</v>
      </c>
      <c r="C100">
        <v>316.79809474945</v>
      </c>
      <c r="D100">
        <v>308.549999952316</v>
      </c>
      <c r="E100">
        <v>306.25</v>
      </c>
      <c r="F100">
        <v>2.2999999523162802</v>
      </c>
      <c r="G100">
        <v>10.5480947494506</v>
      </c>
      <c r="H100">
        <v>2.2999999523162802</v>
      </c>
      <c r="I100">
        <v>4.8306631519999996</v>
      </c>
      <c r="J100" s="1">
        <v>42991</v>
      </c>
      <c r="K100">
        <f t="shared" si="3"/>
        <v>316.52059415311601</v>
      </c>
      <c r="L100">
        <f t="shared" si="4"/>
        <v>300.57940575151599</v>
      </c>
      <c r="M100">
        <f t="shared" si="5"/>
        <v>316.79809474945</v>
      </c>
    </row>
    <row r="101" spans="1:13" x14ac:dyDescent="0.3">
      <c r="A101" s="1">
        <v>42964</v>
      </c>
      <c r="B101" s="1">
        <v>42992</v>
      </c>
      <c r="C101">
        <v>319.45468940734798</v>
      </c>
      <c r="D101">
        <v>310.24999990463198</v>
      </c>
      <c r="E101">
        <v>307.89999999999998</v>
      </c>
      <c r="F101">
        <v>2.3499999046325599</v>
      </c>
      <c r="G101">
        <v>11.554689407348601</v>
      </c>
      <c r="H101">
        <v>2.3499999046325599</v>
      </c>
      <c r="I101">
        <v>4.7892712380000004</v>
      </c>
      <c r="J101" s="1">
        <v>42992</v>
      </c>
      <c r="K101">
        <f t="shared" si="3"/>
        <v>318.15229744733199</v>
      </c>
      <c r="L101">
        <f t="shared" si="4"/>
        <v>302.34770236193197</v>
      </c>
      <c r="M101">
        <f t="shared" si="5"/>
        <v>319.45468940734798</v>
      </c>
    </row>
    <row r="102" spans="1:13" x14ac:dyDescent="0.3">
      <c r="A102" s="1">
        <v>42965</v>
      </c>
      <c r="B102" s="1">
        <v>42993</v>
      </c>
      <c r="C102">
        <v>319.30333328247002</v>
      </c>
      <c r="D102">
        <v>311.20000004768298</v>
      </c>
      <c r="E102">
        <v>307.75</v>
      </c>
      <c r="F102">
        <v>3.45000004768371</v>
      </c>
      <c r="G102">
        <v>11.5533332824707</v>
      </c>
      <c r="H102">
        <v>3.45000004768371</v>
      </c>
      <c r="I102">
        <v>4.7518805739999896</v>
      </c>
      <c r="J102" s="1">
        <v>42993</v>
      </c>
      <c r="K102">
        <f t="shared" si="3"/>
        <v>319.04060299478294</v>
      </c>
      <c r="L102">
        <f t="shared" si="4"/>
        <v>303.35939710058301</v>
      </c>
      <c r="M102">
        <f t="shared" si="5"/>
        <v>319.30333328247002</v>
      </c>
    </row>
    <row r="103" spans="1:13" x14ac:dyDescent="0.3">
      <c r="A103" s="1">
        <v>42968</v>
      </c>
      <c r="B103" s="1">
        <v>42996</v>
      </c>
      <c r="C103">
        <v>319.193883705139</v>
      </c>
      <c r="D103">
        <v>316.69999961853</v>
      </c>
      <c r="E103">
        <v>307.05</v>
      </c>
      <c r="F103">
        <v>9.6499996185302699</v>
      </c>
      <c r="G103">
        <v>12.1438837051391</v>
      </c>
      <c r="H103">
        <v>9.6499996185302699</v>
      </c>
      <c r="I103">
        <v>4.7911134439999996</v>
      </c>
      <c r="J103" s="1">
        <v>42996</v>
      </c>
      <c r="K103">
        <f t="shared" si="3"/>
        <v>324.60533680113002</v>
      </c>
      <c r="L103">
        <f t="shared" si="4"/>
        <v>308.79466243592998</v>
      </c>
      <c r="M103">
        <f t="shared" si="5"/>
        <v>319.193883705139</v>
      </c>
    </row>
    <row r="104" spans="1:13" x14ac:dyDescent="0.3">
      <c r="A104" s="1">
        <v>42969</v>
      </c>
      <c r="B104" s="1">
        <v>42997</v>
      </c>
      <c r="C104">
        <v>317.58566493988002</v>
      </c>
      <c r="D104">
        <v>316.04999990463199</v>
      </c>
      <c r="E104">
        <v>308.7</v>
      </c>
      <c r="F104">
        <v>7.3499999046325604</v>
      </c>
      <c r="G104">
        <v>8.8856649398803693</v>
      </c>
      <c r="H104">
        <v>7.3499999046325604</v>
      </c>
      <c r="I104">
        <v>4.8180416399999997</v>
      </c>
      <c r="J104" s="1">
        <v>42997</v>
      </c>
      <c r="K104">
        <f t="shared" si="3"/>
        <v>323.99976861063197</v>
      </c>
      <c r="L104">
        <f t="shared" si="4"/>
        <v>308.100231198632</v>
      </c>
      <c r="M104">
        <f t="shared" si="5"/>
        <v>317.58566493988002</v>
      </c>
    </row>
    <row r="105" spans="1:13" x14ac:dyDescent="0.3">
      <c r="A105" s="1">
        <v>42970</v>
      </c>
      <c r="B105" s="1">
        <v>42998</v>
      </c>
      <c r="C105">
        <v>317.81428775787299</v>
      </c>
      <c r="D105">
        <v>315.79999980926499</v>
      </c>
      <c r="E105">
        <v>308.60000000000002</v>
      </c>
      <c r="F105">
        <v>7.1999998092651296</v>
      </c>
      <c r="G105">
        <v>9.2142877578735298</v>
      </c>
      <c r="H105">
        <v>7.1999998092651296</v>
      </c>
      <c r="I105">
        <v>4.8220139470000003</v>
      </c>
      <c r="J105" s="1">
        <v>42998</v>
      </c>
      <c r="K105">
        <f t="shared" si="3"/>
        <v>323.75632282181499</v>
      </c>
      <c r="L105">
        <f t="shared" si="4"/>
        <v>307.84367679671499</v>
      </c>
      <c r="M105">
        <f t="shared" si="5"/>
        <v>317.81428775787299</v>
      </c>
    </row>
    <row r="106" spans="1:13" x14ac:dyDescent="0.3">
      <c r="A106" s="1">
        <v>42971</v>
      </c>
      <c r="B106" s="1">
        <v>42999</v>
      </c>
      <c r="C106">
        <v>320.14242897033603</v>
      </c>
      <c r="D106">
        <v>316.04999980926499</v>
      </c>
      <c r="E106">
        <v>310.10000000000002</v>
      </c>
      <c r="F106">
        <v>5.9499998092651296</v>
      </c>
      <c r="G106">
        <v>10.0424289703369</v>
      </c>
      <c r="H106">
        <v>5.9499998092651296</v>
      </c>
      <c r="I106">
        <v>4.8464788219999999</v>
      </c>
      <c r="J106" s="1">
        <v>42999</v>
      </c>
      <c r="K106">
        <f t="shared" si="3"/>
        <v>324.04668986556499</v>
      </c>
      <c r="L106">
        <f t="shared" si="4"/>
        <v>308.05330975296499</v>
      </c>
      <c r="M106">
        <f t="shared" si="5"/>
        <v>320.14242897033603</v>
      </c>
    </row>
    <row r="107" spans="1:13" x14ac:dyDescent="0.3">
      <c r="A107" s="1">
        <v>42972</v>
      </c>
      <c r="B107" s="1">
        <v>43000</v>
      </c>
      <c r="C107">
        <v>320.75231361389098</v>
      </c>
      <c r="D107">
        <v>313.75</v>
      </c>
      <c r="E107">
        <v>310.25</v>
      </c>
      <c r="F107">
        <v>3.5</v>
      </c>
      <c r="G107">
        <v>10.5023136138916</v>
      </c>
      <c r="H107">
        <v>3.5</v>
      </c>
      <c r="I107">
        <v>4.8481748400000004</v>
      </c>
      <c r="J107" s="1">
        <v>43000</v>
      </c>
      <c r="K107">
        <f t="shared" si="3"/>
        <v>321.74948848600002</v>
      </c>
      <c r="L107">
        <f t="shared" si="4"/>
        <v>305.75051151399998</v>
      </c>
      <c r="M107">
        <f t="shared" si="5"/>
        <v>320.75231361389098</v>
      </c>
    </row>
    <row r="108" spans="1:13" x14ac:dyDescent="0.3">
      <c r="A108" s="1">
        <v>42975</v>
      </c>
      <c r="B108" s="1">
        <v>43003</v>
      </c>
      <c r="C108">
        <v>317.19530601501401</v>
      </c>
      <c r="D108">
        <v>313.79999990463199</v>
      </c>
      <c r="E108">
        <v>308.2</v>
      </c>
      <c r="F108">
        <v>5.5999999046325604</v>
      </c>
      <c r="G108">
        <v>8.9953060150146396</v>
      </c>
      <c r="H108">
        <v>5.5999999046325604</v>
      </c>
      <c r="I108">
        <v>4.8558391939999996</v>
      </c>
      <c r="J108" s="1">
        <v>43003</v>
      </c>
      <c r="K108">
        <f t="shared" si="3"/>
        <v>321.812134574732</v>
      </c>
      <c r="L108">
        <f t="shared" si="4"/>
        <v>305.78786523453198</v>
      </c>
      <c r="M108">
        <f t="shared" si="5"/>
        <v>317.19530601501401</v>
      </c>
    </row>
    <row r="109" spans="1:13" x14ac:dyDescent="0.3">
      <c r="A109" s="1">
        <v>42976</v>
      </c>
      <c r="B109" s="1">
        <v>43004</v>
      </c>
      <c r="C109">
        <v>313.84922447204502</v>
      </c>
      <c r="D109">
        <v>311.80000009536701</v>
      </c>
      <c r="E109">
        <v>307.14999999999998</v>
      </c>
      <c r="F109">
        <v>4.6500000953674299</v>
      </c>
      <c r="G109">
        <v>6.6992244720458896</v>
      </c>
      <c r="H109">
        <v>4.6500000953674299</v>
      </c>
      <c r="I109">
        <v>4.8557872139999896</v>
      </c>
      <c r="J109" s="1">
        <v>43004</v>
      </c>
      <c r="K109">
        <f t="shared" si="3"/>
        <v>319.81204899846699</v>
      </c>
      <c r="L109">
        <f t="shared" si="4"/>
        <v>303.78795119226703</v>
      </c>
      <c r="M109">
        <f t="shared" si="5"/>
        <v>313.84922447204502</v>
      </c>
    </row>
    <row r="110" spans="1:13" x14ac:dyDescent="0.3">
      <c r="A110" s="1">
        <v>42977</v>
      </c>
      <c r="B110" s="1">
        <v>43005</v>
      </c>
      <c r="C110">
        <v>316.68531847000099</v>
      </c>
      <c r="D110">
        <v>311.40000009536698</v>
      </c>
      <c r="E110">
        <v>309</v>
      </c>
      <c r="F110">
        <v>2.4000000953674299</v>
      </c>
      <c r="G110">
        <v>7.6853184700012198</v>
      </c>
      <c r="H110">
        <v>2.4000000953674299</v>
      </c>
      <c r="I110">
        <v>4.8533357380000002</v>
      </c>
      <c r="J110" s="1">
        <v>43005</v>
      </c>
      <c r="K110">
        <f t="shared" si="3"/>
        <v>319.40800406306698</v>
      </c>
      <c r="L110">
        <f t="shared" si="4"/>
        <v>303.39199612766697</v>
      </c>
      <c r="M110">
        <f t="shared" si="5"/>
        <v>316.68531847000099</v>
      </c>
    </row>
    <row r="111" spans="1:13" x14ac:dyDescent="0.3">
      <c r="A111" s="1">
        <v>42978</v>
      </c>
      <c r="B111" s="1">
        <v>43006</v>
      </c>
      <c r="C111">
        <v>311.07617321014402</v>
      </c>
      <c r="D111">
        <v>311.599999809265</v>
      </c>
      <c r="E111">
        <v>306.64999999999998</v>
      </c>
      <c r="F111">
        <v>4.9499998092651296</v>
      </c>
      <c r="G111">
        <v>4.4261732101440403</v>
      </c>
      <c r="H111">
        <v>4.9499998092651296</v>
      </c>
      <c r="I111">
        <v>4.8521654559999998</v>
      </c>
      <c r="J111" s="1">
        <v>43006</v>
      </c>
      <c r="K111">
        <f t="shared" si="3"/>
        <v>319.606072811665</v>
      </c>
      <c r="L111">
        <f t="shared" si="4"/>
        <v>303.593926806865</v>
      </c>
      <c r="M111">
        <f t="shared" si="5"/>
        <v>311.07617321014402</v>
      </c>
    </row>
    <row r="112" spans="1:13" x14ac:dyDescent="0.3">
      <c r="A112" s="1">
        <v>42979</v>
      </c>
      <c r="B112" s="1">
        <v>43007</v>
      </c>
      <c r="C112">
        <v>310.75010757446199</v>
      </c>
      <c r="D112">
        <v>314.3</v>
      </c>
      <c r="E112">
        <v>306.3</v>
      </c>
      <c r="F112">
        <v>8</v>
      </c>
      <c r="G112">
        <v>4.4501075744628897</v>
      </c>
      <c r="H112">
        <v>8</v>
      </c>
      <c r="I112">
        <v>4.864717336</v>
      </c>
      <c r="J112" s="1">
        <v>43007</v>
      </c>
      <c r="K112">
        <f t="shared" si="3"/>
        <v>322.32678360440002</v>
      </c>
      <c r="L112">
        <f t="shared" si="4"/>
        <v>306.2732163956</v>
      </c>
      <c r="M112">
        <f t="shared" si="5"/>
        <v>310.75010757446199</v>
      </c>
    </row>
    <row r="113" spans="1:13" x14ac:dyDescent="0.3">
      <c r="A113" s="1">
        <v>42982</v>
      </c>
      <c r="B113" s="1">
        <v>43010</v>
      </c>
      <c r="C113">
        <v>313.37766361236498</v>
      </c>
      <c r="D113">
        <v>314.30000019073401</v>
      </c>
      <c r="E113">
        <v>303.5</v>
      </c>
      <c r="F113">
        <v>10.800000190734799</v>
      </c>
      <c r="G113">
        <v>9.8776636123657209</v>
      </c>
      <c r="H113">
        <v>10.800000190734799</v>
      </c>
      <c r="I113">
        <v>4.8766285489999897</v>
      </c>
      <c r="J113" s="1">
        <v>43010</v>
      </c>
      <c r="K113">
        <f t="shared" si="3"/>
        <v>322.34643729658399</v>
      </c>
      <c r="L113">
        <f t="shared" si="4"/>
        <v>306.25356308488404</v>
      </c>
      <c r="M113">
        <f t="shared" si="5"/>
        <v>313.37766361236498</v>
      </c>
    </row>
    <row r="114" spans="1:13" x14ac:dyDescent="0.3">
      <c r="A114" s="1">
        <v>42983</v>
      </c>
      <c r="B114" s="1">
        <v>43011</v>
      </c>
      <c r="C114">
        <v>311.53655261993401</v>
      </c>
      <c r="D114">
        <v>314.30000038146898</v>
      </c>
      <c r="E114">
        <v>302.7</v>
      </c>
      <c r="F114">
        <v>11.6000003814697</v>
      </c>
      <c r="G114">
        <v>8.8365526199340803</v>
      </c>
      <c r="H114">
        <v>11.6000003814697</v>
      </c>
      <c r="I114">
        <v>4.8822295999999996</v>
      </c>
      <c r="J114" s="1">
        <v>43011</v>
      </c>
      <c r="K114">
        <f t="shared" si="3"/>
        <v>322.35567922146896</v>
      </c>
      <c r="L114">
        <f t="shared" si="4"/>
        <v>306.24432154146899</v>
      </c>
      <c r="M114">
        <f t="shared" si="5"/>
        <v>311.53655261993401</v>
      </c>
    </row>
    <row r="115" spans="1:13" x14ac:dyDescent="0.3">
      <c r="A115" s="1">
        <v>42984</v>
      </c>
      <c r="B115" s="1">
        <v>43012</v>
      </c>
      <c r="C115">
        <v>312.46142177581697</v>
      </c>
      <c r="D115">
        <v>314.3</v>
      </c>
      <c r="E115">
        <v>302.3</v>
      </c>
      <c r="F115">
        <v>12</v>
      </c>
      <c r="G115">
        <v>10.1614217758178</v>
      </c>
      <c r="H115">
        <v>12</v>
      </c>
      <c r="I115">
        <v>4.8928767400000002</v>
      </c>
      <c r="J115" s="1">
        <v>43012</v>
      </c>
      <c r="K115">
        <f t="shared" si="3"/>
        <v>322.37324662100002</v>
      </c>
      <c r="L115">
        <f t="shared" si="4"/>
        <v>306.226753379</v>
      </c>
      <c r="M115">
        <f t="shared" si="5"/>
        <v>312.46142177581697</v>
      </c>
    </row>
    <row r="116" spans="1:13" x14ac:dyDescent="0.3">
      <c r="A116" s="1">
        <v>42985</v>
      </c>
      <c r="B116" s="1">
        <v>43013</v>
      </c>
      <c r="C116">
        <v>311.57953615188597</v>
      </c>
      <c r="D116">
        <v>314.30000038146898</v>
      </c>
      <c r="E116">
        <v>306.2</v>
      </c>
      <c r="F116">
        <v>8.1000003814697195</v>
      </c>
      <c r="G116">
        <v>5.3795361518859801</v>
      </c>
      <c r="H116">
        <v>8.1000003814697195</v>
      </c>
      <c r="I116">
        <v>4.9029987390000001</v>
      </c>
      <c r="J116" s="1">
        <v>43013</v>
      </c>
      <c r="K116">
        <f t="shared" si="3"/>
        <v>322.38994830081896</v>
      </c>
      <c r="L116">
        <f t="shared" si="4"/>
        <v>306.21005246211899</v>
      </c>
      <c r="M116">
        <f t="shared" si="5"/>
        <v>311.57953615188597</v>
      </c>
    </row>
    <row r="117" spans="1:13" x14ac:dyDescent="0.3">
      <c r="A117" s="1">
        <v>42986</v>
      </c>
      <c r="B117" s="1">
        <v>43014</v>
      </c>
      <c r="C117">
        <v>316.751605033874</v>
      </c>
      <c r="D117">
        <v>314.30000019073401</v>
      </c>
      <c r="E117">
        <v>306.25</v>
      </c>
      <c r="F117">
        <v>8.0500001907348597</v>
      </c>
      <c r="G117">
        <v>10.501605033874499</v>
      </c>
      <c r="H117">
        <v>8.0500001907348597</v>
      </c>
      <c r="I117">
        <v>4.9095866289999996</v>
      </c>
      <c r="J117" s="1">
        <v>43014</v>
      </c>
      <c r="K117">
        <f t="shared" si="3"/>
        <v>322.40081812858404</v>
      </c>
      <c r="L117">
        <f t="shared" si="4"/>
        <v>306.19918225288399</v>
      </c>
      <c r="M117">
        <f t="shared" si="5"/>
        <v>316.751605033874</v>
      </c>
    </row>
    <row r="118" spans="1:13" x14ac:dyDescent="0.3">
      <c r="A118" s="1">
        <v>42989</v>
      </c>
      <c r="B118" s="1">
        <v>43017</v>
      </c>
      <c r="C118">
        <v>317.03813409805298</v>
      </c>
      <c r="D118">
        <v>314.30000019073401</v>
      </c>
      <c r="E118">
        <v>309.25</v>
      </c>
      <c r="F118">
        <v>5.0500001907348597</v>
      </c>
      <c r="G118">
        <v>7.7881340980529696</v>
      </c>
      <c r="H118">
        <v>5.0500001907348597</v>
      </c>
      <c r="I118">
        <v>4.9176856559999997</v>
      </c>
      <c r="J118" s="1">
        <v>43017</v>
      </c>
      <c r="K118">
        <f t="shared" si="3"/>
        <v>322.414181523134</v>
      </c>
      <c r="L118">
        <f t="shared" si="4"/>
        <v>306.18581885833402</v>
      </c>
      <c r="M118">
        <f t="shared" si="5"/>
        <v>317.03813409805298</v>
      </c>
    </row>
    <row r="119" spans="1:13" x14ac:dyDescent="0.3">
      <c r="A119" s="1">
        <v>42990</v>
      </c>
      <c r="B119" s="1">
        <v>43018</v>
      </c>
      <c r="C119">
        <v>316.03408975601099</v>
      </c>
      <c r="D119">
        <v>320.14999980926501</v>
      </c>
      <c r="E119">
        <v>309.2</v>
      </c>
      <c r="F119">
        <v>10.949999809265099</v>
      </c>
      <c r="G119">
        <v>6.8340897560119602</v>
      </c>
      <c r="H119">
        <v>10.949999809265099</v>
      </c>
      <c r="I119">
        <v>5.0235034130000003</v>
      </c>
      <c r="J119" s="1">
        <v>43018</v>
      </c>
      <c r="K119">
        <f t="shared" si="3"/>
        <v>328.43878044071499</v>
      </c>
      <c r="L119">
        <f t="shared" si="4"/>
        <v>311.86121917781503</v>
      </c>
      <c r="M119">
        <f t="shared" si="5"/>
        <v>316.03408975601099</v>
      </c>
    </row>
    <row r="120" spans="1:13" x14ac:dyDescent="0.3">
      <c r="A120" s="1">
        <v>42991</v>
      </c>
      <c r="B120" s="1">
        <v>43019</v>
      </c>
      <c r="C120">
        <v>317.26021652221601</v>
      </c>
      <c r="D120">
        <v>323.24999980926498</v>
      </c>
      <c r="E120">
        <v>308.55</v>
      </c>
      <c r="F120">
        <v>14.699999809265099</v>
      </c>
      <c r="G120">
        <v>8.7102165222167898</v>
      </c>
      <c r="H120">
        <v>14.699999809265099</v>
      </c>
      <c r="I120">
        <v>5.2146206030000002</v>
      </c>
      <c r="J120" s="1">
        <v>43019</v>
      </c>
      <c r="K120">
        <f t="shared" si="3"/>
        <v>331.85412380421496</v>
      </c>
      <c r="L120">
        <f t="shared" si="4"/>
        <v>314.64587581431499</v>
      </c>
      <c r="M120">
        <f t="shared" si="5"/>
        <v>317.26021652221601</v>
      </c>
    </row>
    <row r="121" spans="1:13" x14ac:dyDescent="0.3">
      <c r="A121" s="1">
        <v>42992</v>
      </c>
      <c r="B121" s="1">
        <v>43020</v>
      </c>
      <c r="C121">
        <v>319.626229286193</v>
      </c>
      <c r="D121">
        <v>325.64999961852999</v>
      </c>
      <c r="E121">
        <v>310.25</v>
      </c>
      <c r="F121">
        <v>15.399999618530201</v>
      </c>
      <c r="G121">
        <v>9.3762292861938406</v>
      </c>
      <c r="H121">
        <v>15.399999618530201</v>
      </c>
      <c r="I121">
        <v>5.4519594439999999</v>
      </c>
      <c r="J121" s="1">
        <v>43020</v>
      </c>
      <c r="K121">
        <f t="shared" si="3"/>
        <v>334.64573270112999</v>
      </c>
      <c r="L121">
        <f t="shared" si="4"/>
        <v>316.65426653592999</v>
      </c>
      <c r="M121">
        <f t="shared" si="5"/>
        <v>319.626229286193</v>
      </c>
    </row>
    <row r="122" spans="1:13" x14ac:dyDescent="0.3">
      <c r="A122" s="1">
        <v>42993</v>
      </c>
      <c r="B122" s="1">
        <v>43021</v>
      </c>
      <c r="C122">
        <v>314.13341946601798</v>
      </c>
      <c r="D122">
        <v>325.30000038146898</v>
      </c>
      <c r="E122">
        <v>311.2</v>
      </c>
      <c r="F122">
        <v>14.1000003814697</v>
      </c>
      <c r="G122">
        <v>2.9334194660186701</v>
      </c>
      <c r="H122">
        <v>14.1000003814697</v>
      </c>
      <c r="I122">
        <v>5.6615272339999896</v>
      </c>
      <c r="J122" s="1">
        <v>43021</v>
      </c>
      <c r="K122">
        <f t="shared" si="3"/>
        <v>334.64152031756896</v>
      </c>
      <c r="L122">
        <f t="shared" si="4"/>
        <v>315.95848044536899</v>
      </c>
      <c r="M122">
        <f t="shared" si="5"/>
        <v>314.13341946601798</v>
      </c>
    </row>
    <row r="123" spans="1:13" x14ac:dyDescent="0.3">
      <c r="A123" s="1">
        <v>42996</v>
      </c>
      <c r="B123" s="1">
        <v>43024</v>
      </c>
      <c r="C123">
        <v>319.81292576789798</v>
      </c>
      <c r="D123">
        <v>325.500000190734</v>
      </c>
      <c r="E123">
        <v>316.7</v>
      </c>
      <c r="F123">
        <v>8.8000001907348597</v>
      </c>
      <c r="G123">
        <v>3.1129257678985498</v>
      </c>
      <c r="H123">
        <v>8.8000001907348597</v>
      </c>
      <c r="I123">
        <v>5.8576877700000001</v>
      </c>
      <c r="J123" s="1">
        <v>43024</v>
      </c>
      <c r="K123">
        <f t="shared" si="3"/>
        <v>335.16518501123397</v>
      </c>
      <c r="L123">
        <f t="shared" si="4"/>
        <v>315.83481537023403</v>
      </c>
      <c r="M123">
        <f t="shared" si="5"/>
        <v>319.81292576789798</v>
      </c>
    </row>
    <row r="124" spans="1:13" x14ac:dyDescent="0.3">
      <c r="A124" s="1">
        <v>42997</v>
      </c>
      <c r="B124" s="1">
        <v>43025</v>
      </c>
      <c r="C124">
        <v>317.69225864410402</v>
      </c>
      <c r="D124">
        <v>325.8</v>
      </c>
      <c r="E124">
        <v>316.05</v>
      </c>
      <c r="F124">
        <v>9.75</v>
      </c>
      <c r="G124">
        <v>1.6422586441039999</v>
      </c>
      <c r="H124">
        <v>9.75</v>
      </c>
      <c r="I124">
        <v>6.0477347950000002</v>
      </c>
      <c r="J124" s="1">
        <v>43025</v>
      </c>
      <c r="K124">
        <f t="shared" si="3"/>
        <v>335.77876241174999</v>
      </c>
      <c r="L124">
        <f t="shared" si="4"/>
        <v>315.82123758825003</v>
      </c>
      <c r="M124">
        <f t="shared" si="5"/>
        <v>317.69225864410402</v>
      </c>
    </row>
    <row r="125" spans="1:13" x14ac:dyDescent="0.3">
      <c r="A125" s="1">
        <v>42998</v>
      </c>
      <c r="B125" s="1">
        <v>43026</v>
      </c>
      <c r="C125">
        <v>316.20363231301297</v>
      </c>
      <c r="D125">
        <v>325.85000019073402</v>
      </c>
      <c r="E125">
        <v>315.8</v>
      </c>
      <c r="F125">
        <v>10.050000190734799</v>
      </c>
      <c r="G125">
        <v>0.40363231301307601</v>
      </c>
      <c r="H125">
        <v>10.050000190734799</v>
      </c>
      <c r="I125">
        <v>6.2221468789999896</v>
      </c>
      <c r="J125" s="1">
        <v>43026</v>
      </c>
      <c r="K125">
        <f t="shared" si="3"/>
        <v>336.11654254108402</v>
      </c>
      <c r="L125">
        <f t="shared" si="4"/>
        <v>315.58345784038403</v>
      </c>
      <c r="M125">
        <f t="shared" si="5"/>
        <v>316.20363231301297</v>
      </c>
    </row>
    <row r="126" spans="1:13" x14ac:dyDescent="0.3">
      <c r="A126" s="1">
        <v>42999</v>
      </c>
      <c r="B126" s="1">
        <v>43027</v>
      </c>
      <c r="C126">
        <v>318.82881789207403</v>
      </c>
      <c r="D126">
        <v>324.10000019073402</v>
      </c>
      <c r="E126">
        <v>316.05</v>
      </c>
      <c r="F126">
        <v>8.0500001907348597</v>
      </c>
      <c r="G126">
        <v>2.7788178920745801</v>
      </c>
      <c r="H126">
        <v>8.0500001907348597</v>
      </c>
      <c r="I126">
        <v>6.3237336260000001</v>
      </c>
      <c r="J126" s="1">
        <v>43027</v>
      </c>
      <c r="K126">
        <f t="shared" si="3"/>
        <v>334.53416067363401</v>
      </c>
      <c r="L126">
        <f t="shared" si="4"/>
        <v>313.66583970783404</v>
      </c>
      <c r="M126">
        <f t="shared" si="5"/>
        <v>318.82881789207403</v>
      </c>
    </row>
    <row r="127" spans="1:13" x14ac:dyDescent="0.3">
      <c r="A127" s="1">
        <v>43000</v>
      </c>
      <c r="B127" s="1">
        <v>43028</v>
      </c>
      <c r="C127">
        <v>321.81589317321698</v>
      </c>
      <c r="D127">
        <v>326.25</v>
      </c>
      <c r="E127">
        <v>313.75</v>
      </c>
      <c r="F127">
        <v>12.5</v>
      </c>
      <c r="G127">
        <v>8.0658931732177699</v>
      </c>
      <c r="H127">
        <v>12.5</v>
      </c>
      <c r="I127">
        <v>6.4598730900000003</v>
      </c>
      <c r="J127" s="1">
        <v>43028</v>
      </c>
      <c r="K127">
        <f t="shared" si="3"/>
        <v>336.90879059849999</v>
      </c>
      <c r="L127">
        <f t="shared" si="4"/>
        <v>315.59120940150001</v>
      </c>
      <c r="M127">
        <f t="shared" si="5"/>
        <v>321.81589317321698</v>
      </c>
    </row>
    <row r="128" spans="1:13" x14ac:dyDescent="0.3">
      <c r="A128" s="1">
        <v>43003</v>
      </c>
      <c r="B128" s="1">
        <v>43031</v>
      </c>
      <c r="C128">
        <v>318.89777545928899</v>
      </c>
      <c r="D128">
        <v>327.05</v>
      </c>
      <c r="E128">
        <v>313.8</v>
      </c>
      <c r="F128">
        <v>13.25</v>
      </c>
      <c r="G128">
        <v>5.0977754592895499</v>
      </c>
      <c r="H128">
        <v>13.25</v>
      </c>
      <c r="I128">
        <v>6.6151943939999898</v>
      </c>
      <c r="J128" s="1">
        <v>43031</v>
      </c>
      <c r="K128">
        <f t="shared" si="3"/>
        <v>337.96507075009998</v>
      </c>
      <c r="L128">
        <f t="shared" si="4"/>
        <v>316.13492924990004</v>
      </c>
      <c r="M128">
        <f t="shared" si="5"/>
        <v>318.89777545928899</v>
      </c>
    </row>
    <row r="129" spans="1:13" x14ac:dyDescent="0.3">
      <c r="A129" s="1">
        <v>43004</v>
      </c>
      <c r="B129" s="1">
        <v>43032</v>
      </c>
      <c r="C129">
        <v>314.42066078186002</v>
      </c>
      <c r="D129">
        <v>326.55</v>
      </c>
      <c r="E129">
        <v>311.8</v>
      </c>
      <c r="F129">
        <v>14.75</v>
      </c>
      <c r="G129">
        <v>2.6206607818603498</v>
      </c>
      <c r="H129">
        <v>14.75</v>
      </c>
      <c r="I129">
        <v>6.7771174489999897</v>
      </c>
      <c r="J129" s="1">
        <v>43032</v>
      </c>
      <c r="K129">
        <f t="shared" si="3"/>
        <v>337.73224379085002</v>
      </c>
      <c r="L129">
        <f t="shared" si="4"/>
        <v>315.36775620915</v>
      </c>
      <c r="M129">
        <f t="shared" si="5"/>
        <v>314.42066078186002</v>
      </c>
    </row>
    <row r="130" spans="1:13" x14ac:dyDescent="0.3">
      <c r="A130" s="1">
        <v>43005</v>
      </c>
      <c r="B130" s="1">
        <v>43033</v>
      </c>
      <c r="C130">
        <v>319.16921224594103</v>
      </c>
      <c r="D130">
        <v>326.75000038146902</v>
      </c>
      <c r="E130">
        <v>311.39999999999998</v>
      </c>
      <c r="F130">
        <v>15.3500003814697</v>
      </c>
      <c r="G130">
        <v>7.7692122459411603</v>
      </c>
      <c r="H130">
        <v>15.3500003814697</v>
      </c>
      <c r="I130">
        <v>6.9492586589999998</v>
      </c>
      <c r="J130" s="1">
        <v>43033</v>
      </c>
      <c r="K130">
        <f t="shared" si="3"/>
        <v>338.21627716881903</v>
      </c>
      <c r="L130">
        <f t="shared" si="4"/>
        <v>315.28372359411901</v>
      </c>
      <c r="M130">
        <f t="shared" si="5"/>
        <v>319.16921224594103</v>
      </c>
    </row>
    <row r="131" spans="1:13" x14ac:dyDescent="0.3">
      <c r="A131" s="1">
        <v>43006</v>
      </c>
      <c r="B131" s="1">
        <v>43034</v>
      </c>
      <c r="C131">
        <v>322.41539154052703</v>
      </c>
      <c r="D131">
        <v>323.74999961853001</v>
      </c>
      <c r="E131">
        <v>311.60000000000002</v>
      </c>
      <c r="F131">
        <v>12.149999618530201</v>
      </c>
      <c r="G131">
        <v>10.815391540527299</v>
      </c>
      <c r="H131">
        <v>12.149999618530201</v>
      </c>
      <c r="I131">
        <v>7.0238661660000004</v>
      </c>
      <c r="J131" s="1">
        <v>43034</v>
      </c>
      <c r="K131">
        <f t="shared" ref="K131:K194" si="6">D131+1.65*I131</f>
        <v>335.33937879243001</v>
      </c>
      <c r="L131">
        <f t="shared" ref="L131:L194" si="7">D131-1.65*I131</f>
        <v>312.16062044463001</v>
      </c>
      <c r="M131">
        <f t="shared" ref="M131:M194" si="8">C131</f>
        <v>322.41539154052703</v>
      </c>
    </row>
    <row r="132" spans="1:13" x14ac:dyDescent="0.3">
      <c r="A132" s="1">
        <v>43007</v>
      </c>
      <c r="B132" s="1">
        <v>43035</v>
      </c>
      <c r="C132">
        <v>314.098417776823</v>
      </c>
      <c r="D132">
        <v>326.85000019073402</v>
      </c>
      <c r="E132">
        <v>314.3</v>
      </c>
      <c r="F132">
        <v>-12.550000190734799</v>
      </c>
      <c r="G132">
        <v>-0.20158222317695601</v>
      </c>
      <c r="H132">
        <v>12.550000190734799</v>
      </c>
      <c r="I132">
        <v>7.2219246679999998</v>
      </c>
      <c r="J132" s="1">
        <v>43035</v>
      </c>
      <c r="K132">
        <f t="shared" si="6"/>
        <v>338.76617589293403</v>
      </c>
      <c r="L132">
        <f t="shared" si="7"/>
        <v>314.93382448853401</v>
      </c>
      <c r="M132">
        <f t="shared" si="8"/>
        <v>314.098417776823</v>
      </c>
    </row>
    <row r="133" spans="1:13" x14ac:dyDescent="0.3">
      <c r="A133" s="1">
        <v>43010</v>
      </c>
      <c r="B133" s="1">
        <v>43038</v>
      </c>
      <c r="C133">
        <v>312.51973168849901</v>
      </c>
      <c r="D133">
        <v>327.44999961853</v>
      </c>
      <c r="E133">
        <v>314.3</v>
      </c>
      <c r="F133">
        <v>-13.149999618530201</v>
      </c>
      <c r="G133">
        <v>-1.78026831150054</v>
      </c>
      <c r="H133">
        <v>13.149999618530201</v>
      </c>
      <c r="I133">
        <v>7.4264424099999999</v>
      </c>
      <c r="J133" s="1">
        <v>43038</v>
      </c>
      <c r="K133">
        <f t="shared" si="6"/>
        <v>339.70362959503001</v>
      </c>
      <c r="L133">
        <f t="shared" si="7"/>
        <v>315.19636964202999</v>
      </c>
      <c r="M133">
        <f t="shared" si="8"/>
        <v>312.51973168849901</v>
      </c>
    </row>
    <row r="134" spans="1:13" x14ac:dyDescent="0.3">
      <c r="A134" s="1">
        <v>43011</v>
      </c>
      <c r="B134" s="1">
        <v>43039</v>
      </c>
      <c r="C134">
        <v>313.284604477882</v>
      </c>
      <c r="D134">
        <v>331.05</v>
      </c>
      <c r="E134">
        <v>314.3</v>
      </c>
      <c r="F134">
        <v>-16.75</v>
      </c>
      <c r="G134">
        <v>-1.0153955221176101</v>
      </c>
      <c r="H134">
        <v>16.75</v>
      </c>
      <c r="I134">
        <v>7.7248648700000002</v>
      </c>
      <c r="J134" s="1">
        <v>43039</v>
      </c>
      <c r="K134">
        <f t="shared" si="6"/>
        <v>343.7960270355</v>
      </c>
      <c r="L134">
        <f t="shared" si="7"/>
        <v>318.30397296450002</v>
      </c>
      <c r="M134">
        <f t="shared" si="8"/>
        <v>313.284604477882</v>
      </c>
    </row>
    <row r="135" spans="1:13" x14ac:dyDescent="0.3">
      <c r="A135" s="1">
        <v>43012</v>
      </c>
      <c r="B135" s="1">
        <v>43040</v>
      </c>
      <c r="C135">
        <v>312.09022383689802</v>
      </c>
      <c r="D135">
        <v>336.55</v>
      </c>
      <c r="E135">
        <v>314.3</v>
      </c>
      <c r="F135">
        <v>-22.25</v>
      </c>
      <c r="G135">
        <v>-2.2097761631011901</v>
      </c>
      <c r="H135">
        <v>22.25</v>
      </c>
      <c r="I135">
        <v>8.2105999000000001</v>
      </c>
      <c r="J135" s="1">
        <v>43040</v>
      </c>
      <c r="K135">
        <f t="shared" si="6"/>
        <v>350.09748983500003</v>
      </c>
      <c r="L135">
        <f t="shared" si="7"/>
        <v>323.00251016499999</v>
      </c>
      <c r="M135">
        <f t="shared" si="8"/>
        <v>312.09022383689802</v>
      </c>
    </row>
    <row r="136" spans="1:13" x14ac:dyDescent="0.3">
      <c r="A136" s="1">
        <v>43013</v>
      </c>
      <c r="B136" s="1">
        <v>43041</v>
      </c>
      <c r="C136">
        <v>314.77482624650003</v>
      </c>
      <c r="D136">
        <v>335.05</v>
      </c>
      <c r="E136">
        <v>314.3</v>
      </c>
      <c r="F136">
        <v>20.75</v>
      </c>
      <c r="G136">
        <v>0.47482624650001498</v>
      </c>
      <c r="H136">
        <v>20.75</v>
      </c>
      <c r="I136">
        <v>8.5994302559999998</v>
      </c>
      <c r="J136" s="1">
        <v>43041</v>
      </c>
      <c r="K136">
        <f t="shared" si="6"/>
        <v>349.23905992240003</v>
      </c>
      <c r="L136">
        <f t="shared" si="7"/>
        <v>320.86094007759999</v>
      </c>
      <c r="M136">
        <f t="shared" si="8"/>
        <v>314.77482624650003</v>
      </c>
    </row>
    <row r="137" spans="1:13" x14ac:dyDescent="0.3">
      <c r="A137" s="1">
        <v>43014</v>
      </c>
      <c r="B137" s="1">
        <v>43042</v>
      </c>
      <c r="C137">
        <v>316.06086199283601</v>
      </c>
      <c r="D137">
        <v>336.34999923705999</v>
      </c>
      <c r="E137">
        <v>314.3</v>
      </c>
      <c r="F137">
        <v>22.049999237060501</v>
      </c>
      <c r="G137">
        <v>1.7608619928359901</v>
      </c>
      <c r="H137">
        <v>22.049999237060501</v>
      </c>
      <c r="I137">
        <v>9.0092958799999998</v>
      </c>
      <c r="J137" s="1">
        <v>43042</v>
      </c>
      <c r="K137">
        <f t="shared" si="6"/>
        <v>351.21533743905997</v>
      </c>
      <c r="L137">
        <f t="shared" si="7"/>
        <v>321.48466103506001</v>
      </c>
      <c r="M137">
        <f t="shared" si="8"/>
        <v>316.06086199283601</v>
      </c>
    </row>
    <row r="138" spans="1:13" x14ac:dyDescent="0.3">
      <c r="A138" s="1">
        <v>43017</v>
      </c>
      <c r="B138" s="1">
        <v>43045</v>
      </c>
      <c r="C138">
        <v>316.36880950927701</v>
      </c>
      <c r="D138">
        <v>334.150000381469</v>
      </c>
      <c r="E138">
        <v>314.3</v>
      </c>
      <c r="F138">
        <v>19.850000381469702</v>
      </c>
      <c r="G138">
        <v>2.0688095092773402</v>
      </c>
      <c r="H138">
        <v>19.850000381469702</v>
      </c>
      <c r="I138">
        <v>9.3140300759999999</v>
      </c>
      <c r="J138" s="1">
        <v>43045</v>
      </c>
      <c r="K138">
        <f t="shared" si="6"/>
        <v>349.51815000686901</v>
      </c>
      <c r="L138">
        <f t="shared" si="7"/>
        <v>318.78185075606899</v>
      </c>
      <c r="M138">
        <f t="shared" si="8"/>
        <v>316.36880950927701</v>
      </c>
    </row>
    <row r="139" spans="1:13" x14ac:dyDescent="0.3">
      <c r="A139" s="1">
        <v>43018</v>
      </c>
      <c r="B139" s="1">
        <v>43046</v>
      </c>
      <c r="C139">
        <v>316.3830224514</v>
      </c>
      <c r="D139">
        <v>333.75000038146902</v>
      </c>
      <c r="E139">
        <v>320.14999999999998</v>
      </c>
      <c r="F139">
        <v>-13.6000003814697</v>
      </c>
      <c r="G139">
        <v>-3.7669775485992401</v>
      </c>
      <c r="H139">
        <v>13.6000003814697</v>
      </c>
      <c r="I139">
        <v>9.5856255059999995</v>
      </c>
      <c r="J139" s="1">
        <v>43046</v>
      </c>
      <c r="K139">
        <f t="shared" si="6"/>
        <v>349.56628246636905</v>
      </c>
      <c r="L139">
        <f t="shared" si="7"/>
        <v>317.933718296569</v>
      </c>
      <c r="M139">
        <f t="shared" si="8"/>
        <v>316.3830224514</v>
      </c>
    </row>
    <row r="140" spans="1:13" x14ac:dyDescent="0.3">
      <c r="A140" s="1">
        <v>43019</v>
      </c>
      <c r="B140" s="1">
        <v>43047</v>
      </c>
      <c r="C140">
        <v>319.74575114250098</v>
      </c>
      <c r="D140">
        <v>335.25</v>
      </c>
      <c r="E140">
        <v>323.25</v>
      </c>
      <c r="F140">
        <v>-12</v>
      </c>
      <c r="G140">
        <v>-3.5042488574981601</v>
      </c>
      <c r="H140">
        <v>12</v>
      </c>
      <c r="I140">
        <v>9.8484155310000006</v>
      </c>
      <c r="J140" s="1">
        <v>43047</v>
      </c>
      <c r="K140">
        <f t="shared" si="6"/>
        <v>351.49988562614999</v>
      </c>
      <c r="L140">
        <f t="shared" si="7"/>
        <v>319.00011437385001</v>
      </c>
      <c r="M140">
        <f t="shared" si="8"/>
        <v>319.74575114250098</v>
      </c>
    </row>
    <row r="141" spans="1:13" x14ac:dyDescent="0.3">
      <c r="A141" s="1">
        <v>43020</v>
      </c>
      <c r="B141" s="1">
        <v>43048</v>
      </c>
      <c r="C141">
        <v>322.41368498802098</v>
      </c>
      <c r="D141">
        <v>333.65</v>
      </c>
      <c r="E141">
        <v>325.64999999999998</v>
      </c>
      <c r="F141">
        <v>-8</v>
      </c>
      <c r="G141">
        <v>-3.2363150119781401</v>
      </c>
      <c r="H141">
        <v>8</v>
      </c>
      <c r="I141">
        <v>10.0242763</v>
      </c>
      <c r="J141" s="1">
        <v>43048</v>
      </c>
      <c r="K141">
        <f t="shared" si="6"/>
        <v>350.190055895</v>
      </c>
      <c r="L141">
        <f t="shared" si="7"/>
        <v>317.10994410499995</v>
      </c>
      <c r="M141">
        <f t="shared" si="8"/>
        <v>322.41368498802098</v>
      </c>
    </row>
    <row r="142" spans="1:13" x14ac:dyDescent="0.3">
      <c r="A142" s="1">
        <v>43021</v>
      </c>
      <c r="B142" s="1">
        <v>43049</v>
      </c>
      <c r="C142">
        <v>318.74773817062299</v>
      </c>
      <c r="D142">
        <v>332.89999990463201</v>
      </c>
      <c r="E142">
        <v>325.3</v>
      </c>
      <c r="F142">
        <v>-7.5999999046325604</v>
      </c>
      <c r="G142">
        <v>-6.5522618293762198</v>
      </c>
      <c r="H142">
        <v>7.5999999046325604</v>
      </c>
      <c r="I142">
        <v>10.05074624</v>
      </c>
      <c r="J142" s="1">
        <v>43049</v>
      </c>
      <c r="K142">
        <f t="shared" si="6"/>
        <v>349.48373120063201</v>
      </c>
      <c r="L142">
        <f t="shared" si="7"/>
        <v>316.31626860863202</v>
      </c>
      <c r="M142">
        <f t="shared" si="8"/>
        <v>318.74773817062299</v>
      </c>
    </row>
    <row r="143" spans="1:13" x14ac:dyDescent="0.3">
      <c r="A143" s="1">
        <v>43024</v>
      </c>
      <c r="B143" s="1">
        <v>43052</v>
      </c>
      <c r="C143">
        <v>317.08047866821198</v>
      </c>
      <c r="D143">
        <v>331.55000019073401</v>
      </c>
      <c r="E143">
        <v>325.5</v>
      </c>
      <c r="F143">
        <v>-6.0500001907348597</v>
      </c>
      <c r="G143">
        <v>-8.4195213317871094</v>
      </c>
      <c r="H143">
        <v>6.0500001907348597</v>
      </c>
      <c r="I143">
        <v>10.091207969999999</v>
      </c>
      <c r="J143" s="1">
        <v>43052</v>
      </c>
      <c r="K143">
        <f t="shared" si="6"/>
        <v>348.20049334123399</v>
      </c>
      <c r="L143">
        <f t="shared" si="7"/>
        <v>314.89950704023403</v>
      </c>
      <c r="M143">
        <f t="shared" si="8"/>
        <v>317.08047866821198</v>
      </c>
    </row>
    <row r="144" spans="1:13" x14ac:dyDescent="0.3">
      <c r="A144" s="1">
        <v>43025</v>
      </c>
      <c r="B144" s="1">
        <v>43053</v>
      </c>
      <c r="C144">
        <v>318.04434852600099</v>
      </c>
      <c r="D144">
        <v>331.3</v>
      </c>
      <c r="E144">
        <v>325.8</v>
      </c>
      <c r="F144">
        <v>-5.5</v>
      </c>
      <c r="G144">
        <v>-7.7556514739990199</v>
      </c>
      <c r="H144">
        <v>5.5</v>
      </c>
      <c r="I144">
        <v>10.108969269999999</v>
      </c>
      <c r="J144" s="1">
        <v>43053</v>
      </c>
      <c r="K144">
        <f t="shared" si="6"/>
        <v>347.97979929550002</v>
      </c>
      <c r="L144">
        <f t="shared" si="7"/>
        <v>314.62020070450001</v>
      </c>
      <c r="M144">
        <f t="shared" si="8"/>
        <v>318.04434852600099</v>
      </c>
    </row>
    <row r="145" spans="1:13" x14ac:dyDescent="0.3">
      <c r="A145" s="1">
        <v>43026</v>
      </c>
      <c r="B145" s="1">
        <v>43054</v>
      </c>
      <c r="C145">
        <v>320.53858766555697</v>
      </c>
      <c r="D145">
        <v>329.14999995231602</v>
      </c>
      <c r="E145">
        <v>325.85000000000002</v>
      </c>
      <c r="F145">
        <v>-3.2999999523162802</v>
      </c>
      <c r="G145">
        <v>-5.3114123344421298</v>
      </c>
      <c r="H145">
        <v>3.2999999523162802</v>
      </c>
      <c r="I145">
        <v>10.10183318</v>
      </c>
      <c r="J145" s="1">
        <v>43054</v>
      </c>
      <c r="K145">
        <f t="shared" si="6"/>
        <v>345.81802469931603</v>
      </c>
      <c r="L145">
        <f t="shared" si="7"/>
        <v>312.48197520531602</v>
      </c>
      <c r="M145">
        <f t="shared" si="8"/>
        <v>320.53858766555697</v>
      </c>
    </row>
    <row r="146" spans="1:13" x14ac:dyDescent="0.3">
      <c r="A146" s="1">
        <v>43027</v>
      </c>
      <c r="B146" s="1">
        <v>43055</v>
      </c>
      <c r="C146">
        <v>318.99518594741801</v>
      </c>
      <c r="D146">
        <v>331.29999980926499</v>
      </c>
      <c r="E146">
        <v>324.10000000000002</v>
      </c>
      <c r="F146">
        <v>-7.1999998092651296</v>
      </c>
      <c r="G146">
        <v>-5.10481405258178</v>
      </c>
      <c r="H146">
        <v>7.1999998092651296</v>
      </c>
      <c r="I146">
        <v>10.1503003</v>
      </c>
      <c r="J146" s="1">
        <v>43055</v>
      </c>
      <c r="K146">
        <f t="shared" si="6"/>
        <v>348.04799530426499</v>
      </c>
      <c r="L146">
        <f t="shared" si="7"/>
        <v>314.55200431426499</v>
      </c>
      <c r="M146">
        <f t="shared" si="8"/>
        <v>318.99518594741801</v>
      </c>
    </row>
    <row r="147" spans="1:13" x14ac:dyDescent="0.3">
      <c r="A147" s="1">
        <v>43028</v>
      </c>
      <c r="B147" s="1">
        <v>43056</v>
      </c>
      <c r="C147">
        <v>320.13075780868502</v>
      </c>
      <c r="D147">
        <v>330.94999980926502</v>
      </c>
      <c r="E147">
        <v>326.25</v>
      </c>
      <c r="F147">
        <v>-4.6999998092651296</v>
      </c>
      <c r="G147">
        <v>-6.1192421913146902</v>
      </c>
      <c r="H147">
        <v>4.6999998092651296</v>
      </c>
      <c r="I147">
        <v>10.17647457</v>
      </c>
      <c r="J147" s="1">
        <v>43056</v>
      </c>
      <c r="K147">
        <f t="shared" si="6"/>
        <v>347.74118284976504</v>
      </c>
      <c r="L147">
        <f t="shared" si="7"/>
        <v>314.15881676876501</v>
      </c>
      <c r="M147">
        <f t="shared" si="8"/>
        <v>320.13075780868502</v>
      </c>
    </row>
    <row r="148" spans="1:13" x14ac:dyDescent="0.3">
      <c r="A148" s="1">
        <v>43031</v>
      </c>
      <c r="B148" s="1">
        <v>43059</v>
      </c>
      <c r="C148">
        <v>318.70049362182601</v>
      </c>
      <c r="D148">
        <v>329.45000009536699</v>
      </c>
      <c r="E148">
        <v>327.05</v>
      </c>
      <c r="F148">
        <v>-2.4000000953674299</v>
      </c>
      <c r="G148">
        <v>-8.3495063781738192</v>
      </c>
      <c r="H148">
        <v>2.4000000953674299</v>
      </c>
      <c r="I148">
        <v>10.15178745</v>
      </c>
      <c r="J148" s="1">
        <v>43059</v>
      </c>
      <c r="K148">
        <f t="shared" si="6"/>
        <v>346.20044938786697</v>
      </c>
      <c r="L148">
        <f t="shared" si="7"/>
        <v>312.69955080286701</v>
      </c>
      <c r="M148">
        <f t="shared" si="8"/>
        <v>318.70049362182601</v>
      </c>
    </row>
    <row r="149" spans="1:13" x14ac:dyDescent="0.3">
      <c r="A149" s="1">
        <v>43032</v>
      </c>
      <c r="B149" s="1">
        <v>43060</v>
      </c>
      <c r="C149">
        <v>318.65721111297597</v>
      </c>
      <c r="D149">
        <v>330.85000019073402</v>
      </c>
      <c r="E149">
        <v>326.55</v>
      </c>
      <c r="F149">
        <v>-4.3000001907348597</v>
      </c>
      <c r="G149">
        <v>-7.8927888870239196</v>
      </c>
      <c r="H149">
        <v>4.3000001907348597</v>
      </c>
      <c r="I149">
        <v>10.16764092</v>
      </c>
      <c r="J149" s="1">
        <v>43060</v>
      </c>
      <c r="K149">
        <f t="shared" si="6"/>
        <v>347.62660770873401</v>
      </c>
      <c r="L149">
        <f t="shared" si="7"/>
        <v>314.07339267273403</v>
      </c>
      <c r="M149">
        <f t="shared" si="8"/>
        <v>318.65721111297597</v>
      </c>
    </row>
    <row r="150" spans="1:13" x14ac:dyDescent="0.3">
      <c r="A150" s="1">
        <v>43033</v>
      </c>
      <c r="B150" s="1">
        <v>43061</v>
      </c>
      <c r="C150">
        <v>319.74509954452498</v>
      </c>
      <c r="D150">
        <v>332.55000019073401</v>
      </c>
      <c r="E150">
        <v>326.75</v>
      </c>
      <c r="F150">
        <v>-5.8000001907348597</v>
      </c>
      <c r="G150">
        <v>-7.00490045547485</v>
      </c>
      <c r="H150">
        <v>5.8000001907348597</v>
      </c>
      <c r="I150">
        <v>10.20110659</v>
      </c>
      <c r="J150" s="1">
        <v>43061</v>
      </c>
      <c r="K150">
        <f t="shared" si="6"/>
        <v>349.38182606423402</v>
      </c>
      <c r="L150">
        <f t="shared" si="7"/>
        <v>315.718174317234</v>
      </c>
      <c r="M150">
        <f t="shared" si="8"/>
        <v>319.74509954452498</v>
      </c>
    </row>
    <row r="151" spans="1:13" x14ac:dyDescent="0.3">
      <c r="A151" s="1">
        <v>43034</v>
      </c>
      <c r="B151" s="1">
        <v>43062</v>
      </c>
      <c r="C151">
        <v>317.35933256149201</v>
      </c>
      <c r="D151">
        <v>331.44999980926502</v>
      </c>
      <c r="E151">
        <v>323.75</v>
      </c>
      <c r="F151">
        <v>-7.6999998092651296</v>
      </c>
      <c r="G151">
        <v>-6.3906674385070801</v>
      </c>
      <c r="H151">
        <v>7.6999998092651296</v>
      </c>
      <c r="I151">
        <v>10.226004980000001</v>
      </c>
      <c r="J151" s="1">
        <v>43062</v>
      </c>
      <c r="K151">
        <f t="shared" si="6"/>
        <v>348.322908026265</v>
      </c>
      <c r="L151">
        <f t="shared" si="7"/>
        <v>314.57709159226505</v>
      </c>
      <c r="M151">
        <f t="shared" si="8"/>
        <v>317.35933256149201</v>
      </c>
    </row>
    <row r="152" spans="1:13" x14ac:dyDescent="0.3">
      <c r="A152" s="1">
        <v>43035</v>
      </c>
      <c r="B152" s="1">
        <v>43063</v>
      </c>
      <c r="C152">
        <v>317.36491260528499</v>
      </c>
      <c r="D152">
        <v>332.250000095367</v>
      </c>
      <c r="E152">
        <v>326.85000000000002</v>
      </c>
      <c r="F152">
        <v>-5.4000000953674299</v>
      </c>
      <c r="G152">
        <v>-9.4850873947143501</v>
      </c>
      <c r="H152">
        <v>5.4000000953674299</v>
      </c>
      <c r="I152">
        <v>10.256343019999999</v>
      </c>
      <c r="J152" s="1">
        <v>43063</v>
      </c>
      <c r="K152">
        <f t="shared" si="6"/>
        <v>349.17296607836698</v>
      </c>
      <c r="L152">
        <f t="shared" si="7"/>
        <v>315.32703411236702</v>
      </c>
      <c r="M152">
        <f t="shared" si="8"/>
        <v>317.36491260528499</v>
      </c>
    </row>
    <row r="153" spans="1:13" x14ac:dyDescent="0.3">
      <c r="A153" s="1">
        <v>43038</v>
      </c>
      <c r="B153" s="1">
        <v>43066</v>
      </c>
      <c r="C153">
        <v>317.28687210083001</v>
      </c>
      <c r="D153">
        <v>325.90000004768302</v>
      </c>
      <c r="E153">
        <v>327.45</v>
      </c>
      <c r="F153">
        <v>1.54999995231628</v>
      </c>
      <c r="G153">
        <v>-10.163127899169901</v>
      </c>
      <c r="H153">
        <v>-1.54999995231628</v>
      </c>
      <c r="I153">
        <v>10.15876327</v>
      </c>
      <c r="J153" s="1">
        <v>43066</v>
      </c>
      <c r="K153">
        <f t="shared" si="6"/>
        <v>342.66195944318304</v>
      </c>
      <c r="L153">
        <f t="shared" si="7"/>
        <v>309.13804065218301</v>
      </c>
      <c r="M153">
        <f t="shared" si="8"/>
        <v>317.28687210083001</v>
      </c>
    </row>
    <row r="154" spans="1:13" x14ac:dyDescent="0.3">
      <c r="A154" s="1">
        <v>43039</v>
      </c>
      <c r="B154" s="1">
        <v>43067</v>
      </c>
      <c r="C154">
        <v>321.68305187225297</v>
      </c>
      <c r="D154">
        <v>327.70000009536699</v>
      </c>
      <c r="E154">
        <v>331.05</v>
      </c>
      <c r="F154">
        <v>3.3499999046325599</v>
      </c>
      <c r="G154">
        <v>-9.3669481277465803</v>
      </c>
      <c r="H154">
        <v>-3.3499999046325599</v>
      </c>
      <c r="I154">
        <v>10.04686405</v>
      </c>
      <c r="J154" s="1">
        <v>43067</v>
      </c>
      <c r="K154">
        <f t="shared" si="6"/>
        <v>344.27732577786696</v>
      </c>
      <c r="L154">
        <f t="shared" si="7"/>
        <v>311.12267441286701</v>
      </c>
      <c r="M154">
        <f t="shared" si="8"/>
        <v>321.68305187225297</v>
      </c>
    </row>
    <row r="155" spans="1:13" x14ac:dyDescent="0.3">
      <c r="A155" s="1">
        <v>43040</v>
      </c>
      <c r="B155" s="1">
        <v>43068</v>
      </c>
      <c r="C155">
        <v>324.38652591705301</v>
      </c>
      <c r="D155">
        <v>327.69999961853</v>
      </c>
      <c r="E155">
        <v>336.55</v>
      </c>
      <c r="F155">
        <v>8.8500003814697195</v>
      </c>
      <c r="G155">
        <v>-12.163474082946699</v>
      </c>
      <c r="H155">
        <v>-8.8500003814697195</v>
      </c>
      <c r="I155">
        <v>9.962235604</v>
      </c>
      <c r="J155" s="1">
        <v>43068</v>
      </c>
      <c r="K155">
        <f t="shared" si="6"/>
        <v>344.13768836512997</v>
      </c>
      <c r="L155">
        <f t="shared" si="7"/>
        <v>311.26231087193003</v>
      </c>
      <c r="M155">
        <f t="shared" si="8"/>
        <v>324.38652591705301</v>
      </c>
    </row>
    <row r="156" spans="1:13" x14ac:dyDescent="0.3">
      <c r="A156" s="1">
        <v>43041</v>
      </c>
      <c r="B156" s="1">
        <v>43069</v>
      </c>
      <c r="C156">
        <v>325.44908504486</v>
      </c>
      <c r="D156">
        <v>322.24999980926498</v>
      </c>
      <c r="E156">
        <v>335.05</v>
      </c>
      <c r="F156">
        <v>12.800000190734799</v>
      </c>
      <c r="G156">
        <v>-9.6009149551391602</v>
      </c>
      <c r="H156">
        <v>-12.800000190734799</v>
      </c>
      <c r="I156">
        <v>9.7879332970000004</v>
      </c>
      <c r="J156" s="1">
        <v>43069</v>
      </c>
      <c r="K156">
        <f t="shared" si="6"/>
        <v>338.40008974931499</v>
      </c>
      <c r="L156">
        <f t="shared" si="7"/>
        <v>306.09990986921497</v>
      </c>
      <c r="M156">
        <f t="shared" si="8"/>
        <v>325.44908504486</v>
      </c>
    </row>
    <row r="157" spans="1:13" x14ac:dyDescent="0.3">
      <c r="A157" s="1">
        <v>43042</v>
      </c>
      <c r="B157" s="1">
        <v>43070</v>
      </c>
      <c r="C157">
        <v>329.55144319534298</v>
      </c>
      <c r="D157">
        <v>321.85000000000002</v>
      </c>
      <c r="E157">
        <v>336.35</v>
      </c>
      <c r="F157">
        <v>14.5</v>
      </c>
      <c r="G157">
        <v>-6.7985568046569798</v>
      </c>
      <c r="H157">
        <v>-14.5</v>
      </c>
      <c r="I157">
        <v>9.5954941100000006</v>
      </c>
      <c r="J157" s="1">
        <v>43070</v>
      </c>
      <c r="K157">
        <f t="shared" si="6"/>
        <v>337.68256528150005</v>
      </c>
      <c r="L157">
        <f t="shared" si="7"/>
        <v>306.0174347185</v>
      </c>
      <c r="M157">
        <f t="shared" si="8"/>
        <v>329.55144319534298</v>
      </c>
    </row>
    <row r="158" spans="1:13" x14ac:dyDescent="0.3">
      <c r="A158" s="1">
        <v>43045</v>
      </c>
      <c r="B158" s="1">
        <v>43073</v>
      </c>
      <c r="C158">
        <v>322.68843212127598</v>
      </c>
      <c r="D158">
        <v>325.00000038146902</v>
      </c>
      <c r="E158">
        <v>334.15</v>
      </c>
      <c r="F158">
        <v>9.1499996185302699</v>
      </c>
      <c r="G158">
        <v>-11.4615678787231</v>
      </c>
      <c r="H158">
        <v>-9.1499996185302699</v>
      </c>
      <c r="I158">
        <v>9.3189154460000001</v>
      </c>
      <c r="J158" s="1">
        <v>43073</v>
      </c>
      <c r="K158">
        <f t="shared" si="6"/>
        <v>340.37621086736902</v>
      </c>
      <c r="L158">
        <f t="shared" si="7"/>
        <v>309.62378989556902</v>
      </c>
      <c r="M158">
        <f t="shared" si="8"/>
        <v>322.68843212127598</v>
      </c>
    </row>
    <row r="159" spans="1:13" x14ac:dyDescent="0.3">
      <c r="A159" s="1">
        <v>43046</v>
      </c>
      <c r="B159" s="1">
        <v>43074</v>
      </c>
      <c r="C159">
        <v>319.91854953765801</v>
      </c>
      <c r="D159">
        <v>326.599999904632</v>
      </c>
      <c r="E159">
        <v>333.75</v>
      </c>
      <c r="F159">
        <v>7.1500000953674299</v>
      </c>
      <c r="G159">
        <v>-13.8314504623413</v>
      </c>
      <c r="H159">
        <v>-7.1500000953674299</v>
      </c>
      <c r="I159">
        <v>9.0036003749999995</v>
      </c>
      <c r="J159" s="1">
        <v>43074</v>
      </c>
      <c r="K159">
        <f t="shared" si="6"/>
        <v>341.45594052338203</v>
      </c>
      <c r="L159">
        <f t="shared" si="7"/>
        <v>311.74405928588197</v>
      </c>
      <c r="M159">
        <f t="shared" si="8"/>
        <v>319.91854953765801</v>
      </c>
    </row>
    <row r="160" spans="1:13" x14ac:dyDescent="0.3">
      <c r="A160" s="1">
        <v>43047</v>
      </c>
      <c r="B160" s="1">
        <v>43075</v>
      </c>
      <c r="C160">
        <v>321.69452381133999</v>
      </c>
      <c r="D160">
        <v>321.64999961852999</v>
      </c>
      <c r="E160">
        <v>335.25</v>
      </c>
      <c r="F160">
        <v>13.6000003814697</v>
      </c>
      <c r="G160">
        <v>-13.5554761886596</v>
      </c>
      <c r="H160">
        <v>-13.6000003814697</v>
      </c>
      <c r="I160">
        <v>8.635312119</v>
      </c>
      <c r="J160" s="1">
        <v>43075</v>
      </c>
      <c r="K160">
        <f t="shared" si="6"/>
        <v>335.89826461487996</v>
      </c>
      <c r="L160">
        <f t="shared" si="7"/>
        <v>307.40173462218002</v>
      </c>
      <c r="M160">
        <f t="shared" si="8"/>
        <v>321.69452381133999</v>
      </c>
    </row>
    <row r="161" spans="1:13" x14ac:dyDescent="0.3">
      <c r="A161" s="1">
        <v>43048</v>
      </c>
      <c r="B161" s="1">
        <v>43076</v>
      </c>
      <c r="C161">
        <v>324.07646694183302</v>
      </c>
      <c r="D161">
        <v>320.70000019073399</v>
      </c>
      <c r="E161">
        <v>333.65</v>
      </c>
      <c r="F161">
        <v>12.949999809265099</v>
      </c>
      <c r="G161">
        <v>-9.5735330581665004</v>
      </c>
      <c r="H161">
        <v>-12.949999809265099</v>
      </c>
      <c r="I161">
        <v>8.3815888259999998</v>
      </c>
      <c r="J161" s="1">
        <v>43076</v>
      </c>
      <c r="K161">
        <f t="shared" si="6"/>
        <v>334.52962175363399</v>
      </c>
      <c r="L161">
        <f t="shared" si="7"/>
        <v>306.87037862783399</v>
      </c>
      <c r="M161">
        <f t="shared" si="8"/>
        <v>324.07646694183302</v>
      </c>
    </row>
    <row r="162" spans="1:13" x14ac:dyDescent="0.3">
      <c r="A162" s="1">
        <v>43049</v>
      </c>
      <c r="B162" s="1">
        <v>43077</v>
      </c>
      <c r="C162">
        <v>316.59754981994598</v>
      </c>
      <c r="D162">
        <v>321.39999999999998</v>
      </c>
      <c r="E162">
        <v>332.9</v>
      </c>
      <c r="F162">
        <v>11.5</v>
      </c>
      <c r="G162">
        <v>-16.3024501800537</v>
      </c>
      <c r="H162">
        <v>-11.5</v>
      </c>
      <c r="I162">
        <v>8.112302949</v>
      </c>
      <c r="J162" s="1">
        <v>43077</v>
      </c>
      <c r="K162">
        <f t="shared" si="6"/>
        <v>334.78529986584999</v>
      </c>
      <c r="L162">
        <f t="shared" si="7"/>
        <v>308.01470013414996</v>
      </c>
      <c r="M162">
        <f t="shared" si="8"/>
        <v>316.59754981994598</v>
      </c>
    </row>
    <row r="163" spans="1:13" x14ac:dyDescent="0.3">
      <c r="A163" s="1">
        <v>43052</v>
      </c>
      <c r="B163" s="1">
        <v>43080</v>
      </c>
      <c r="C163">
        <v>317.41416530609098</v>
      </c>
      <c r="D163">
        <v>321.49999980926498</v>
      </c>
      <c r="E163">
        <v>331.55</v>
      </c>
      <c r="F163">
        <v>10.050000190734799</v>
      </c>
      <c r="G163">
        <v>-14.135834693908601</v>
      </c>
      <c r="H163">
        <v>-10.050000190734799</v>
      </c>
      <c r="I163">
        <v>7.9202754510000002</v>
      </c>
      <c r="J163" s="1">
        <v>43080</v>
      </c>
      <c r="K163">
        <f t="shared" si="6"/>
        <v>334.56845430341497</v>
      </c>
      <c r="L163">
        <f t="shared" si="7"/>
        <v>308.43154531511499</v>
      </c>
      <c r="M163">
        <f t="shared" si="8"/>
        <v>317.41416530609098</v>
      </c>
    </row>
    <row r="164" spans="1:13" x14ac:dyDescent="0.3">
      <c r="A164" s="1">
        <v>43053</v>
      </c>
      <c r="B164" s="1">
        <v>43081</v>
      </c>
      <c r="C164">
        <v>317.15957622527998</v>
      </c>
      <c r="D164">
        <v>320.44999961853</v>
      </c>
      <c r="E164">
        <v>331.3</v>
      </c>
      <c r="F164">
        <v>10.8500003814697</v>
      </c>
      <c r="G164">
        <v>-14.140423774719199</v>
      </c>
      <c r="H164">
        <v>-10.8500003814697</v>
      </c>
      <c r="I164">
        <v>7.7231132560000004</v>
      </c>
      <c r="J164" s="1">
        <v>43081</v>
      </c>
      <c r="K164">
        <f t="shared" si="6"/>
        <v>333.19313649092999</v>
      </c>
      <c r="L164">
        <f t="shared" si="7"/>
        <v>307.70686274613001</v>
      </c>
      <c r="M164">
        <f t="shared" si="8"/>
        <v>317.15957622527998</v>
      </c>
    </row>
    <row r="165" spans="1:13" x14ac:dyDescent="0.3">
      <c r="A165" s="1">
        <v>43054</v>
      </c>
      <c r="B165" s="1">
        <v>43082</v>
      </c>
      <c r="C165">
        <v>316.07273521423298</v>
      </c>
      <c r="D165">
        <v>322.849999809265</v>
      </c>
      <c r="E165">
        <v>329.15</v>
      </c>
      <c r="F165">
        <v>6.3000001907348597</v>
      </c>
      <c r="G165">
        <v>-13.0772647857666</v>
      </c>
      <c r="H165">
        <v>-6.3000001907348597</v>
      </c>
      <c r="I165">
        <v>7.4852653340000002</v>
      </c>
      <c r="J165" s="1">
        <v>43082</v>
      </c>
      <c r="K165">
        <f t="shared" si="6"/>
        <v>335.20068761036498</v>
      </c>
      <c r="L165">
        <f t="shared" si="7"/>
        <v>310.49931200816502</v>
      </c>
      <c r="M165">
        <f t="shared" si="8"/>
        <v>316.07273521423298</v>
      </c>
    </row>
    <row r="166" spans="1:13" x14ac:dyDescent="0.3">
      <c r="A166" s="1">
        <v>43055</v>
      </c>
      <c r="B166" s="1">
        <v>43083</v>
      </c>
      <c r="C166">
        <v>317.26419048309299</v>
      </c>
      <c r="D166">
        <v>324.3</v>
      </c>
      <c r="E166">
        <v>331.3</v>
      </c>
      <c r="F166">
        <v>7</v>
      </c>
      <c r="G166">
        <v>-14.035809516906699</v>
      </c>
      <c r="H166">
        <v>-7</v>
      </c>
      <c r="I166">
        <v>7.2849796900000001</v>
      </c>
      <c r="J166" s="1">
        <v>43083</v>
      </c>
      <c r="K166">
        <f t="shared" si="6"/>
        <v>336.32021648850002</v>
      </c>
      <c r="L166">
        <f t="shared" si="7"/>
        <v>312.2797835115</v>
      </c>
      <c r="M166">
        <f t="shared" si="8"/>
        <v>317.26419048309299</v>
      </c>
    </row>
    <row r="167" spans="1:13" x14ac:dyDescent="0.3">
      <c r="A167" s="1">
        <v>43056</v>
      </c>
      <c r="B167" s="1">
        <v>43084</v>
      </c>
      <c r="C167">
        <v>321.43785686492902</v>
      </c>
      <c r="D167">
        <v>322.750000190734</v>
      </c>
      <c r="E167">
        <v>330.95</v>
      </c>
      <c r="F167">
        <v>8.1999998092651296</v>
      </c>
      <c r="G167">
        <v>-9.5121431350708008</v>
      </c>
      <c r="H167">
        <v>-8.1999998092651296</v>
      </c>
      <c r="I167">
        <v>7.1034980889999897</v>
      </c>
      <c r="J167" s="1">
        <v>43084</v>
      </c>
      <c r="K167">
        <f t="shared" si="6"/>
        <v>334.47077203758397</v>
      </c>
      <c r="L167">
        <f t="shared" si="7"/>
        <v>311.02922834388403</v>
      </c>
      <c r="M167">
        <f t="shared" si="8"/>
        <v>321.43785686492902</v>
      </c>
    </row>
    <row r="168" spans="1:13" x14ac:dyDescent="0.3">
      <c r="A168" s="1">
        <v>43059</v>
      </c>
      <c r="B168" s="1">
        <v>43087</v>
      </c>
      <c r="C168">
        <v>321.01249332427898</v>
      </c>
      <c r="D168">
        <v>324.14999980926501</v>
      </c>
      <c r="E168">
        <v>329.45</v>
      </c>
      <c r="F168">
        <v>5.3000001907348597</v>
      </c>
      <c r="G168">
        <v>-8.4375066757202095</v>
      </c>
      <c r="H168">
        <v>-5.3000001907348597</v>
      </c>
      <c r="I168">
        <v>7.0387891629999997</v>
      </c>
      <c r="J168" s="1">
        <v>43087</v>
      </c>
      <c r="K168">
        <f t="shared" si="6"/>
        <v>335.76400192821501</v>
      </c>
      <c r="L168">
        <f t="shared" si="7"/>
        <v>312.53599769031501</v>
      </c>
      <c r="M168">
        <f t="shared" si="8"/>
        <v>321.01249332427898</v>
      </c>
    </row>
    <row r="169" spans="1:13" x14ac:dyDescent="0.3">
      <c r="A169" s="1">
        <v>43060</v>
      </c>
      <c r="B169" s="1">
        <v>43088</v>
      </c>
      <c r="C169">
        <v>319.160856819152</v>
      </c>
      <c r="D169">
        <v>323.85000000000002</v>
      </c>
      <c r="E169">
        <v>330.85</v>
      </c>
      <c r="F169">
        <v>7</v>
      </c>
      <c r="G169">
        <v>-11.6891431808471</v>
      </c>
      <c r="H169">
        <v>-7</v>
      </c>
      <c r="I169">
        <v>6.9600325349999999</v>
      </c>
      <c r="J169" s="1">
        <v>43088</v>
      </c>
      <c r="K169">
        <f t="shared" si="6"/>
        <v>335.33405368275004</v>
      </c>
      <c r="L169">
        <f t="shared" si="7"/>
        <v>312.36594631725001</v>
      </c>
      <c r="M169">
        <f t="shared" si="8"/>
        <v>319.160856819152</v>
      </c>
    </row>
    <row r="170" spans="1:13" x14ac:dyDescent="0.3">
      <c r="A170" s="1">
        <v>43061</v>
      </c>
      <c r="B170" s="1">
        <v>43089</v>
      </c>
      <c r="C170">
        <v>318.052575874328</v>
      </c>
      <c r="D170">
        <v>323.55</v>
      </c>
      <c r="E170">
        <v>332.55</v>
      </c>
      <c r="F170">
        <v>9</v>
      </c>
      <c r="G170">
        <v>-14.4974241256713</v>
      </c>
      <c r="H170">
        <v>-9</v>
      </c>
      <c r="I170">
        <v>6.8739398659999997</v>
      </c>
      <c r="J170" s="1">
        <v>43089</v>
      </c>
      <c r="K170">
        <f t="shared" si="6"/>
        <v>334.89200077890001</v>
      </c>
      <c r="L170">
        <f t="shared" si="7"/>
        <v>312.20799922110001</v>
      </c>
      <c r="M170">
        <f t="shared" si="8"/>
        <v>318.052575874328</v>
      </c>
    </row>
    <row r="171" spans="1:13" x14ac:dyDescent="0.3">
      <c r="A171" s="1">
        <v>43062</v>
      </c>
      <c r="B171" s="1">
        <v>43090</v>
      </c>
      <c r="C171">
        <v>318.18348331451398</v>
      </c>
      <c r="D171">
        <v>316.84999961852998</v>
      </c>
      <c r="E171">
        <v>331.45</v>
      </c>
      <c r="F171">
        <v>14.6000003814697</v>
      </c>
      <c r="G171">
        <v>-13.266516685485801</v>
      </c>
      <c r="H171">
        <v>-14.6000003814697</v>
      </c>
      <c r="I171">
        <v>6.8589968470000002</v>
      </c>
      <c r="J171" s="1">
        <v>43090</v>
      </c>
      <c r="K171">
        <f t="shared" si="6"/>
        <v>328.16734441607997</v>
      </c>
      <c r="L171">
        <f t="shared" si="7"/>
        <v>305.53265482097999</v>
      </c>
      <c r="M171">
        <f t="shared" si="8"/>
        <v>318.18348331451398</v>
      </c>
    </row>
    <row r="172" spans="1:13" x14ac:dyDescent="0.3">
      <c r="A172" s="1">
        <v>43063</v>
      </c>
      <c r="B172" s="1">
        <v>43091</v>
      </c>
      <c r="C172">
        <v>318.88307666778502</v>
      </c>
      <c r="D172">
        <v>318.5</v>
      </c>
      <c r="E172">
        <v>332.25</v>
      </c>
      <c r="F172">
        <v>13.75</v>
      </c>
      <c r="G172">
        <v>-13.3669233322143</v>
      </c>
      <c r="H172">
        <v>-13.75</v>
      </c>
      <c r="I172">
        <v>6.7655609449999998</v>
      </c>
      <c r="J172" s="1">
        <v>43091</v>
      </c>
      <c r="K172">
        <f t="shared" si="6"/>
        <v>329.66317555925002</v>
      </c>
      <c r="L172">
        <f t="shared" si="7"/>
        <v>307.33682444074998</v>
      </c>
      <c r="M172">
        <f t="shared" si="8"/>
        <v>318.88307666778502</v>
      </c>
    </row>
    <row r="173" spans="1:13" x14ac:dyDescent="0.3">
      <c r="A173" s="1">
        <v>43066</v>
      </c>
      <c r="B173" s="1">
        <v>43094</v>
      </c>
      <c r="C173">
        <v>320.47174634933401</v>
      </c>
      <c r="D173">
        <v>318.49999990463198</v>
      </c>
      <c r="E173">
        <v>325.89999999999998</v>
      </c>
      <c r="F173">
        <v>7.4000000953674299</v>
      </c>
      <c r="G173">
        <v>-5.4282536506652797</v>
      </c>
      <c r="H173">
        <v>-7.4000000953674299</v>
      </c>
      <c r="I173">
        <v>6.6712957890000002</v>
      </c>
      <c r="J173" s="1">
        <v>43094</v>
      </c>
      <c r="K173">
        <f t="shared" si="6"/>
        <v>329.50763795648197</v>
      </c>
      <c r="L173">
        <f t="shared" si="7"/>
        <v>307.49236185278198</v>
      </c>
      <c r="M173">
        <f t="shared" si="8"/>
        <v>320.47174634933401</v>
      </c>
    </row>
    <row r="174" spans="1:13" x14ac:dyDescent="0.3">
      <c r="A174" s="1">
        <v>43067</v>
      </c>
      <c r="B174" s="1">
        <v>43095</v>
      </c>
      <c r="C174">
        <v>320.72814817428502</v>
      </c>
      <c r="D174">
        <v>317.45</v>
      </c>
      <c r="E174">
        <v>327.7</v>
      </c>
      <c r="F174">
        <v>10.25</v>
      </c>
      <c r="G174">
        <v>-6.9718518257141104</v>
      </c>
      <c r="H174">
        <v>-10.25</v>
      </c>
      <c r="I174">
        <v>6.5345408989999996</v>
      </c>
      <c r="J174" s="1">
        <v>43095</v>
      </c>
      <c r="K174">
        <f t="shared" si="6"/>
        <v>328.23199248334998</v>
      </c>
      <c r="L174">
        <f t="shared" si="7"/>
        <v>306.66800751664999</v>
      </c>
      <c r="M174">
        <f t="shared" si="8"/>
        <v>320.72814817428502</v>
      </c>
    </row>
    <row r="175" spans="1:13" x14ac:dyDescent="0.3">
      <c r="A175" s="1">
        <v>43068</v>
      </c>
      <c r="B175" s="1">
        <v>43096</v>
      </c>
      <c r="C175">
        <v>321.53660173416102</v>
      </c>
      <c r="D175">
        <v>321.2</v>
      </c>
      <c r="E175">
        <v>327.7</v>
      </c>
      <c r="F175">
        <v>6.5</v>
      </c>
      <c r="G175">
        <v>-6.1633982658386204</v>
      </c>
      <c r="H175">
        <v>-6.5</v>
      </c>
      <c r="I175">
        <v>6.3280589860000003</v>
      </c>
      <c r="J175" s="1">
        <v>43096</v>
      </c>
      <c r="K175">
        <f t="shared" si="6"/>
        <v>331.64129732689997</v>
      </c>
      <c r="L175">
        <f t="shared" si="7"/>
        <v>310.7587026731</v>
      </c>
      <c r="M175">
        <f t="shared" si="8"/>
        <v>321.53660173416102</v>
      </c>
    </row>
    <row r="176" spans="1:13" x14ac:dyDescent="0.3">
      <c r="A176" s="1">
        <v>43069</v>
      </c>
      <c r="B176" s="1">
        <v>43097</v>
      </c>
      <c r="C176">
        <v>323.68549776077202</v>
      </c>
      <c r="D176">
        <v>325.65000009536698</v>
      </c>
      <c r="E176">
        <v>322.25</v>
      </c>
      <c r="F176">
        <v>3.4000000953674299</v>
      </c>
      <c r="G176">
        <v>1.4354977607727</v>
      </c>
      <c r="H176">
        <v>3.4000000953674299</v>
      </c>
      <c r="I176">
        <v>6.0972874839999998</v>
      </c>
      <c r="J176" s="1">
        <v>43097</v>
      </c>
      <c r="K176">
        <f t="shared" si="6"/>
        <v>335.71052444396696</v>
      </c>
      <c r="L176">
        <f t="shared" si="7"/>
        <v>315.58947574676699</v>
      </c>
      <c r="M176">
        <f t="shared" si="8"/>
        <v>323.68549776077202</v>
      </c>
    </row>
    <row r="177" spans="1:13" x14ac:dyDescent="0.3">
      <c r="A177" s="1">
        <v>43070</v>
      </c>
      <c r="B177" s="1">
        <v>43098</v>
      </c>
      <c r="C177">
        <v>323.353430724144</v>
      </c>
      <c r="D177">
        <v>325.64999995231602</v>
      </c>
      <c r="E177">
        <v>321.85000000000002</v>
      </c>
      <c r="F177">
        <v>3.7999999523162802</v>
      </c>
      <c r="G177">
        <v>1.5034307241439799</v>
      </c>
      <c r="H177">
        <v>3.7999999523162802</v>
      </c>
      <c r="I177">
        <v>5.9388601679999997</v>
      </c>
      <c r="J177" s="1">
        <v>43098</v>
      </c>
      <c r="K177">
        <f t="shared" si="6"/>
        <v>335.44911922951604</v>
      </c>
      <c r="L177">
        <f t="shared" si="7"/>
        <v>315.850880675116</v>
      </c>
      <c r="M177">
        <f t="shared" si="8"/>
        <v>323.353430724144</v>
      </c>
    </row>
    <row r="178" spans="1:13" x14ac:dyDescent="0.3">
      <c r="A178" s="1">
        <v>43073</v>
      </c>
      <c r="B178" s="1">
        <v>43101</v>
      </c>
      <c r="C178">
        <v>324.64057719707398</v>
      </c>
      <c r="D178">
        <v>325.64999997615803</v>
      </c>
      <c r="E178">
        <v>325</v>
      </c>
      <c r="F178">
        <v>-0.64999997615814198</v>
      </c>
      <c r="G178">
        <v>-0.35942280292510898</v>
      </c>
      <c r="H178">
        <v>0.64999997615814198</v>
      </c>
      <c r="I178">
        <v>5.7707253989999998</v>
      </c>
      <c r="J178" s="1">
        <v>43101</v>
      </c>
      <c r="K178">
        <f t="shared" si="6"/>
        <v>335.17169688450804</v>
      </c>
      <c r="L178">
        <f t="shared" si="7"/>
        <v>316.12830306780802</v>
      </c>
      <c r="M178">
        <f t="shared" si="8"/>
        <v>324.64057719707398</v>
      </c>
    </row>
    <row r="179" spans="1:13" x14ac:dyDescent="0.3">
      <c r="A179" s="1">
        <v>43074</v>
      </c>
      <c r="B179" s="1">
        <v>43102</v>
      </c>
      <c r="C179">
        <v>325.68316028118102</v>
      </c>
      <c r="D179">
        <v>326.499999998509</v>
      </c>
      <c r="E179">
        <v>326.60000000000002</v>
      </c>
      <c r="F179">
        <v>0.10000000149011599</v>
      </c>
      <c r="G179">
        <v>-0.916839718818664</v>
      </c>
      <c r="H179">
        <v>-0.10000000149011599</v>
      </c>
      <c r="I179">
        <v>5.5926744240000001</v>
      </c>
      <c r="J179" s="1">
        <v>43102</v>
      </c>
      <c r="K179">
        <f t="shared" si="6"/>
        <v>335.727912798109</v>
      </c>
      <c r="L179">
        <f t="shared" si="7"/>
        <v>317.27208719890899</v>
      </c>
      <c r="M179">
        <f t="shared" si="8"/>
        <v>325.68316028118102</v>
      </c>
    </row>
    <row r="180" spans="1:13" x14ac:dyDescent="0.3">
      <c r="A180" s="1">
        <v>43075</v>
      </c>
      <c r="B180" s="1">
        <v>43103</v>
      </c>
      <c r="C180">
        <v>324.77440800666801</v>
      </c>
      <c r="D180">
        <v>327.70000019073399</v>
      </c>
      <c r="E180">
        <v>321.64999999999998</v>
      </c>
      <c r="F180">
        <v>6.0500001907348597</v>
      </c>
      <c r="G180">
        <v>3.1244080066680899</v>
      </c>
      <c r="H180">
        <v>6.0500001907348597</v>
      </c>
      <c r="I180">
        <v>5.405970924</v>
      </c>
      <c r="J180" s="1">
        <v>43103</v>
      </c>
      <c r="K180">
        <f t="shared" si="6"/>
        <v>336.61985221533399</v>
      </c>
      <c r="L180">
        <f t="shared" si="7"/>
        <v>318.78014816613398</v>
      </c>
      <c r="M180">
        <f t="shared" si="8"/>
        <v>324.77440800666801</v>
      </c>
    </row>
    <row r="181" spans="1:13" x14ac:dyDescent="0.3">
      <c r="A181" s="1">
        <v>43076</v>
      </c>
      <c r="B181" s="1">
        <v>43104</v>
      </c>
      <c r="C181">
        <v>321.83850903511001</v>
      </c>
      <c r="D181">
        <v>325.000000190734</v>
      </c>
      <c r="E181">
        <v>320.7</v>
      </c>
      <c r="F181">
        <v>4.3000001907348597</v>
      </c>
      <c r="G181">
        <v>1.1385090351104701</v>
      </c>
      <c r="H181">
        <v>4.3000001907348597</v>
      </c>
      <c r="I181">
        <v>5.2030187239999997</v>
      </c>
      <c r="J181" s="1">
        <v>43104</v>
      </c>
      <c r="K181">
        <f t="shared" si="6"/>
        <v>333.58498108533399</v>
      </c>
      <c r="L181">
        <f t="shared" si="7"/>
        <v>316.41501929613401</v>
      </c>
      <c r="M181">
        <f t="shared" si="8"/>
        <v>321.83850903511001</v>
      </c>
    </row>
    <row r="182" spans="1:13" x14ac:dyDescent="0.3">
      <c r="A182" s="1">
        <v>43077</v>
      </c>
      <c r="B182" s="1">
        <v>43105</v>
      </c>
      <c r="C182">
        <v>322.16777887344301</v>
      </c>
      <c r="D182">
        <v>328.95000019073399</v>
      </c>
      <c r="E182">
        <v>321.39999999999998</v>
      </c>
      <c r="F182">
        <v>7.5500001907348597</v>
      </c>
      <c r="G182">
        <v>0.76777887344360296</v>
      </c>
      <c r="H182">
        <v>7.5500001907348597</v>
      </c>
      <c r="I182">
        <v>4.9938311710000001</v>
      </c>
      <c r="J182" s="1">
        <v>43105</v>
      </c>
      <c r="K182">
        <f t="shared" si="6"/>
        <v>337.18982162288398</v>
      </c>
      <c r="L182">
        <f t="shared" si="7"/>
        <v>320.71017875858399</v>
      </c>
      <c r="M182">
        <f t="shared" si="8"/>
        <v>322.16777887344301</v>
      </c>
    </row>
    <row r="183" spans="1:13" x14ac:dyDescent="0.3">
      <c r="A183" s="1">
        <v>43080</v>
      </c>
      <c r="B183" s="1">
        <v>43108</v>
      </c>
      <c r="C183">
        <v>322.97470462322201</v>
      </c>
      <c r="D183">
        <v>331.25</v>
      </c>
      <c r="E183">
        <v>321.5</v>
      </c>
      <c r="F183">
        <v>9.75</v>
      </c>
      <c r="G183">
        <v>1.47470462322235</v>
      </c>
      <c r="H183">
        <v>9.75</v>
      </c>
      <c r="I183">
        <v>4.790699247</v>
      </c>
      <c r="J183" s="1">
        <v>43108</v>
      </c>
      <c r="K183">
        <f t="shared" si="6"/>
        <v>339.15465375755002</v>
      </c>
      <c r="L183">
        <f t="shared" si="7"/>
        <v>323.34534624244998</v>
      </c>
      <c r="M183">
        <f t="shared" si="8"/>
        <v>322.97470462322201</v>
      </c>
    </row>
    <row r="184" spans="1:13" x14ac:dyDescent="0.3">
      <c r="A184" s="1">
        <v>43081</v>
      </c>
      <c r="B184" s="1">
        <v>43109</v>
      </c>
      <c r="C184">
        <v>324.79990215301501</v>
      </c>
      <c r="D184">
        <v>330.45</v>
      </c>
      <c r="E184">
        <v>320.45</v>
      </c>
      <c r="F184">
        <v>10</v>
      </c>
      <c r="G184">
        <v>4.3499021530151296</v>
      </c>
      <c r="H184">
        <v>10</v>
      </c>
      <c r="I184">
        <v>4.7421819520000001</v>
      </c>
      <c r="J184" s="1">
        <v>43109</v>
      </c>
      <c r="K184">
        <f t="shared" si="6"/>
        <v>338.27460022079998</v>
      </c>
      <c r="L184">
        <f t="shared" si="7"/>
        <v>322.6253997792</v>
      </c>
      <c r="M184">
        <f t="shared" si="8"/>
        <v>324.79990215301501</v>
      </c>
    </row>
    <row r="185" spans="1:13" x14ac:dyDescent="0.3">
      <c r="A185" s="1">
        <v>43082</v>
      </c>
      <c r="B185" s="1">
        <v>43110</v>
      </c>
      <c r="C185">
        <v>324.89259276389998</v>
      </c>
      <c r="D185">
        <v>327.85</v>
      </c>
      <c r="E185">
        <v>322.85000000000002</v>
      </c>
      <c r="F185">
        <v>5</v>
      </c>
      <c r="G185">
        <v>2.0425927639007502</v>
      </c>
      <c r="H185">
        <v>5</v>
      </c>
      <c r="I185">
        <v>4.7224139489999999</v>
      </c>
      <c r="J185" s="1">
        <v>43110</v>
      </c>
      <c r="K185">
        <f t="shared" si="6"/>
        <v>335.64198301585003</v>
      </c>
      <c r="L185">
        <f t="shared" si="7"/>
        <v>320.05801698415002</v>
      </c>
      <c r="M185">
        <f t="shared" si="8"/>
        <v>324.89259276389998</v>
      </c>
    </row>
    <row r="186" spans="1:13" x14ac:dyDescent="0.3">
      <c r="A186" s="1">
        <v>43083</v>
      </c>
      <c r="B186" s="1">
        <v>43111</v>
      </c>
      <c r="C186">
        <v>326.55065016746499</v>
      </c>
      <c r="D186">
        <v>326.50000004768299</v>
      </c>
      <c r="E186">
        <v>324.3</v>
      </c>
      <c r="F186">
        <v>2.20000004768371</v>
      </c>
      <c r="G186">
        <v>2.25065016746521</v>
      </c>
      <c r="H186">
        <v>2.20000004768371</v>
      </c>
      <c r="I186">
        <v>4.7201115589999896</v>
      </c>
      <c r="J186" s="1">
        <v>43111</v>
      </c>
      <c r="K186">
        <f t="shared" si="6"/>
        <v>334.28818412003295</v>
      </c>
      <c r="L186">
        <f t="shared" si="7"/>
        <v>318.71181597533302</v>
      </c>
      <c r="M186">
        <f t="shared" si="8"/>
        <v>326.55065016746499</v>
      </c>
    </row>
    <row r="187" spans="1:13" x14ac:dyDescent="0.3">
      <c r="A187" s="1">
        <v>43084</v>
      </c>
      <c r="B187" s="1">
        <v>43112</v>
      </c>
      <c r="C187">
        <v>323.690717220306</v>
      </c>
      <c r="D187">
        <v>326.849999904632</v>
      </c>
      <c r="E187">
        <v>322.75</v>
      </c>
      <c r="F187">
        <v>4.0999999046325604</v>
      </c>
      <c r="G187">
        <v>0.94071722030639604</v>
      </c>
      <c r="H187">
        <v>4.0999999046325604</v>
      </c>
      <c r="I187">
        <v>4.7158153760000001</v>
      </c>
      <c r="J187" s="1">
        <v>43112</v>
      </c>
      <c r="K187">
        <f t="shared" si="6"/>
        <v>334.63109527503201</v>
      </c>
      <c r="L187">
        <f t="shared" si="7"/>
        <v>319.06890453423199</v>
      </c>
      <c r="M187">
        <f t="shared" si="8"/>
        <v>323.690717220306</v>
      </c>
    </row>
    <row r="188" spans="1:13" x14ac:dyDescent="0.3">
      <c r="A188" s="1">
        <v>43087</v>
      </c>
      <c r="B188" s="1">
        <v>43115</v>
      </c>
      <c r="C188">
        <v>324.892127656936</v>
      </c>
      <c r="D188">
        <v>327.30000009536701</v>
      </c>
      <c r="E188">
        <v>324.14999999999998</v>
      </c>
      <c r="F188">
        <v>3.1500000953674299</v>
      </c>
      <c r="G188">
        <v>0.74212765693664495</v>
      </c>
      <c r="H188">
        <v>3.1500000953674299</v>
      </c>
      <c r="I188">
        <v>4.712607502</v>
      </c>
      <c r="J188" s="1">
        <v>43115</v>
      </c>
      <c r="K188">
        <f t="shared" si="6"/>
        <v>335.07580247366701</v>
      </c>
      <c r="L188">
        <f t="shared" si="7"/>
        <v>319.52419771706701</v>
      </c>
      <c r="M188">
        <f t="shared" si="8"/>
        <v>324.892127656936</v>
      </c>
    </row>
    <row r="189" spans="1:13" x14ac:dyDescent="0.3">
      <c r="A189" s="1">
        <v>43088</v>
      </c>
      <c r="B189" s="1">
        <v>43116</v>
      </c>
      <c r="C189">
        <v>322.67724261283797</v>
      </c>
      <c r="D189">
        <v>330.500000095367</v>
      </c>
      <c r="E189">
        <v>323.85000000000002</v>
      </c>
      <c r="F189">
        <v>-6.6500000953674299</v>
      </c>
      <c r="G189">
        <v>-1.17275738716125</v>
      </c>
      <c r="H189">
        <v>6.6500000953674299</v>
      </c>
      <c r="I189">
        <v>4.7306853010000003</v>
      </c>
      <c r="J189" s="1">
        <v>43116</v>
      </c>
      <c r="K189">
        <f t="shared" si="6"/>
        <v>338.30563084201702</v>
      </c>
      <c r="L189">
        <f t="shared" si="7"/>
        <v>322.69436934871698</v>
      </c>
      <c r="M189">
        <f t="shared" si="8"/>
        <v>322.67724261283797</v>
      </c>
    </row>
    <row r="190" spans="1:13" x14ac:dyDescent="0.3">
      <c r="A190" s="1">
        <v>43089</v>
      </c>
      <c r="B190" s="1">
        <v>43117</v>
      </c>
      <c r="C190">
        <v>326.54132180213901</v>
      </c>
      <c r="D190">
        <v>329.20000009536699</v>
      </c>
      <c r="E190">
        <v>323.55</v>
      </c>
      <c r="F190">
        <v>5.6500000953674299</v>
      </c>
      <c r="G190">
        <v>2.99132180213928</v>
      </c>
      <c r="H190">
        <v>5.6500000953674299</v>
      </c>
      <c r="I190">
        <v>4.7359423810000001</v>
      </c>
      <c r="J190" s="1">
        <v>43117</v>
      </c>
      <c r="K190">
        <f t="shared" si="6"/>
        <v>337.01430502401701</v>
      </c>
      <c r="L190">
        <f t="shared" si="7"/>
        <v>321.38569516671697</v>
      </c>
      <c r="M190">
        <f t="shared" si="8"/>
        <v>326.54132180213901</v>
      </c>
    </row>
    <row r="191" spans="1:13" x14ac:dyDescent="0.3">
      <c r="A191" s="1">
        <v>43090</v>
      </c>
      <c r="B191" s="1">
        <v>43118</v>
      </c>
      <c r="C191">
        <v>323.32734451293902</v>
      </c>
      <c r="D191">
        <v>329.40000019073398</v>
      </c>
      <c r="E191">
        <v>316.85000000000002</v>
      </c>
      <c r="F191">
        <v>12.550000190734799</v>
      </c>
      <c r="G191">
        <v>6.4773445129394496</v>
      </c>
      <c r="H191">
        <v>12.550000190734799</v>
      </c>
      <c r="I191">
        <v>4.7295354959999996</v>
      </c>
      <c r="J191" s="1">
        <v>43118</v>
      </c>
      <c r="K191">
        <f t="shared" si="6"/>
        <v>337.20373375913397</v>
      </c>
      <c r="L191">
        <f t="shared" si="7"/>
        <v>321.59626662233399</v>
      </c>
      <c r="M191">
        <f t="shared" si="8"/>
        <v>323.32734451293902</v>
      </c>
    </row>
    <row r="192" spans="1:13" x14ac:dyDescent="0.3">
      <c r="A192" s="1">
        <v>43091</v>
      </c>
      <c r="B192" s="1">
        <v>43119</v>
      </c>
      <c r="C192">
        <v>315.74556946754399</v>
      </c>
      <c r="D192">
        <v>329.60000038146899</v>
      </c>
      <c r="E192">
        <v>318.5</v>
      </c>
      <c r="F192">
        <v>-11.1000003814697</v>
      </c>
      <c r="G192">
        <v>-2.7544305324554399</v>
      </c>
      <c r="H192">
        <v>11.1000003814697</v>
      </c>
      <c r="I192">
        <v>4.7377438029999999</v>
      </c>
      <c r="J192" s="1">
        <v>43119</v>
      </c>
      <c r="K192">
        <f t="shared" si="6"/>
        <v>337.417277656419</v>
      </c>
      <c r="L192">
        <f t="shared" si="7"/>
        <v>321.78272310651897</v>
      </c>
      <c r="M192">
        <f t="shared" si="8"/>
        <v>315.74556946754399</v>
      </c>
    </row>
    <row r="193" spans="1:13" x14ac:dyDescent="0.3">
      <c r="A193" s="1">
        <v>43094</v>
      </c>
      <c r="B193" s="1">
        <v>43122</v>
      </c>
      <c r="C193">
        <v>315.54436421394303</v>
      </c>
      <c r="D193">
        <v>326.25</v>
      </c>
      <c r="E193">
        <v>318.5</v>
      </c>
      <c r="F193">
        <v>-7.75</v>
      </c>
      <c r="G193">
        <v>-2.9556357860565101</v>
      </c>
      <c r="H193">
        <v>7.75</v>
      </c>
      <c r="I193">
        <v>4.7392007810000001</v>
      </c>
      <c r="J193" s="1">
        <v>43122</v>
      </c>
      <c r="K193">
        <f t="shared" si="6"/>
        <v>334.06968128864997</v>
      </c>
      <c r="L193">
        <f t="shared" si="7"/>
        <v>318.43031871135003</v>
      </c>
      <c r="M193">
        <f t="shared" si="8"/>
        <v>315.54436421394303</v>
      </c>
    </row>
    <row r="194" spans="1:13" x14ac:dyDescent="0.3">
      <c r="A194" s="1">
        <v>43095</v>
      </c>
      <c r="B194" s="1">
        <v>43123</v>
      </c>
      <c r="C194">
        <v>314.77663798332202</v>
      </c>
      <c r="D194">
        <v>331.250000190734</v>
      </c>
      <c r="E194">
        <v>317.45</v>
      </c>
      <c r="F194">
        <v>-13.800000190734799</v>
      </c>
      <c r="G194">
        <v>-2.6733620166778498</v>
      </c>
      <c r="H194">
        <v>13.800000190734799</v>
      </c>
      <c r="I194">
        <v>4.7649728589999896</v>
      </c>
      <c r="J194" s="1">
        <v>43123</v>
      </c>
      <c r="K194">
        <f t="shared" si="6"/>
        <v>339.11220540808398</v>
      </c>
      <c r="L194">
        <f t="shared" si="7"/>
        <v>323.38779497338402</v>
      </c>
      <c r="M194">
        <f t="shared" si="8"/>
        <v>314.77663798332202</v>
      </c>
    </row>
    <row r="195" spans="1:13" x14ac:dyDescent="0.3">
      <c r="A195" s="1">
        <v>43096</v>
      </c>
      <c r="B195" s="1">
        <v>43124</v>
      </c>
      <c r="C195">
        <v>312.252031517028</v>
      </c>
      <c r="D195">
        <v>331.59999961852998</v>
      </c>
      <c r="E195">
        <v>321.2</v>
      </c>
      <c r="F195">
        <v>-10.399999618530201</v>
      </c>
      <c r="G195">
        <v>-8.9479684829711896</v>
      </c>
      <c r="H195">
        <v>10.399999618530201</v>
      </c>
      <c r="I195">
        <v>4.7946086010000002</v>
      </c>
      <c r="J195" s="1">
        <v>43124</v>
      </c>
      <c r="K195">
        <f t="shared" ref="K195:K258" si="9">D195+1.65*I195</f>
        <v>339.51110381017997</v>
      </c>
      <c r="L195">
        <f t="shared" ref="L195:L258" si="10">D195-1.65*I195</f>
        <v>323.68889542687998</v>
      </c>
      <c r="M195">
        <f t="shared" ref="M195:M258" si="11">C195</f>
        <v>312.252031517028</v>
      </c>
    </row>
    <row r="196" spans="1:13" x14ac:dyDescent="0.3">
      <c r="A196" s="1">
        <v>43097</v>
      </c>
      <c r="B196" s="1">
        <v>43125</v>
      </c>
      <c r="C196">
        <v>313.09939804077101</v>
      </c>
      <c r="D196">
        <v>334.29999961853002</v>
      </c>
      <c r="E196">
        <v>325.64999999999998</v>
      </c>
      <c r="F196">
        <v>-8.6499996185302699</v>
      </c>
      <c r="G196">
        <v>-12.5506019592285</v>
      </c>
      <c r="H196">
        <v>8.6499996185302699</v>
      </c>
      <c r="I196">
        <v>4.8493324529999997</v>
      </c>
      <c r="J196" s="1">
        <v>43125</v>
      </c>
      <c r="K196">
        <f t="shared" si="9"/>
        <v>342.30139816598</v>
      </c>
      <c r="L196">
        <f t="shared" si="10"/>
        <v>326.29860107108004</v>
      </c>
      <c r="M196">
        <f t="shared" si="11"/>
        <v>313.09939804077101</v>
      </c>
    </row>
    <row r="197" spans="1:13" x14ac:dyDescent="0.3">
      <c r="A197" s="1">
        <v>43098</v>
      </c>
      <c r="B197" s="1">
        <v>43126</v>
      </c>
      <c r="C197">
        <v>313.97891559600799</v>
      </c>
      <c r="D197">
        <v>335.95000019073399</v>
      </c>
      <c r="E197">
        <v>325.64999999999998</v>
      </c>
      <c r="F197">
        <v>-10.300000190734799</v>
      </c>
      <c r="G197">
        <v>-11.671084403991699</v>
      </c>
      <c r="H197">
        <v>10.300000190734799</v>
      </c>
      <c r="I197">
        <v>4.9602066730000001</v>
      </c>
      <c r="J197" s="1">
        <v>43126</v>
      </c>
      <c r="K197">
        <f t="shared" si="9"/>
        <v>344.13434120118399</v>
      </c>
      <c r="L197">
        <f t="shared" si="10"/>
        <v>327.76565918028399</v>
      </c>
      <c r="M197">
        <f t="shared" si="11"/>
        <v>313.97891559600799</v>
      </c>
    </row>
    <row r="198" spans="1:13" x14ac:dyDescent="0.3">
      <c r="A198" s="1">
        <v>43101</v>
      </c>
      <c r="B198" s="1">
        <v>43129</v>
      </c>
      <c r="C198">
        <v>313.19338359832699</v>
      </c>
      <c r="D198">
        <v>338.50000038146902</v>
      </c>
      <c r="E198">
        <v>325.64999999999998</v>
      </c>
      <c r="F198">
        <v>-12.8500003814697</v>
      </c>
      <c r="G198">
        <v>-12.456616401672299</v>
      </c>
      <c r="H198">
        <v>12.8500003814697</v>
      </c>
      <c r="I198">
        <v>5.139521523</v>
      </c>
      <c r="J198" s="1">
        <v>43129</v>
      </c>
      <c r="K198">
        <f t="shared" si="9"/>
        <v>346.98021089441903</v>
      </c>
      <c r="L198">
        <f t="shared" si="10"/>
        <v>330.01978986851901</v>
      </c>
      <c r="M198">
        <f t="shared" si="11"/>
        <v>313.19338359832699</v>
      </c>
    </row>
    <row r="199" spans="1:13" x14ac:dyDescent="0.3">
      <c r="A199" s="1">
        <v>43102</v>
      </c>
      <c r="B199" s="1">
        <v>43130</v>
      </c>
      <c r="C199">
        <v>313.10292720794598</v>
      </c>
      <c r="D199">
        <v>333.90000009536698</v>
      </c>
      <c r="E199">
        <v>326.5</v>
      </c>
      <c r="F199">
        <v>-7.4000000953674299</v>
      </c>
      <c r="G199">
        <v>-13.3970727920532</v>
      </c>
      <c r="H199">
        <v>7.4000000953674299</v>
      </c>
      <c r="I199">
        <v>5.1795488179999998</v>
      </c>
      <c r="J199" s="1">
        <v>43130</v>
      </c>
      <c r="K199">
        <f t="shared" si="9"/>
        <v>342.44625564506697</v>
      </c>
      <c r="L199">
        <f t="shared" si="10"/>
        <v>325.35374454566698</v>
      </c>
      <c r="M199">
        <f t="shared" si="11"/>
        <v>313.10292720794598</v>
      </c>
    </row>
    <row r="200" spans="1:13" x14ac:dyDescent="0.3">
      <c r="A200" s="1">
        <v>43103</v>
      </c>
      <c r="B200" s="1">
        <v>43131</v>
      </c>
      <c r="C200">
        <v>314.42199726104701</v>
      </c>
      <c r="D200">
        <v>334.45</v>
      </c>
      <c r="E200">
        <v>327.7</v>
      </c>
      <c r="F200">
        <v>-6.75</v>
      </c>
      <c r="G200">
        <v>-13.278002738952599</v>
      </c>
      <c r="H200">
        <v>6.75</v>
      </c>
      <c r="I200">
        <v>5.1308128389999998</v>
      </c>
      <c r="J200" s="1">
        <v>43131</v>
      </c>
      <c r="K200">
        <f t="shared" si="9"/>
        <v>342.91584118434997</v>
      </c>
      <c r="L200">
        <f t="shared" si="10"/>
        <v>325.98415881565001</v>
      </c>
      <c r="M200">
        <f t="shared" si="11"/>
        <v>314.42199726104701</v>
      </c>
    </row>
    <row r="201" spans="1:13" x14ac:dyDescent="0.3">
      <c r="A201" s="1">
        <v>43104</v>
      </c>
      <c r="B201" s="1">
        <v>43132</v>
      </c>
      <c r="C201">
        <v>313.75541210174498</v>
      </c>
      <c r="D201">
        <v>333.64999961852999</v>
      </c>
      <c r="E201">
        <v>325</v>
      </c>
      <c r="F201">
        <v>-8.6499996185302699</v>
      </c>
      <c r="G201">
        <v>-11.2445878982543</v>
      </c>
      <c r="H201">
        <v>8.6499996185302699</v>
      </c>
      <c r="I201">
        <v>5.1028800309999998</v>
      </c>
      <c r="J201" s="1">
        <v>43132</v>
      </c>
      <c r="K201">
        <f t="shared" si="9"/>
        <v>342.06975166967999</v>
      </c>
      <c r="L201">
        <f t="shared" si="10"/>
        <v>325.23024756737999</v>
      </c>
      <c r="M201">
        <f t="shared" si="11"/>
        <v>313.75541210174498</v>
      </c>
    </row>
    <row r="202" spans="1:13" x14ac:dyDescent="0.3">
      <c r="A202" s="1">
        <v>43105</v>
      </c>
      <c r="B202" s="1">
        <v>43133</v>
      </c>
      <c r="C202">
        <v>312.73568840026797</v>
      </c>
      <c r="D202">
        <v>327.40000004768302</v>
      </c>
      <c r="E202">
        <v>328.95</v>
      </c>
      <c r="F202">
        <v>1.54999995231628</v>
      </c>
      <c r="G202">
        <v>-16.214311599731399</v>
      </c>
      <c r="H202">
        <v>-1.54999995231628</v>
      </c>
      <c r="I202">
        <v>4.9881768869999998</v>
      </c>
      <c r="J202" s="1">
        <v>43133</v>
      </c>
      <c r="K202">
        <f t="shared" si="9"/>
        <v>335.63049191123304</v>
      </c>
      <c r="L202">
        <f t="shared" si="10"/>
        <v>319.16950818413301</v>
      </c>
      <c r="M202">
        <f t="shared" si="11"/>
        <v>312.73568840026797</v>
      </c>
    </row>
    <row r="203" spans="1:13" x14ac:dyDescent="0.3">
      <c r="A203" s="1">
        <v>43108</v>
      </c>
      <c r="B203" s="1">
        <v>43136</v>
      </c>
      <c r="C203">
        <v>315.93022060394202</v>
      </c>
      <c r="D203">
        <v>323</v>
      </c>
      <c r="E203">
        <v>331.25</v>
      </c>
      <c r="F203">
        <v>8.25</v>
      </c>
      <c r="G203">
        <v>-15.3197793960571</v>
      </c>
      <c r="H203">
        <v>-8.25</v>
      </c>
      <c r="I203">
        <v>4.9533709139999997</v>
      </c>
      <c r="J203" s="1">
        <v>43136</v>
      </c>
      <c r="K203">
        <f t="shared" si="9"/>
        <v>331.17306200809998</v>
      </c>
      <c r="L203">
        <f t="shared" si="10"/>
        <v>314.82693799190002</v>
      </c>
      <c r="M203">
        <f t="shared" si="11"/>
        <v>315.93022060394202</v>
      </c>
    </row>
    <row r="204" spans="1:13" x14ac:dyDescent="0.3">
      <c r="A204" s="1">
        <v>43109</v>
      </c>
      <c r="B204" s="1">
        <v>43137</v>
      </c>
      <c r="C204">
        <v>315.822084617614</v>
      </c>
      <c r="D204">
        <v>317.64999980926501</v>
      </c>
      <c r="E204">
        <v>330.45</v>
      </c>
      <c r="F204">
        <v>12.800000190734799</v>
      </c>
      <c r="G204">
        <v>-14.627915382385201</v>
      </c>
      <c r="H204">
        <v>-12.800000190734799</v>
      </c>
      <c r="I204">
        <v>5.0375850580000003</v>
      </c>
      <c r="J204" s="1">
        <v>43137</v>
      </c>
      <c r="K204">
        <f t="shared" si="9"/>
        <v>325.962015154965</v>
      </c>
      <c r="L204">
        <f t="shared" si="10"/>
        <v>309.33798446356502</v>
      </c>
      <c r="M204">
        <f t="shared" si="11"/>
        <v>315.822084617614</v>
      </c>
    </row>
    <row r="205" spans="1:13" x14ac:dyDescent="0.3">
      <c r="A205" s="1">
        <v>43110</v>
      </c>
      <c r="B205" s="1">
        <v>43138</v>
      </c>
      <c r="C205">
        <v>315.11346492767302</v>
      </c>
      <c r="D205">
        <v>309.49999961853001</v>
      </c>
      <c r="E205">
        <v>327.85</v>
      </c>
      <c r="F205">
        <v>18.350000381469702</v>
      </c>
      <c r="G205">
        <v>-12.7365350723266</v>
      </c>
      <c r="H205">
        <v>-18.350000381469702</v>
      </c>
      <c r="I205">
        <v>5.3981002939999998</v>
      </c>
      <c r="J205" s="1">
        <v>43138</v>
      </c>
      <c r="K205">
        <f t="shared" si="9"/>
        <v>318.40686510363003</v>
      </c>
      <c r="L205">
        <f t="shared" si="10"/>
        <v>300.59313413343</v>
      </c>
      <c r="M205">
        <f t="shared" si="11"/>
        <v>315.11346492767302</v>
      </c>
    </row>
    <row r="206" spans="1:13" x14ac:dyDescent="0.3">
      <c r="A206" s="1">
        <v>43111</v>
      </c>
      <c r="B206" s="1">
        <v>43139</v>
      </c>
      <c r="C206">
        <v>314.18458080291703</v>
      </c>
      <c r="D206">
        <v>312.5</v>
      </c>
      <c r="E206">
        <v>326.5</v>
      </c>
      <c r="F206">
        <v>14</v>
      </c>
      <c r="G206">
        <v>-12.3154191970825</v>
      </c>
      <c r="H206">
        <v>-14</v>
      </c>
      <c r="I206">
        <v>5.6150264139999999</v>
      </c>
      <c r="J206" s="1">
        <v>43139</v>
      </c>
      <c r="K206">
        <f t="shared" si="9"/>
        <v>321.76479358310002</v>
      </c>
      <c r="L206">
        <f t="shared" si="10"/>
        <v>303.23520641689998</v>
      </c>
      <c r="M206">
        <f t="shared" si="11"/>
        <v>314.18458080291703</v>
      </c>
    </row>
    <row r="207" spans="1:13" x14ac:dyDescent="0.3">
      <c r="A207" s="1">
        <v>43112</v>
      </c>
      <c r="B207" s="1">
        <v>43140</v>
      </c>
      <c r="C207">
        <v>313.409210777282</v>
      </c>
      <c r="D207">
        <v>303.85000000000002</v>
      </c>
      <c r="E207">
        <v>326.85000000000002</v>
      </c>
      <c r="F207">
        <v>23</v>
      </c>
      <c r="G207">
        <v>-13.4407892227172</v>
      </c>
      <c r="H207">
        <v>-23</v>
      </c>
      <c r="I207">
        <v>6.223028051</v>
      </c>
      <c r="J207" s="1">
        <v>43140</v>
      </c>
      <c r="K207">
        <f t="shared" si="9"/>
        <v>314.11799628415002</v>
      </c>
      <c r="L207">
        <f t="shared" si="10"/>
        <v>293.58200371585002</v>
      </c>
      <c r="M207">
        <f t="shared" si="11"/>
        <v>313.409210777282</v>
      </c>
    </row>
    <row r="208" spans="1:13" x14ac:dyDescent="0.3">
      <c r="A208" s="1">
        <v>43115</v>
      </c>
      <c r="B208" s="1">
        <v>43143</v>
      </c>
      <c r="C208">
        <v>311.63560657501199</v>
      </c>
      <c r="D208">
        <v>308.09999923705999</v>
      </c>
      <c r="E208">
        <v>327.3</v>
      </c>
      <c r="F208">
        <v>19.2000007629394</v>
      </c>
      <c r="G208">
        <v>-15.664393424987701</v>
      </c>
      <c r="H208">
        <v>-19.2000007629394</v>
      </c>
      <c r="I208">
        <v>6.5709688939999999</v>
      </c>
      <c r="J208" s="1">
        <v>43143</v>
      </c>
      <c r="K208">
        <f t="shared" si="9"/>
        <v>318.94209791215997</v>
      </c>
      <c r="L208">
        <f t="shared" si="10"/>
        <v>297.25790056196001</v>
      </c>
      <c r="M208">
        <f t="shared" si="11"/>
        <v>311.63560657501199</v>
      </c>
    </row>
    <row r="209" spans="1:13" x14ac:dyDescent="0.3">
      <c r="A209" s="1">
        <v>43116</v>
      </c>
      <c r="B209" s="1">
        <v>43144</v>
      </c>
      <c r="C209">
        <v>313.14499664306601</v>
      </c>
      <c r="D209">
        <v>311.39999961852999</v>
      </c>
      <c r="E209">
        <v>330.5</v>
      </c>
      <c r="F209">
        <v>19.100000381469702</v>
      </c>
      <c r="G209">
        <v>-17.355003356933501</v>
      </c>
      <c r="H209">
        <v>-19.100000381469702</v>
      </c>
      <c r="I209">
        <v>6.7675366929999896</v>
      </c>
      <c r="J209" s="1">
        <v>43144</v>
      </c>
      <c r="K209">
        <f t="shared" si="9"/>
        <v>322.56643516198</v>
      </c>
      <c r="L209">
        <f t="shared" si="10"/>
        <v>300.23356407507998</v>
      </c>
      <c r="M209">
        <f t="shared" si="11"/>
        <v>313.14499664306601</v>
      </c>
    </row>
    <row r="210" spans="1:13" x14ac:dyDescent="0.3">
      <c r="A210" s="1">
        <v>43117</v>
      </c>
      <c r="B210" s="1">
        <v>43145</v>
      </c>
      <c r="C210">
        <v>311.19668312072702</v>
      </c>
      <c r="D210">
        <v>314.30000038146898</v>
      </c>
      <c r="E210">
        <v>329.2</v>
      </c>
      <c r="F210">
        <v>14.899999618530201</v>
      </c>
      <c r="G210">
        <v>-18.003316879272401</v>
      </c>
      <c r="H210">
        <v>-14.899999618530201</v>
      </c>
      <c r="I210">
        <v>6.8889796679999904</v>
      </c>
      <c r="J210" s="1">
        <v>43145</v>
      </c>
      <c r="K210">
        <f t="shared" si="9"/>
        <v>325.66681683366897</v>
      </c>
      <c r="L210">
        <f t="shared" si="10"/>
        <v>302.93318392926898</v>
      </c>
      <c r="M210">
        <f t="shared" si="11"/>
        <v>311.19668312072702</v>
      </c>
    </row>
    <row r="211" spans="1:13" x14ac:dyDescent="0.3">
      <c r="A211" s="1">
        <v>43118</v>
      </c>
      <c r="B211" s="1">
        <v>43146</v>
      </c>
      <c r="C211">
        <v>314.72643795013403</v>
      </c>
      <c r="D211">
        <v>314.29999961853002</v>
      </c>
      <c r="E211">
        <v>329.4</v>
      </c>
      <c r="F211">
        <v>15.1000003814697</v>
      </c>
      <c r="G211">
        <v>-14.6735620498657</v>
      </c>
      <c r="H211">
        <v>-15.1000003814697</v>
      </c>
      <c r="I211">
        <v>6.9753420439999996</v>
      </c>
      <c r="J211" s="1">
        <v>43146</v>
      </c>
      <c r="K211">
        <f t="shared" si="9"/>
        <v>325.80931399113001</v>
      </c>
      <c r="L211">
        <f t="shared" si="10"/>
        <v>302.79068524593004</v>
      </c>
      <c r="M211">
        <f t="shared" si="11"/>
        <v>314.72643795013403</v>
      </c>
    </row>
    <row r="212" spans="1:13" x14ac:dyDescent="0.3">
      <c r="A212" s="1">
        <v>43119</v>
      </c>
      <c r="B212" s="1">
        <v>43147</v>
      </c>
      <c r="C212">
        <v>312.06969413757298</v>
      </c>
      <c r="D212">
        <v>314.29999980926499</v>
      </c>
      <c r="E212">
        <v>329.6</v>
      </c>
      <c r="F212">
        <v>15.300000190734799</v>
      </c>
      <c r="G212">
        <v>-17.530305862426701</v>
      </c>
      <c r="H212">
        <v>-15.300000190734799</v>
      </c>
      <c r="I212">
        <v>7.0558114179999896</v>
      </c>
      <c r="J212" s="1">
        <v>43147</v>
      </c>
      <c r="K212">
        <f t="shared" si="9"/>
        <v>325.94208864896495</v>
      </c>
      <c r="L212">
        <f t="shared" si="10"/>
        <v>302.65791096956502</v>
      </c>
      <c r="M212">
        <f t="shared" si="11"/>
        <v>312.06969413757298</v>
      </c>
    </row>
    <row r="213" spans="1:13" x14ac:dyDescent="0.3">
      <c r="A213" s="1">
        <v>43122</v>
      </c>
      <c r="B213" s="1">
        <v>43150</v>
      </c>
      <c r="C213">
        <v>313.96697139739899</v>
      </c>
      <c r="D213">
        <v>316.25</v>
      </c>
      <c r="E213">
        <v>326.25</v>
      </c>
      <c r="F213">
        <v>10</v>
      </c>
      <c r="G213">
        <v>-12.2830286026</v>
      </c>
      <c r="H213">
        <v>-10</v>
      </c>
      <c r="I213">
        <v>7.1057772909999999</v>
      </c>
      <c r="J213" s="1">
        <v>43150</v>
      </c>
      <c r="K213">
        <f t="shared" si="9"/>
        <v>327.97453253014999</v>
      </c>
      <c r="L213">
        <f t="shared" si="10"/>
        <v>304.52546746985001</v>
      </c>
      <c r="M213">
        <f t="shared" si="11"/>
        <v>313.96697139739899</v>
      </c>
    </row>
    <row r="214" spans="1:13" x14ac:dyDescent="0.3">
      <c r="A214" s="1">
        <v>43123</v>
      </c>
      <c r="B214" s="1">
        <v>43151</v>
      </c>
      <c r="C214">
        <v>314.29016876220697</v>
      </c>
      <c r="D214">
        <v>312</v>
      </c>
      <c r="E214">
        <v>331.25</v>
      </c>
      <c r="F214">
        <v>19.25</v>
      </c>
      <c r="G214">
        <v>-16.959831237792901</v>
      </c>
      <c r="H214">
        <v>-19.25</v>
      </c>
      <c r="I214">
        <v>7.2247302479999904</v>
      </c>
      <c r="J214" s="1">
        <v>43151</v>
      </c>
      <c r="K214">
        <f t="shared" si="9"/>
        <v>323.9208049092</v>
      </c>
      <c r="L214">
        <f t="shared" si="10"/>
        <v>300.0791950908</v>
      </c>
      <c r="M214">
        <f t="shared" si="11"/>
        <v>314.29016876220697</v>
      </c>
    </row>
    <row r="215" spans="1:13" x14ac:dyDescent="0.3">
      <c r="A215" s="1">
        <v>43124</v>
      </c>
      <c r="B215" s="1">
        <v>43152</v>
      </c>
      <c r="C215">
        <v>316.05917415618899</v>
      </c>
      <c r="D215">
        <v>314.05000076293902</v>
      </c>
      <c r="E215">
        <v>331.6</v>
      </c>
      <c r="F215">
        <v>17.549999237060501</v>
      </c>
      <c r="G215">
        <v>-15.540825843811</v>
      </c>
      <c r="H215">
        <v>-17.549999237060501</v>
      </c>
      <c r="I215">
        <v>7.2539401589999999</v>
      </c>
      <c r="J215" s="1">
        <v>43152</v>
      </c>
      <c r="K215">
        <f t="shared" si="9"/>
        <v>326.01900202528901</v>
      </c>
      <c r="L215">
        <f t="shared" si="10"/>
        <v>302.08099950058903</v>
      </c>
      <c r="M215">
        <f t="shared" si="11"/>
        <v>316.05917415618899</v>
      </c>
    </row>
    <row r="216" spans="1:13" x14ac:dyDescent="0.3">
      <c r="A216" s="1">
        <v>43125</v>
      </c>
      <c r="B216" s="1">
        <v>43153</v>
      </c>
      <c r="C216">
        <v>316.35766868591298</v>
      </c>
      <c r="D216">
        <v>311.84999923705999</v>
      </c>
      <c r="E216">
        <v>334.3</v>
      </c>
      <c r="F216">
        <v>22.4500007629394</v>
      </c>
      <c r="G216">
        <v>-17.9423313140869</v>
      </c>
      <c r="H216">
        <v>-22.4500007629394</v>
      </c>
      <c r="I216">
        <v>7.3415822909999999</v>
      </c>
      <c r="J216" s="1">
        <v>43153</v>
      </c>
      <c r="K216">
        <f t="shared" si="9"/>
        <v>323.96361001720999</v>
      </c>
      <c r="L216">
        <f t="shared" si="10"/>
        <v>299.73638845690999</v>
      </c>
      <c r="M216">
        <f t="shared" si="11"/>
        <v>316.35766868591298</v>
      </c>
    </row>
    <row r="217" spans="1:13" x14ac:dyDescent="0.3">
      <c r="A217" s="1">
        <v>43126</v>
      </c>
      <c r="B217" s="1">
        <v>43154</v>
      </c>
      <c r="C217">
        <v>319.844845962524</v>
      </c>
      <c r="D217">
        <v>316.95</v>
      </c>
      <c r="E217">
        <v>335.95</v>
      </c>
      <c r="F217">
        <v>19</v>
      </c>
      <c r="G217">
        <v>-16.105154037475501</v>
      </c>
      <c r="H217">
        <v>-19</v>
      </c>
      <c r="I217">
        <v>7.3046936469999997</v>
      </c>
      <c r="J217" s="1">
        <v>43154</v>
      </c>
      <c r="K217">
        <f t="shared" si="9"/>
        <v>329.00274451755001</v>
      </c>
      <c r="L217">
        <f t="shared" si="10"/>
        <v>304.89725548244996</v>
      </c>
      <c r="M217">
        <f t="shared" si="11"/>
        <v>319.844845962524</v>
      </c>
    </row>
    <row r="218" spans="1:13" x14ac:dyDescent="0.3">
      <c r="A218" s="1">
        <v>43129</v>
      </c>
      <c r="B218" s="1">
        <v>43157</v>
      </c>
      <c r="C218">
        <v>324.934491157531</v>
      </c>
      <c r="D218">
        <v>317.10000038146899</v>
      </c>
      <c r="E218">
        <v>338.5</v>
      </c>
      <c r="F218">
        <v>21.399999618530199</v>
      </c>
      <c r="G218">
        <v>-13.5655088424682</v>
      </c>
      <c r="H218">
        <v>-21.399999618530199</v>
      </c>
      <c r="I218">
        <v>7.3382094889999996</v>
      </c>
      <c r="J218" s="1">
        <v>43157</v>
      </c>
      <c r="K218">
        <f t="shared" si="9"/>
        <v>329.20804603831897</v>
      </c>
      <c r="L218">
        <f t="shared" si="10"/>
        <v>304.99195472461901</v>
      </c>
      <c r="M218">
        <f t="shared" si="11"/>
        <v>324.934491157531</v>
      </c>
    </row>
    <row r="219" spans="1:13" x14ac:dyDescent="0.3">
      <c r="A219" s="1">
        <v>43130</v>
      </c>
      <c r="B219" s="1">
        <v>43158</v>
      </c>
      <c r="C219">
        <v>319.993256950378</v>
      </c>
      <c r="D219">
        <v>315.75000038146902</v>
      </c>
      <c r="E219">
        <v>333.9</v>
      </c>
      <c r="F219">
        <v>18.149999618530199</v>
      </c>
      <c r="G219">
        <v>-13.9067430496215</v>
      </c>
      <c r="H219">
        <v>-18.149999618530199</v>
      </c>
      <c r="I219">
        <v>7.3737460639999997</v>
      </c>
      <c r="J219" s="1">
        <v>43158</v>
      </c>
      <c r="K219">
        <f t="shared" si="9"/>
        <v>327.91668138706905</v>
      </c>
      <c r="L219">
        <f t="shared" si="10"/>
        <v>303.583319375869</v>
      </c>
      <c r="M219">
        <f t="shared" si="11"/>
        <v>319.993256950378</v>
      </c>
    </row>
    <row r="220" spans="1:13" x14ac:dyDescent="0.3">
      <c r="A220" s="1">
        <v>43131</v>
      </c>
      <c r="B220" s="1">
        <v>43159</v>
      </c>
      <c r="C220">
        <v>325.39670486450098</v>
      </c>
      <c r="D220">
        <v>312.45</v>
      </c>
      <c r="E220">
        <v>334.45</v>
      </c>
      <c r="F220">
        <v>22</v>
      </c>
      <c r="G220">
        <v>-9.0532951354980398</v>
      </c>
      <c r="H220">
        <v>-22</v>
      </c>
      <c r="I220">
        <v>7.4649805819999999</v>
      </c>
      <c r="J220" s="1">
        <v>43159</v>
      </c>
      <c r="K220">
        <f t="shared" si="9"/>
        <v>324.7672179603</v>
      </c>
      <c r="L220">
        <f t="shared" si="10"/>
        <v>300.13278203969998</v>
      </c>
      <c r="M220">
        <f t="shared" si="11"/>
        <v>325.39670486450098</v>
      </c>
    </row>
    <row r="221" spans="1:13" x14ac:dyDescent="0.3">
      <c r="A221" s="1">
        <v>43132</v>
      </c>
      <c r="B221" s="1">
        <v>43160</v>
      </c>
      <c r="C221">
        <v>325.87330331802298</v>
      </c>
      <c r="D221">
        <v>312.44999923706001</v>
      </c>
      <c r="E221">
        <v>333.65</v>
      </c>
      <c r="F221">
        <v>21.2000007629394</v>
      </c>
      <c r="G221">
        <v>-7.7766966819763104</v>
      </c>
      <c r="H221">
        <v>-21.2000007629394</v>
      </c>
      <c r="I221">
        <v>7.5743936989999998</v>
      </c>
      <c r="J221" s="1">
        <v>43160</v>
      </c>
      <c r="K221">
        <f t="shared" si="9"/>
        <v>324.94774884040999</v>
      </c>
      <c r="L221">
        <f t="shared" si="10"/>
        <v>299.95224963371004</v>
      </c>
      <c r="M221">
        <f t="shared" si="11"/>
        <v>325.87330331802298</v>
      </c>
    </row>
    <row r="222" spans="1:13" x14ac:dyDescent="0.3">
      <c r="A222" s="1">
        <v>43133</v>
      </c>
      <c r="B222" s="1">
        <v>43161</v>
      </c>
      <c r="C222">
        <v>319.25356426239</v>
      </c>
      <c r="D222">
        <v>308.14999999999998</v>
      </c>
      <c r="E222">
        <v>327.39999999999998</v>
      </c>
      <c r="F222">
        <v>19.25</v>
      </c>
      <c r="G222">
        <v>-8.1464357376098597</v>
      </c>
      <c r="H222">
        <v>-19.25</v>
      </c>
      <c r="I222">
        <v>7.7846316789999896</v>
      </c>
      <c r="J222" s="1">
        <v>43161</v>
      </c>
      <c r="K222">
        <f t="shared" si="9"/>
        <v>320.99464227034997</v>
      </c>
      <c r="L222">
        <f t="shared" si="10"/>
        <v>295.30535772964998</v>
      </c>
      <c r="M222">
        <f t="shared" si="11"/>
        <v>319.25356426239</v>
      </c>
    </row>
    <row r="223" spans="1:13" x14ac:dyDescent="0.3">
      <c r="A223" s="1">
        <v>43136</v>
      </c>
      <c r="B223" s="1">
        <v>43164</v>
      </c>
      <c r="C223">
        <v>317.32322072982703</v>
      </c>
      <c r="D223">
        <v>303.85000038146899</v>
      </c>
      <c r="E223">
        <v>323</v>
      </c>
      <c r="F223">
        <v>19.149999618530199</v>
      </c>
      <c r="G223">
        <v>-5.6767792701721103</v>
      </c>
      <c r="H223">
        <v>-19.149999618530199</v>
      </c>
      <c r="I223">
        <v>8.1110012539999996</v>
      </c>
      <c r="J223" s="1">
        <v>43164</v>
      </c>
      <c r="K223">
        <f t="shared" si="9"/>
        <v>317.23315245056898</v>
      </c>
      <c r="L223">
        <f t="shared" si="10"/>
        <v>290.466848312369</v>
      </c>
      <c r="M223">
        <f t="shared" si="11"/>
        <v>317.32322072982703</v>
      </c>
    </row>
    <row r="224" spans="1:13" x14ac:dyDescent="0.3">
      <c r="A224" s="1">
        <v>43137</v>
      </c>
      <c r="B224" s="1">
        <v>43165</v>
      </c>
      <c r="C224">
        <v>313.79929771423298</v>
      </c>
      <c r="D224">
        <v>310.30000009536701</v>
      </c>
      <c r="E224">
        <v>317.64999999999998</v>
      </c>
      <c r="F224">
        <v>7.3499999046325604</v>
      </c>
      <c r="G224">
        <v>-3.8507022857665998</v>
      </c>
      <c r="H224">
        <v>-7.3499999046325604</v>
      </c>
      <c r="I224">
        <v>8.2212875949999997</v>
      </c>
      <c r="J224" s="1">
        <v>43165</v>
      </c>
      <c r="K224">
        <f t="shared" si="9"/>
        <v>323.86512462711698</v>
      </c>
      <c r="L224">
        <f t="shared" si="10"/>
        <v>296.73487556361704</v>
      </c>
      <c r="M224">
        <f t="shared" si="11"/>
        <v>313.79929771423298</v>
      </c>
    </row>
    <row r="225" spans="1:13" x14ac:dyDescent="0.3">
      <c r="A225" s="1">
        <v>43138</v>
      </c>
      <c r="B225" s="1">
        <v>43166</v>
      </c>
      <c r="C225">
        <v>305.00428724288901</v>
      </c>
      <c r="D225">
        <v>310.44999998807901</v>
      </c>
      <c r="E225">
        <v>309.5</v>
      </c>
      <c r="F225">
        <v>-0.94999998807907104</v>
      </c>
      <c r="G225">
        <v>-4.4957127571105904</v>
      </c>
      <c r="H225">
        <v>0.94999998807907104</v>
      </c>
      <c r="I225">
        <v>8.3422529989999994</v>
      </c>
      <c r="J225" s="1">
        <v>43166</v>
      </c>
      <c r="K225">
        <f t="shared" si="9"/>
        <v>324.214717436429</v>
      </c>
      <c r="L225">
        <f t="shared" si="10"/>
        <v>296.68528253972903</v>
      </c>
      <c r="M225">
        <f t="shared" si="11"/>
        <v>305.00428724288901</v>
      </c>
    </row>
    <row r="226" spans="1:13" x14ac:dyDescent="0.3">
      <c r="A226" s="1">
        <v>43139</v>
      </c>
      <c r="B226" s="1">
        <v>43167</v>
      </c>
      <c r="C226">
        <v>307.71755456924399</v>
      </c>
      <c r="D226">
        <v>313.60000002384101</v>
      </c>
      <c r="E226">
        <v>312.5</v>
      </c>
      <c r="F226">
        <v>-1.1000000238418499</v>
      </c>
      <c r="G226">
        <v>-4.7824454307556099</v>
      </c>
      <c r="H226">
        <v>1.1000000238418499</v>
      </c>
      <c r="I226">
        <v>8.4016687900000004</v>
      </c>
      <c r="J226" s="1">
        <v>43167</v>
      </c>
      <c r="K226">
        <f t="shared" si="9"/>
        <v>327.46275352734102</v>
      </c>
      <c r="L226">
        <f t="shared" si="10"/>
        <v>299.73724652034099</v>
      </c>
      <c r="M226">
        <f t="shared" si="11"/>
        <v>307.71755456924399</v>
      </c>
    </row>
    <row r="227" spans="1:13" x14ac:dyDescent="0.3">
      <c r="A227" s="1">
        <v>43140</v>
      </c>
      <c r="B227" s="1">
        <v>43168</v>
      </c>
      <c r="C227">
        <v>300.93142709732001</v>
      </c>
      <c r="D227">
        <v>317.10000000000002</v>
      </c>
      <c r="E227">
        <v>303.85000000000002</v>
      </c>
      <c r="F227">
        <v>-13.25</v>
      </c>
      <c r="G227">
        <v>-2.9185729026794398</v>
      </c>
      <c r="H227">
        <v>13.25</v>
      </c>
      <c r="I227">
        <v>8.4200109340000004</v>
      </c>
      <c r="J227" s="1">
        <v>43168</v>
      </c>
      <c r="K227">
        <f t="shared" si="9"/>
        <v>330.99301804110002</v>
      </c>
      <c r="L227">
        <f t="shared" si="10"/>
        <v>303.20698195890003</v>
      </c>
      <c r="M227">
        <f t="shared" si="11"/>
        <v>300.93142709732001</v>
      </c>
    </row>
    <row r="228" spans="1:13" x14ac:dyDescent="0.3">
      <c r="A228" s="1">
        <v>43143</v>
      </c>
      <c r="B228" s="1">
        <v>43171</v>
      </c>
      <c r="C228">
        <v>298.09294185638402</v>
      </c>
      <c r="D228">
        <v>320.10000000000002</v>
      </c>
      <c r="E228">
        <v>308.10000000000002</v>
      </c>
      <c r="F228">
        <v>-12</v>
      </c>
      <c r="G228">
        <v>-10.0070581436157</v>
      </c>
      <c r="H228">
        <v>12</v>
      </c>
      <c r="I228">
        <v>8.4218353159999992</v>
      </c>
      <c r="J228" s="1">
        <v>43171</v>
      </c>
      <c r="K228">
        <f t="shared" si="9"/>
        <v>333.99602827140001</v>
      </c>
      <c r="L228">
        <f t="shared" si="10"/>
        <v>306.20397172860004</v>
      </c>
      <c r="M228">
        <f t="shared" si="11"/>
        <v>298.09294185638402</v>
      </c>
    </row>
    <row r="229" spans="1:13" x14ac:dyDescent="0.3">
      <c r="A229" s="1">
        <v>43144</v>
      </c>
      <c r="B229" s="1">
        <v>43172</v>
      </c>
      <c r="C229">
        <v>301.46326198577799</v>
      </c>
      <c r="D229">
        <v>321.50000038146902</v>
      </c>
      <c r="E229">
        <v>311.39999999999998</v>
      </c>
      <c r="F229">
        <v>-10.1000003814697</v>
      </c>
      <c r="G229">
        <v>-9.9367380142211896</v>
      </c>
      <c r="H229">
        <v>10.1000003814697</v>
      </c>
      <c r="I229">
        <v>8.4208132720000002</v>
      </c>
      <c r="J229" s="1">
        <v>43172</v>
      </c>
      <c r="K229">
        <f t="shared" si="9"/>
        <v>335.39434228026903</v>
      </c>
      <c r="L229">
        <f t="shared" si="10"/>
        <v>307.60565848266901</v>
      </c>
      <c r="M229">
        <f t="shared" si="11"/>
        <v>301.46326198577799</v>
      </c>
    </row>
    <row r="230" spans="1:13" x14ac:dyDescent="0.3">
      <c r="A230" s="1">
        <v>43145</v>
      </c>
      <c r="B230" s="1">
        <v>43173</v>
      </c>
      <c r="C230">
        <v>305.60295085906898</v>
      </c>
      <c r="D230">
        <v>321.55</v>
      </c>
      <c r="E230">
        <v>314.3</v>
      </c>
      <c r="F230">
        <v>-7.25</v>
      </c>
      <c r="G230">
        <v>-8.6970491409301705</v>
      </c>
      <c r="H230">
        <v>7.25</v>
      </c>
      <c r="I230">
        <v>8.4191190099999993</v>
      </c>
      <c r="J230" s="1">
        <v>43173</v>
      </c>
      <c r="K230">
        <f t="shared" si="9"/>
        <v>335.44154636650001</v>
      </c>
      <c r="L230">
        <f t="shared" si="10"/>
        <v>307.65845363350002</v>
      </c>
      <c r="M230">
        <f t="shared" si="11"/>
        <v>305.60295085906898</v>
      </c>
    </row>
    <row r="231" spans="1:13" x14ac:dyDescent="0.3">
      <c r="A231" s="1">
        <v>43146</v>
      </c>
      <c r="B231" s="1">
        <v>43174</v>
      </c>
      <c r="C231">
        <v>303.99460105895997</v>
      </c>
      <c r="D231">
        <v>322.85000019073402</v>
      </c>
      <c r="E231">
        <v>314.3</v>
      </c>
      <c r="F231">
        <v>-8.5500001907348597</v>
      </c>
      <c r="G231">
        <v>-10.30539894104</v>
      </c>
      <c r="H231">
        <v>8.5500001907348597</v>
      </c>
      <c r="I231">
        <v>8.4134700549999994</v>
      </c>
      <c r="J231" s="1">
        <v>43174</v>
      </c>
      <c r="K231">
        <f t="shared" si="9"/>
        <v>336.73222578148403</v>
      </c>
      <c r="L231">
        <f t="shared" si="10"/>
        <v>308.96777459998401</v>
      </c>
      <c r="M231">
        <f t="shared" si="11"/>
        <v>303.99460105895997</v>
      </c>
    </row>
    <row r="232" spans="1:13" x14ac:dyDescent="0.3">
      <c r="A232" s="1">
        <v>43147</v>
      </c>
      <c r="B232" s="1">
        <v>43175</v>
      </c>
      <c r="C232">
        <v>306.02714233398399</v>
      </c>
      <c r="D232">
        <v>321.99999980926498</v>
      </c>
      <c r="E232">
        <v>314.3</v>
      </c>
      <c r="F232">
        <v>-7.6999998092651296</v>
      </c>
      <c r="G232">
        <v>-8.2728576660156197</v>
      </c>
      <c r="H232">
        <v>7.6999998092651296</v>
      </c>
      <c r="I232">
        <v>8.4121949600000008</v>
      </c>
      <c r="J232" s="1">
        <v>43175</v>
      </c>
      <c r="K232">
        <f t="shared" si="9"/>
        <v>335.88012149326499</v>
      </c>
      <c r="L232">
        <f t="shared" si="10"/>
        <v>308.11987812526496</v>
      </c>
      <c r="M232">
        <f t="shared" si="11"/>
        <v>306.02714233398399</v>
      </c>
    </row>
    <row r="233" spans="1:13" x14ac:dyDescent="0.3">
      <c r="A233" s="1">
        <v>43150</v>
      </c>
      <c r="B233" s="1">
        <v>43178</v>
      </c>
      <c r="C233">
        <v>304.43992614746003</v>
      </c>
      <c r="D233">
        <v>319.849999904632</v>
      </c>
      <c r="E233">
        <v>316.25</v>
      </c>
      <c r="F233">
        <v>-3.5999999046325599</v>
      </c>
      <c r="G233">
        <v>-11.810073852539</v>
      </c>
      <c r="H233">
        <v>3.5999999046325599</v>
      </c>
      <c r="I233">
        <v>8.4075674189999994</v>
      </c>
      <c r="J233" s="1">
        <v>43178</v>
      </c>
      <c r="K233">
        <f t="shared" si="9"/>
        <v>333.72248614598197</v>
      </c>
      <c r="L233">
        <f t="shared" si="10"/>
        <v>305.97751366328202</v>
      </c>
      <c r="M233">
        <f t="shared" si="11"/>
        <v>304.43992614746003</v>
      </c>
    </row>
    <row r="234" spans="1:13" x14ac:dyDescent="0.3">
      <c r="A234" s="1">
        <v>43151</v>
      </c>
      <c r="B234" s="1">
        <v>43179</v>
      </c>
      <c r="C234">
        <v>304.58996629714898</v>
      </c>
      <c r="D234">
        <v>321.30000019073401</v>
      </c>
      <c r="E234">
        <v>312</v>
      </c>
      <c r="F234">
        <v>-9.3000001907348597</v>
      </c>
      <c r="G234">
        <v>-7.41003370285034</v>
      </c>
      <c r="H234">
        <v>9.3000001907348597</v>
      </c>
      <c r="I234">
        <v>8.4018458220000003</v>
      </c>
      <c r="J234" s="1">
        <v>43179</v>
      </c>
      <c r="K234">
        <f t="shared" si="9"/>
        <v>335.16304579703399</v>
      </c>
      <c r="L234">
        <f t="shared" si="10"/>
        <v>307.43695458443403</v>
      </c>
      <c r="M234">
        <f t="shared" si="11"/>
        <v>304.58996629714898</v>
      </c>
    </row>
    <row r="235" spans="1:13" x14ac:dyDescent="0.3">
      <c r="A235" s="1">
        <v>43152</v>
      </c>
      <c r="B235" s="1">
        <v>43180</v>
      </c>
      <c r="C235">
        <v>306.22572641372602</v>
      </c>
      <c r="D235">
        <v>321.60000019073402</v>
      </c>
      <c r="E235">
        <v>314.05</v>
      </c>
      <c r="F235">
        <v>-7.5500001907348597</v>
      </c>
      <c r="G235">
        <v>-7.8242735862731898</v>
      </c>
      <c r="H235">
        <v>7.5500001907348597</v>
      </c>
      <c r="I235">
        <v>8.3973422559999999</v>
      </c>
      <c r="J235" s="1">
        <v>43180</v>
      </c>
      <c r="K235">
        <f t="shared" si="9"/>
        <v>335.45561491313401</v>
      </c>
      <c r="L235">
        <f t="shared" si="10"/>
        <v>307.74438546833403</v>
      </c>
      <c r="M235">
        <f t="shared" si="11"/>
        <v>306.22572641372602</v>
      </c>
    </row>
    <row r="236" spans="1:13" x14ac:dyDescent="0.3">
      <c r="A236" s="1">
        <v>43153</v>
      </c>
      <c r="B236" s="1">
        <v>43181</v>
      </c>
      <c r="C236">
        <v>310.85870478153203</v>
      </c>
      <c r="D236">
        <v>322.10000000000002</v>
      </c>
      <c r="E236">
        <v>311.85000000000002</v>
      </c>
      <c r="F236">
        <v>-10.25</v>
      </c>
      <c r="G236">
        <v>-0.99129521846771196</v>
      </c>
      <c r="H236">
        <v>10.25</v>
      </c>
      <c r="I236">
        <v>8.3789192900000007</v>
      </c>
      <c r="J236" s="1">
        <v>43181</v>
      </c>
      <c r="K236">
        <f t="shared" si="9"/>
        <v>335.92521682850003</v>
      </c>
      <c r="L236">
        <f t="shared" si="10"/>
        <v>308.27478317150002</v>
      </c>
      <c r="M236">
        <f t="shared" si="11"/>
        <v>310.85870478153203</v>
      </c>
    </row>
    <row r="237" spans="1:13" x14ac:dyDescent="0.3">
      <c r="A237" s="1">
        <v>43154</v>
      </c>
      <c r="B237" s="1">
        <v>43182</v>
      </c>
      <c r="C237">
        <v>307.95263118743799</v>
      </c>
      <c r="D237">
        <v>311.500000190734</v>
      </c>
      <c r="E237">
        <v>316.95</v>
      </c>
      <c r="F237">
        <v>5.4499998092651296</v>
      </c>
      <c r="G237">
        <v>-8.9973688125610298</v>
      </c>
      <c r="H237">
        <v>-5.4499998092651296</v>
      </c>
      <c r="I237">
        <v>8.4613439439999993</v>
      </c>
      <c r="J237" s="1">
        <v>43182</v>
      </c>
      <c r="K237">
        <f t="shared" si="9"/>
        <v>325.461217698334</v>
      </c>
      <c r="L237">
        <f t="shared" si="10"/>
        <v>297.538782683134</v>
      </c>
      <c r="M237">
        <f t="shared" si="11"/>
        <v>307.95263118743799</v>
      </c>
    </row>
    <row r="238" spans="1:13" x14ac:dyDescent="0.3">
      <c r="A238" s="1">
        <v>43157</v>
      </c>
      <c r="B238" s="1">
        <v>43185</v>
      </c>
      <c r="C238">
        <v>306.49733600616401</v>
      </c>
      <c r="D238">
        <v>314.500000095367</v>
      </c>
      <c r="E238">
        <v>317.10000000000002</v>
      </c>
      <c r="F238">
        <v>2.5999999046325599</v>
      </c>
      <c r="G238">
        <v>-10.602663993835399</v>
      </c>
      <c r="H238">
        <v>-2.5999999046325599</v>
      </c>
      <c r="I238">
        <v>8.4964367529999993</v>
      </c>
      <c r="J238" s="1">
        <v>43185</v>
      </c>
      <c r="K238">
        <f t="shared" si="9"/>
        <v>328.51912073781699</v>
      </c>
      <c r="L238">
        <f t="shared" si="10"/>
        <v>300.48087945291701</v>
      </c>
      <c r="M238">
        <f t="shared" si="11"/>
        <v>306.49733600616401</v>
      </c>
    </row>
    <row r="239" spans="1:13" x14ac:dyDescent="0.3">
      <c r="A239" s="1">
        <v>43158</v>
      </c>
      <c r="B239" s="1">
        <v>43186</v>
      </c>
      <c r="C239">
        <v>306.08508491516102</v>
      </c>
      <c r="D239">
        <v>315.14999997615803</v>
      </c>
      <c r="E239">
        <v>315.75</v>
      </c>
      <c r="F239">
        <v>0.60000002384185702</v>
      </c>
      <c r="G239">
        <v>-9.6649150848388601</v>
      </c>
      <c r="H239">
        <v>-0.60000002384185702</v>
      </c>
      <c r="I239">
        <v>8.5171890679999898</v>
      </c>
      <c r="J239" s="1">
        <v>43186</v>
      </c>
      <c r="K239">
        <f t="shared" si="9"/>
        <v>329.203361938358</v>
      </c>
      <c r="L239">
        <f t="shared" si="10"/>
        <v>301.09663801395806</v>
      </c>
      <c r="M239">
        <f t="shared" si="11"/>
        <v>306.08508491516102</v>
      </c>
    </row>
    <row r="240" spans="1:13" x14ac:dyDescent="0.3">
      <c r="A240" s="1">
        <v>43159</v>
      </c>
      <c r="B240" s="1">
        <v>43187</v>
      </c>
      <c r="C240">
        <v>314.411499691009</v>
      </c>
      <c r="D240">
        <v>310.65000004768302</v>
      </c>
      <c r="E240">
        <v>312.45</v>
      </c>
      <c r="F240">
        <v>-1.79999995231628</v>
      </c>
      <c r="G240">
        <v>1.9614996910095199</v>
      </c>
      <c r="H240">
        <v>-1.79999995231628</v>
      </c>
      <c r="I240">
        <v>8.6170227179999994</v>
      </c>
      <c r="J240" s="1">
        <v>43187</v>
      </c>
      <c r="K240">
        <f t="shared" si="9"/>
        <v>324.86808753238302</v>
      </c>
      <c r="L240">
        <f t="shared" si="10"/>
        <v>296.43191256298303</v>
      </c>
      <c r="M240">
        <f t="shared" si="11"/>
        <v>314.411499691009</v>
      </c>
    </row>
    <row r="241" spans="1:13" x14ac:dyDescent="0.3">
      <c r="A241" s="1">
        <v>43160</v>
      </c>
      <c r="B241" s="1">
        <v>43188</v>
      </c>
      <c r="C241">
        <v>312.81270245909599</v>
      </c>
      <c r="D241">
        <v>314.45</v>
      </c>
      <c r="E241">
        <v>312.45</v>
      </c>
      <c r="F241">
        <v>2</v>
      </c>
      <c r="G241">
        <v>0.36270245909690801</v>
      </c>
      <c r="H241">
        <v>2</v>
      </c>
      <c r="I241">
        <v>8.6352032039999997</v>
      </c>
      <c r="J241" s="1">
        <v>43188</v>
      </c>
      <c r="K241">
        <f t="shared" si="9"/>
        <v>328.69808528659996</v>
      </c>
      <c r="L241">
        <f t="shared" si="10"/>
        <v>300.20191471340001</v>
      </c>
      <c r="M241">
        <f t="shared" si="11"/>
        <v>312.81270245909599</v>
      </c>
    </row>
    <row r="242" spans="1:13" x14ac:dyDescent="0.3">
      <c r="A242" s="1">
        <v>43161</v>
      </c>
      <c r="B242" s="1">
        <v>43189</v>
      </c>
      <c r="C242">
        <v>306.35082199573498</v>
      </c>
      <c r="D242">
        <v>314.55000009536701</v>
      </c>
      <c r="E242">
        <v>308.14999999999998</v>
      </c>
      <c r="F242">
        <v>-6.4000000953674299</v>
      </c>
      <c r="G242">
        <v>-1.79917800426483</v>
      </c>
      <c r="H242">
        <v>6.4000000953674299</v>
      </c>
      <c r="I242">
        <v>8.6487421970000007</v>
      </c>
      <c r="J242" s="1">
        <v>43189</v>
      </c>
      <c r="K242">
        <f t="shared" si="9"/>
        <v>328.82042472041701</v>
      </c>
      <c r="L242">
        <f t="shared" si="10"/>
        <v>300.27957547031701</v>
      </c>
      <c r="M242">
        <f t="shared" si="11"/>
        <v>306.35082199573498</v>
      </c>
    </row>
    <row r="243" spans="1:13" x14ac:dyDescent="0.3">
      <c r="A243" s="1">
        <v>43164</v>
      </c>
      <c r="B243" s="1">
        <v>43192</v>
      </c>
      <c r="C243">
        <v>300.07343730926499</v>
      </c>
      <c r="D243">
        <v>313.45000038146901</v>
      </c>
      <c r="E243">
        <v>303.85000000000002</v>
      </c>
      <c r="F243">
        <v>-9.6000003814697195</v>
      </c>
      <c r="G243">
        <v>-3.7765626907348602</v>
      </c>
      <c r="H243">
        <v>9.6000003814697195</v>
      </c>
      <c r="I243">
        <v>8.6717526760000005</v>
      </c>
      <c r="J243" s="1">
        <v>43192</v>
      </c>
      <c r="K243">
        <f t="shared" si="9"/>
        <v>327.75839229686903</v>
      </c>
      <c r="L243">
        <f t="shared" si="10"/>
        <v>299.14160846606899</v>
      </c>
      <c r="M243">
        <f t="shared" si="11"/>
        <v>300.07343730926499</v>
      </c>
    </row>
    <row r="244" spans="1:13" x14ac:dyDescent="0.3">
      <c r="A244" s="1">
        <v>43165</v>
      </c>
      <c r="B244" s="1">
        <v>43193</v>
      </c>
      <c r="C244">
        <v>299.85473804473799</v>
      </c>
      <c r="D244">
        <v>312.8</v>
      </c>
      <c r="E244">
        <v>310.3</v>
      </c>
      <c r="F244">
        <v>-2.5</v>
      </c>
      <c r="G244">
        <v>-10.4452619552612</v>
      </c>
      <c r="H244">
        <v>2.5</v>
      </c>
      <c r="I244">
        <v>8.6901519890000003</v>
      </c>
      <c r="J244" s="1">
        <v>43193</v>
      </c>
      <c r="K244">
        <f t="shared" si="9"/>
        <v>327.13875078185004</v>
      </c>
      <c r="L244">
        <f t="shared" si="10"/>
        <v>298.46124921814999</v>
      </c>
      <c r="M244">
        <f t="shared" si="11"/>
        <v>299.85473804473799</v>
      </c>
    </row>
    <row r="245" spans="1:13" x14ac:dyDescent="0.3">
      <c r="A245" s="1">
        <v>43166</v>
      </c>
      <c r="B245" s="1">
        <v>43194</v>
      </c>
      <c r="C245">
        <v>306.69615216255102</v>
      </c>
      <c r="D245">
        <v>307.54999990463199</v>
      </c>
      <c r="E245">
        <v>310.45</v>
      </c>
      <c r="F245">
        <v>2.9000000953674299</v>
      </c>
      <c r="G245">
        <v>-3.7538478374481201</v>
      </c>
      <c r="H245">
        <v>-2.9000000953674299</v>
      </c>
      <c r="I245">
        <v>8.7806458519999993</v>
      </c>
      <c r="J245" s="1">
        <v>43194</v>
      </c>
      <c r="K245">
        <f t="shared" si="9"/>
        <v>322.03806556043196</v>
      </c>
      <c r="L245">
        <f t="shared" si="10"/>
        <v>293.06193424883202</v>
      </c>
      <c r="M245">
        <f t="shared" si="11"/>
        <v>306.69615216255102</v>
      </c>
    </row>
    <row r="246" spans="1:13" x14ac:dyDescent="0.3">
      <c r="A246" s="1">
        <v>43167</v>
      </c>
      <c r="B246" s="1">
        <v>43195</v>
      </c>
      <c r="C246">
        <v>314.19959042072298</v>
      </c>
      <c r="D246">
        <v>312.95000002384103</v>
      </c>
      <c r="E246">
        <v>313.60000000000002</v>
      </c>
      <c r="F246">
        <v>-0.64999997615814198</v>
      </c>
      <c r="G246">
        <v>0.59959042072296098</v>
      </c>
      <c r="H246">
        <v>-0.64999997615814198</v>
      </c>
      <c r="I246">
        <v>8.8002029589999999</v>
      </c>
      <c r="J246" s="1">
        <v>43195</v>
      </c>
      <c r="K246">
        <f t="shared" si="9"/>
        <v>327.47033490619106</v>
      </c>
      <c r="L246">
        <f t="shared" si="10"/>
        <v>298.429665141491</v>
      </c>
      <c r="M246">
        <f t="shared" si="11"/>
        <v>314.19959042072298</v>
      </c>
    </row>
    <row r="247" spans="1:13" x14ac:dyDescent="0.3">
      <c r="A247" s="1">
        <v>43168</v>
      </c>
      <c r="B247" s="1">
        <v>43196</v>
      </c>
      <c r="C247">
        <v>313.29610047340299</v>
      </c>
      <c r="D247">
        <v>311.19999990463202</v>
      </c>
      <c r="E247">
        <v>317.10000000000002</v>
      </c>
      <c r="F247">
        <v>5.9000000953674299</v>
      </c>
      <c r="G247">
        <v>-3.80389952659606</v>
      </c>
      <c r="H247">
        <v>-5.9000000953674299</v>
      </c>
      <c r="I247">
        <v>8.7870778289999993</v>
      </c>
      <c r="J247" s="1">
        <v>43196</v>
      </c>
      <c r="K247">
        <f t="shared" si="9"/>
        <v>325.69867832248201</v>
      </c>
      <c r="L247">
        <f t="shared" si="10"/>
        <v>296.70132148678204</v>
      </c>
      <c r="M247">
        <f t="shared" si="11"/>
        <v>313.29610047340299</v>
      </c>
    </row>
    <row r="248" spans="1:13" x14ac:dyDescent="0.3">
      <c r="A248" s="1">
        <v>43171</v>
      </c>
      <c r="B248" s="1">
        <v>43199</v>
      </c>
      <c r="C248">
        <v>311.92202053070002</v>
      </c>
      <c r="D248">
        <v>312.94999990463202</v>
      </c>
      <c r="E248">
        <v>320.10000000000002</v>
      </c>
      <c r="F248">
        <v>7.1500000953674299</v>
      </c>
      <c r="G248">
        <v>-8.1779794692993093</v>
      </c>
      <c r="H248">
        <v>-7.1500000953674299</v>
      </c>
      <c r="I248">
        <v>8.6981674269999996</v>
      </c>
      <c r="J248" s="1">
        <v>43199</v>
      </c>
      <c r="K248">
        <f t="shared" si="9"/>
        <v>327.301976159182</v>
      </c>
      <c r="L248">
        <f t="shared" si="10"/>
        <v>298.59802365008204</v>
      </c>
      <c r="M248">
        <f t="shared" si="11"/>
        <v>311.92202053070002</v>
      </c>
    </row>
    <row r="249" spans="1:13" x14ac:dyDescent="0.3">
      <c r="A249" s="1">
        <v>43172</v>
      </c>
      <c r="B249" s="1">
        <v>43200</v>
      </c>
      <c r="C249">
        <v>312.91158199310303</v>
      </c>
      <c r="D249">
        <v>313.44999980926502</v>
      </c>
      <c r="E249">
        <v>321.5</v>
      </c>
      <c r="F249">
        <v>8.0500001907348597</v>
      </c>
      <c r="G249">
        <v>-8.5884180068969709</v>
      </c>
      <c r="H249">
        <v>-8.0500001907348597</v>
      </c>
      <c r="I249">
        <v>8.6110026469999994</v>
      </c>
      <c r="J249" s="1">
        <v>43200</v>
      </c>
      <c r="K249">
        <f t="shared" si="9"/>
        <v>327.658154176815</v>
      </c>
      <c r="L249">
        <f t="shared" si="10"/>
        <v>299.24184544171504</v>
      </c>
      <c r="M249">
        <f t="shared" si="11"/>
        <v>312.91158199310303</v>
      </c>
    </row>
    <row r="250" spans="1:13" x14ac:dyDescent="0.3">
      <c r="A250" s="1">
        <v>43173</v>
      </c>
      <c r="B250" s="1">
        <v>43201</v>
      </c>
      <c r="C250">
        <v>316.84115533828702</v>
      </c>
      <c r="D250">
        <v>312.44999961853</v>
      </c>
      <c r="E250">
        <v>321.55</v>
      </c>
      <c r="F250">
        <v>9.1000003814697195</v>
      </c>
      <c r="G250">
        <v>-4.7088446617126403</v>
      </c>
      <c r="H250">
        <v>-9.1000003814697195</v>
      </c>
      <c r="I250">
        <v>8.5749008320000009</v>
      </c>
      <c r="J250" s="1">
        <v>43201</v>
      </c>
      <c r="K250">
        <f t="shared" si="9"/>
        <v>326.59858599133003</v>
      </c>
      <c r="L250">
        <f t="shared" si="10"/>
        <v>298.30141324572998</v>
      </c>
      <c r="M250">
        <f t="shared" si="11"/>
        <v>316.84115533828702</v>
      </c>
    </row>
    <row r="251" spans="1:13" x14ac:dyDescent="0.3">
      <c r="A251" s="1">
        <v>43174</v>
      </c>
      <c r="B251" s="1">
        <v>43202</v>
      </c>
      <c r="C251">
        <v>315.56932649612401</v>
      </c>
      <c r="D251">
        <v>311.74999961853001</v>
      </c>
      <c r="E251">
        <v>322.85000000000002</v>
      </c>
      <c r="F251">
        <v>11.1000003814697</v>
      </c>
      <c r="G251">
        <v>-7.2806735038757298</v>
      </c>
      <c r="H251">
        <v>-11.1000003814697</v>
      </c>
      <c r="I251">
        <v>8.5615552539999999</v>
      </c>
      <c r="J251" s="1">
        <v>43202</v>
      </c>
      <c r="K251">
        <f t="shared" si="9"/>
        <v>325.87656578763</v>
      </c>
      <c r="L251">
        <f t="shared" si="10"/>
        <v>297.62343344943002</v>
      </c>
      <c r="M251">
        <f t="shared" si="11"/>
        <v>315.56932649612401</v>
      </c>
    </row>
    <row r="252" spans="1:13" x14ac:dyDescent="0.3">
      <c r="A252" s="1">
        <v>43175</v>
      </c>
      <c r="B252" s="1">
        <v>43203</v>
      </c>
      <c r="C252">
        <v>313.99656772613503</v>
      </c>
      <c r="D252">
        <v>314.44999980926502</v>
      </c>
      <c r="E252">
        <v>322</v>
      </c>
      <c r="F252">
        <v>7.5500001907348597</v>
      </c>
      <c r="G252">
        <v>-8.0034322738647408</v>
      </c>
      <c r="H252">
        <v>-7.5500001907348597</v>
      </c>
      <c r="I252">
        <v>8.5109402159999998</v>
      </c>
      <c r="J252" s="1">
        <v>43203</v>
      </c>
      <c r="K252">
        <f t="shared" si="9"/>
        <v>328.49305116566501</v>
      </c>
      <c r="L252">
        <f t="shared" si="10"/>
        <v>300.40694845286504</v>
      </c>
      <c r="M252">
        <f t="shared" si="11"/>
        <v>313.99656772613503</v>
      </c>
    </row>
    <row r="253" spans="1:13" x14ac:dyDescent="0.3">
      <c r="A253" s="1">
        <v>43178</v>
      </c>
      <c r="B253" s="1">
        <v>43206</v>
      </c>
      <c r="C253">
        <v>317.16346464157101</v>
      </c>
      <c r="D253">
        <v>314.29999980926499</v>
      </c>
      <c r="E253">
        <v>319.85000000000002</v>
      </c>
      <c r="F253">
        <v>5.5500001907348597</v>
      </c>
      <c r="G253">
        <v>-2.6865353584289502</v>
      </c>
      <c r="H253">
        <v>-5.5500001907348597</v>
      </c>
      <c r="I253">
        <v>8.4492516450000004</v>
      </c>
      <c r="J253" s="1">
        <v>43206</v>
      </c>
      <c r="K253">
        <f t="shared" si="9"/>
        <v>328.24126502351498</v>
      </c>
      <c r="L253">
        <f t="shared" si="10"/>
        <v>300.35873459501499</v>
      </c>
      <c r="M253">
        <f t="shared" si="11"/>
        <v>317.16346464157101</v>
      </c>
    </row>
    <row r="254" spans="1:13" x14ac:dyDescent="0.3">
      <c r="A254" s="1">
        <v>43179</v>
      </c>
      <c r="B254" s="1">
        <v>43207</v>
      </c>
      <c r="C254">
        <v>312.15946559906001</v>
      </c>
      <c r="D254">
        <v>314.39999990463201</v>
      </c>
      <c r="E254">
        <v>321.3</v>
      </c>
      <c r="F254">
        <v>6.9000000953674299</v>
      </c>
      <c r="G254">
        <v>-9.1405344009399396</v>
      </c>
      <c r="H254">
        <v>-6.9000000953674299</v>
      </c>
      <c r="I254">
        <v>8.3157281179999991</v>
      </c>
      <c r="J254" s="1">
        <v>43207</v>
      </c>
      <c r="K254">
        <f t="shared" si="9"/>
        <v>328.12095129933203</v>
      </c>
      <c r="L254">
        <f t="shared" si="10"/>
        <v>300.67904850993199</v>
      </c>
      <c r="M254">
        <f t="shared" si="11"/>
        <v>312.15946559906001</v>
      </c>
    </row>
    <row r="255" spans="1:13" x14ac:dyDescent="0.3">
      <c r="A255" s="1">
        <v>43180</v>
      </c>
      <c r="B255" s="1">
        <v>43208</v>
      </c>
      <c r="C255">
        <v>316.49779329299901</v>
      </c>
      <c r="D255">
        <v>317.60000000000002</v>
      </c>
      <c r="E255">
        <v>321.60000000000002</v>
      </c>
      <c r="F255">
        <v>4</v>
      </c>
      <c r="G255">
        <v>-5.1022067070007298</v>
      </c>
      <c r="H255">
        <v>-4</v>
      </c>
      <c r="I255">
        <v>8.1924887910000006</v>
      </c>
      <c r="J255" s="1">
        <v>43208</v>
      </c>
      <c r="K255">
        <f t="shared" si="9"/>
        <v>331.11760650515004</v>
      </c>
      <c r="L255">
        <f t="shared" si="10"/>
        <v>304.08239349485001</v>
      </c>
      <c r="M255">
        <f t="shared" si="11"/>
        <v>316.49779329299901</v>
      </c>
    </row>
    <row r="256" spans="1:13" x14ac:dyDescent="0.3">
      <c r="A256" s="1">
        <v>43181</v>
      </c>
      <c r="B256" s="1">
        <v>43209</v>
      </c>
      <c r="C256">
        <v>320.786079502105</v>
      </c>
      <c r="D256">
        <v>319.000000095367</v>
      </c>
      <c r="E256">
        <v>322.10000000000002</v>
      </c>
      <c r="F256">
        <v>3.0999999046325599</v>
      </c>
      <c r="G256">
        <v>-1.31392049789428</v>
      </c>
      <c r="H256">
        <v>-3.0999999046325599</v>
      </c>
      <c r="I256">
        <v>8.0608853479999993</v>
      </c>
      <c r="J256" s="1">
        <v>43209</v>
      </c>
      <c r="K256">
        <f t="shared" si="9"/>
        <v>332.300460919567</v>
      </c>
      <c r="L256">
        <f t="shared" si="10"/>
        <v>305.699539271167</v>
      </c>
      <c r="M256">
        <f t="shared" si="11"/>
        <v>320.786079502105</v>
      </c>
    </row>
    <row r="257" spans="1:13" x14ac:dyDescent="0.3">
      <c r="A257" s="1">
        <v>43182</v>
      </c>
      <c r="B257" s="1">
        <v>43210</v>
      </c>
      <c r="C257">
        <v>319.104009151458</v>
      </c>
      <c r="D257">
        <v>316.90000009536698</v>
      </c>
      <c r="E257">
        <v>311.5</v>
      </c>
      <c r="F257">
        <v>5.4000000953674299</v>
      </c>
      <c r="G257">
        <v>7.6040091514587402</v>
      </c>
      <c r="H257">
        <v>5.4000000953674299</v>
      </c>
      <c r="I257">
        <v>7.916586015</v>
      </c>
      <c r="J257" s="1">
        <v>43210</v>
      </c>
      <c r="K257">
        <f t="shared" si="9"/>
        <v>329.96236702011697</v>
      </c>
      <c r="L257">
        <f t="shared" si="10"/>
        <v>303.83763317061698</v>
      </c>
      <c r="M257">
        <f t="shared" si="11"/>
        <v>319.104009151458</v>
      </c>
    </row>
    <row r="258" spans="1:13" x14ac:dyDescent="0.3">
      <c r="A258" s="1">
        <v>43185</v>
      </c>
      <c r="B258" s="1">
        <v>43213</v>
      </c>
      <c r="C258">
        <v>315.16861820220902</v>
      </c>
      <c r="D258">
        <v>317.099999904632</v>
      </c>
      <c r="E258">
        <v>314.5</v>
      </c>
      <c r="F258">
        <v>2.5999999046325599</v>
      </c>
      <c r="G258">
        <v>0.66861820220947199</v>
      </c>
      <c r="H258">
        <v>2.5999999046325599</v>
      </c>
      <c r="I258">
        <v>7.8366797359999998</v>
      </c>
      <c r="J258" s="1">
        <v>43213</v>
      </c>
      <c r="K258">
        <f t="shared" si="9"/>
        <v>330.03052146903201</v>
      </c>
      <c r="L258">
        <f t="shared" si="10"/>
        <v>304.16947834023199</v>
      </c>
      <c r="M258">
        <f t="shared" si="11"/>
        <v>315.16861820220902</v>
      </c>
    </row>
    <row r="259" spans="1:13" x14ac:dyDescent="0.3">
      <c r="A259" s="1">
        <v>43186</v>
      </c>
      <c r="B259" s="1">
        <v>43214</v>
      </c>
      <c r="C259">
        <v>311.27206482887198</v>
      </c>
      <c r="D259">
        <v>315.35000000297998</v>
      </c>
      <c r="E259">
        <v>315.14999999999998</v>
      </c>
      <c r="F259">
        <v>-0.20000000298023199</v>
      </c>
      <c r="G259">
        <v>-3.87793517112731</v>
      </c>
      <c r="H259">
        <v>0.20000000298023199</v>
      </c>
      <c r="I259">
        <v>7.6369487869999997</v>
      </c>
      <c r="J259" s="1">
        <v>43214</v>
      </c>
      <c r="K259">
        <f t="shared" ref="K259:K321" si="12">D259+1.65*I259</f>
        <v>327.95096550152999</v>
      </c>
      <c r="L259">
        <f t="shared" ref="L259:L321" si="13">D259-1.65*I259</f>
        <v>302.74903450442997</v>
      </c>
      <c r="M259">
        <f t="shared" ref="M259:M321" si="14">C259</f>
        <v>311.27206482887198</v>
      </c>
    </row>
    <row r="260" spans="1:13" x14ac:dyDescent="0.3">
      <c r="A260" s="1">
        <v>43187</v>
      </c>
      <c r="B260" s="1">
        <v>43215</v>
      </c>
      <c r="C260">
        <v>315.80856742858799</v>
      </c>
      <c r="D260">
        <v>312.94999995231598</v>
      </c>
      <c r="E260">
        <v>310.64999999999998</v>
      </c>
      <c r="F260">
        <v>2.2999999523162802</v>
      </c>
      <c r="G260">
        <v>5.1585674285888601</v>
      </c>
      <c r="H260">
        <v>2.2999999523162802</v>
      </c>
      <c r="I260">
        <v>7.4256570220000002</v>
      </c>
      <c r="J260" s="1">
        <v>43215</v>
      </c>
      <c r="K260">
        <f t="shared" si="12"/>
        <v>325.20233403861596</v>
      </c>
      <c r="L260">
        <f t="shared" si="13"/>
        <v>300.697665866016</v>
      </c>
      <c r="M260">
        <f t="shared" si="14"/>
        <v>315.80856742858799</v>
      </c>
    </row>
    <row r="261" spans="1:13" x14ac:dyDescent="0.3">
      <c r="A261" s="1">
        <v>43188</v>
      </c>
      <c r="B261" s="1">
        <v>43216</v>
      </c>
      <c r="C261">
        <v>314.30946360230399</v>
      </c>
      <c r="D261">
        <v>317.45</v>
      </c>
      <c r="E261">
        <v>314.45</v>
      </c>
      <c r="F261">
        <v>-3</v>
      </c>
      <c r="G261">
        <v>-0.14053639769554099</v>
      </c>
      <c r="H261">
        <v>3</v>
      </c>
      <c r="I261">
        <v>7.0869971669999998</v>
      </c>
      <c r="J261" s="1">
        <v>43216</v>
      </c>
      <c r="K261">
        <f t="shared" si="12"/>
        <v>329.14354532555001</v>
      </c>
      <c r="L261">
        <f t="shared" si="13"/>
        <v>305.75645467444997</v>
      </c>
      <c r="M261">
        <f t="shared" si="14"/>
        <v>314.30946360230399</v>
      </c>
    </row>
    <row r="262" spans="1:13" x14ac:dyDescent="0.3">
      <c r="A262" s="1">
        <v>43189</v>
      </c>
      <c r="B262" s="1">
        <v>43217</v>
      </c>
      <c r="C262">
        <v>312.07599835395803</v>
      </c>
      <c r="D262">
        <v>320.14999990463201</v>
      </c>
      <c r="E262">
        <v>314.55</v>
      </c>
      <c r="F262">
        <v>-5.5999999046325604</v>
      </c>
      <c r="G262">
        <v>-2.4740016460418701</v>
      </c>
      <c r="H262">
        <v>5.5999999046325604</v>
      </c>
      <c r="I262">
        <v>6.6647602240000001</v>
      </c>
      <c r="J262" s="1">
        <v>43217</v>
      </c>
      <c r="K262">
        <f t="shared" si="12"/>
        <v>331.146854274232</v>
      </c>
      <c r="L262">
        <f t="shared" si="13"/>
        <v>309.15314553503202</v>
      </c>
      <c r="M262">
        <f t="shared" si="14"/>
        <v>312.07599835395803</v>
      </c>
    </row>
    <row r="263" spans="1:13" x14ac:dyDescent="0.3">
      <c r="A263" s="1">
        <v>43192</v>
      </c>
      <c r="B263" s="1">
        <v>43220</v>
      </c>
      <c r="C263">
        <v>306.07396287917999</v>
      </c>
      <c r="D263">
        <v>321.64999980926501</v>
      </c>
      <c r="E263">
        <v>313.45</v>
      </c>
      <c r="F263">
        <v>-8.1999998092651296</v>
      </c>
      <c r="G263">
        <v>-7.37603712081909</v>
      </c>
      <c r="H263">
        <v>8.1999998092651296</v>
      </c>
      <c r="I263">
        <v>6.0850732609999998</v>
      </c>
      <c r="J263" s="1">
        <v>43220</v>
      </c>
      <c r="K263">
        <f t="shared" si="12"/>
        <v>331.69037068991503</v>
      </c>
      <c r="L263">
        <f t="shared" si="13"/>
        <v>311.609628928615</v>
      </c>
      <c r="M263">
        <f t="shared" si="14"/>
        <v>306.07396287917999</v>
      </c>
    </row>
    <row r="264" spans="1:13" x14ac:dyDescent="0.3">
      <c r="A264" s="1">
        <v>43193</v>
      </c>
      <c r="B264" s="1">
        <v>43221</v>
      </c>
      <c r="C264">
        <v>307.16675310134798</v>
      </c>
      <c r="D264">
        <v>321.650000381469</v>
      </c>
      <c r="E264">
        <v>312.8</v>
      </c>
      <c r="F264">
        <v>-8.8500003814697195</v>
      </c>
      <c r="G264">
        <v>-5.6332468986511204</v>
      </c>
      <c r="H264">
        <v>8.8500003814697195</v>
      </c>
      <c r="I264">
        <v>5.6964619799999996</v>
      </c>
      <c r="J264" s="1">
        <v>43221</v>
      </c>
      <c r="K264">
        <f t="shared" si="12"/>
        <v>331.04916264846901</v>
      </c>
      <c r="L264">
        <f t="shared" si="13"/>
        <v>312.25083811446899</v>
      </c>
      <c r="M264">
        <f t="shared" si="14"/>
        <v>307.16675310134798</v>
      </c>
    </row>
    <row r="265" spans="1:13" x14ac:dyDescent="0.3">
      <c r="A265" s="1">
        <v>43194</v>
      </c>
      <c r="B265" s="1">
        <v>43222</v>
      </c>
      <c r="C265">
        <v>308.671488571167</v>
      </c>
      <c r="D265">
        <v>319.74999980926498</v>
      </c>
      <c r="E265">
        <v>307.55</v>
      </c>
      <c r="F265">
        <v>12.199999809265099</v>
      </c>
      <c r="G265">
        <v>1.12148857116699</v>
      </c>
      <c r="H265">
        <v>12.199999809265099</v>
      </c>
      <c r="I265">
        <v>5.2125234039999997</v>
      </c>
      <c r="J265" s="1">
        <v>43222</v>
      </c>
      <c r="K265">
        <f t="shared" si="12"/>
        <v>328.35066342586498</v>
      </c>
      <c r="L265">
        <f t="shared" si="13"/>
        <v>311.14933619266498</v>
      </c>
      <c r="M265">
        <f t="shared" si="14"/>
        <v>308.671488571167</v>
      </c>
    </row>
    <row r="266" spans="1:13" x14ac:dyDescent="0.3">
      <c r="A266" s="1">
        <v>43195</v>
      </c>
      <c r="B266" s="1">
        <v>43223</v>
      </c>
      <c r="C266">
        <v>306.494513702392</v>
      </c>
      <c r="D266">
        <v>318.000000190734</v>
      </c>
      <c r="E266">
        <v>312.95</v>
      </c>
      <c r="F266">
        <v>-5.0500001907348597</v>
      </c>
      <c r="G266">
        <v>-6.4554862976074201</v>
      </c>
      <c r="H266">
        <v>5.0500001907348597</v>
      </c>
      <c r="I266">
        <v>4.6967351329999998</v>
      </c>
      <c r="J266" s="1">
        <v>43223</v>
      </c>
      <c r="K266">
        <f t="shared" si="12"/>
        <v>325.74961316018403</v>
      </c>
      <c r="L266">
        <f t="shared" si="13"/>
        <v>310.25038722128397</v>
      </c>
      <c r="M266">
        <f t="shared" si="14"/>
        <v>306.494513702392</v>
      </c>
    </row>
    <row r="267" spans="1:13" x14ac:dyDescent="0.3">
      <c r="A267" s="1">
        <v>43196</v>
      </c>
      <c r="B267" s="1">
        <v>43224</v>
      </c>
      <c r="C267">
        <v>318.07962532043399</v>
      </c>
      <c r="D267">
        <v>316.45</v>
      </c>
      <c r="E267">
        <v>311.2</v>
      </c>
      <c r="F267">
        <v>5.25</v>
      </c>
      <c r="G267">
        <v>6.8796253204345703</v>
      </c>
      <c r="H267">
        <v>5.25</v>
      </c>
      <c r="I267">
        <v>4.4438398640000001</v>
      </c>
      <c r="J267" s="1">
        <v>43224</v>
      </c>
      <c r="K267">
        <f t="shared" si="12"/>
        <v>323.78233577559996</v>
      </c>
      <c r="L267">
        <f t="shared" si="13"/>
        <v>309.11766422440002</v>
      </c>
      <c r="M267">
        <f t="shared" si="14"/>
        <v>318.07962532043399</v>
      </c>
    </row>
    <row r="268" spans="1:13" x14ac:dyDescent="0.3">
      <c r="A268" s="1">
        <v>43199</v>
      </c>
      <c r="B268" s="1">
        <v>43227</v>
      </c>
      <c r="C268">
        <v>316.14890141487098</v>
      </c>
      <c r="D268">
        <v>316.45</v>
      </c>
      <c r="E268">
        <v>312.95</v>
      </c>
      <c r="F268">
        <v>3.5</v>
      </c>
      <c r="G268">
        <v>3.19890141487121</v>
      </c>
      <c r="H268">
        <v>3.5</v>
      </c>
      <c r="I268">
        <v>4.3344813259999997</v>
      </c>
      <c r="J268" s="1">
        <v>43227</v>
      </c>
      <c r="K268">
        <f t="shared" si="12"/>
        <v>323.60189418789997</v>
      </c>
      <c r="L268">
        <f t="shared" si="13"/>
        <v>309.2981058121</v>
      </c>
      <c r="M268">
        <f t="shared" si="14"/>
        <v>316.14890141487098</v>
      </c>
    </row>
    <row r="269" spans="1:13" x14ac:dyDescent="0.3">
      <c r="A269" s="1">
        <v>43200</v>
      </c>
      <c r="B269" s="1">
        <v>43228</v>
      </c>
      <c r="C269">
        <v>318.52746267318702</v>
      </c>
      <c r="D269">
        <v>314.05000002384099</v>
      </c>
      <c r="E269">
        <v>313.45</v>
      </c>
      <c r="F269">
        <v>0.60000002384185702</v>
      </c>
      <c r="G269">
        <v>5.0774626731872496</v>
      </c>
      <c r="H269">
        <v>0.60000002384185702</v>
      </c>
      <c r="I269">
        <v>4.3228760350000002</v>
      </c>
      <c r="J269" s="1">
        <v>43228</v>
      </c>
      <c r="K269">
        <f t="shared" si="12"/>
        <v>321.18274548159098</v>
      </c>
      <c r="L269">
        <f t="shared" si="13"/>
        <v>306.917254566091</v>
      </c>
      <c r="M269">
        <f t="shared" si="14"/>
        <v>318.52746267318702</v>
      </c>
    </row>
    <row r="270" spans="1:13" x14ac:dyDescent="0.3">
      <c r="A270" s="1">
        <v>43201</v>
      </c>
      <c r="B270" s="1">
        <v>43229</v>
      </c>
      <c r="C270">
        <v>317.63777227401698</v>
      </c>
      <c r="D270">
        <v>314.05000002384099</v>
      </c>
      <c r="E270">
        <v>312.45</v>
      </c>
      <c r="F270">
        <v>1.6000000238418499</v>
      </c>
      <c r="G270">
        <v>5.1877722740173304</v>
      </c>
      <c r="H270">
        <v>1.6000000238418499</v>
      </c>
      <c r="I270">
        <v>4.270104034</v>
      </c>
      <c r="J270" s="1">
        <v>43229</v>
      </c>
      <c r="K270">
        <f t="shared" si="12"/>
        <v>321.09567167994101</v>
      </c>
      <c r="L270">
        <f t="shared" si="13"/>
        <v>307.00432836774098</v>
      </c>
      <c r="M270">
        <f t="shared" si="14"/>
        <v>317.63777227401698</v>
      </c>
    </row>
    <row r="271" spans="1:13" x14ac:dyDescent="0.3">
      <c r="A271" s="1">
        <v>43202</v>
      </c>
      <c r="B271" s="1">
        <v>43230</v>
      </c>
      <c r="C271">
        <v>318.10958051681502</v>
      </c>
      <c r="D271">
        <v>315.849999904632</v>
      </c>
      <c r="E271">
        <v>311.75</v>
      </c>
      <c r="F271">
        <v>4.0999999046325604</v>
      </c>
      <c r="G271">
        <v>6.3595805168151802</v>
      </c>
      <c r="H271">
        <v>4.0999999046325604</v>
      </c>
      <c r="I271">
        <v>4.2596718290000002</v>
      </c>
      <c r="J271" s="1">
        <v>43230</v>
      </c>
      <c r="K271">
        <f t="shared" si="12"/>
        <v>322.87845842248203</v>
      </c>
      <c r="L271">
        <f t="shared" si="13"/>
        <v>308.82154138678197</v>
      </c>
      <c r="M271">
        <f t="shared" si="14"/>
        <v>318.10958051681502</v>
      </c>
    </row>
    <row r="272" spans="1:13" x14ac:dyDescent="0.3">
      <c r="A272" s="1">
        <v>43203</v>
      </c>
      <c r="B272" s="1">
        <v>43231</v>
      </c>
      <c r="C272">
        <v>317.31497616767803</v>
      </c>
      <c r="D272">
        <v>317.65000004768302</v>
      </c>
      <c r="E272">
        <v>314.45</v>
      </c>
      <c r="F272">
        <v>3.20000004768371</v>
      </c>
      <c r="G272">
        <v>2.8649761676788299</v>
      </c>
      <c r="H272">
        <v>3.20000004768371</v>
      </c>
      <c r="I272">
        <v>4.0304241100000002</v>
      </c>
      <c r="J272" s="1">
        <v>43231</v>
      </c>
      <c r="K272">
        <f t="shared" si="12"/>
        <v>324.30019982918304</v>
      </c>
      <c r="L272">
        <f t="shared" si="13"/>
        <v>310.999800266183</v>
      </c>
      <c r="M272">
        <f t="shared" si="14"/>
        <v>317.31497616767803</v>
      </c>
    </row>
    <row r="273" spans="1:13" x14ac:dyDescent="0.3">
      <c r="A273" s="1">
        <v>43206</v>
      </c>
      <c r="B273" s="1">
        <v>43234</v>
      </c>
      <c r="C273">
        <v>313.67320423126199</v>
      </c>
      <c r="D273">
        <v>316.84999995231601</v>
      </c>
      <c r="E273">
        <v>314.3</v>
      </c>
      <c r="F273">
        <v>-2.5499999523162802</v>
      </c>
      <c r="G273">
        <v>-0.62679576873779297</v>
      </c>
      <c r="H273">
        <v>2.5499999523162802</v>
      </c>
      <c r="I273">
        <v>3.9323719659999998</v>
      </c>
      <c r="J273" s="1">
        <v>43234</v>
      </c>
      <c r="K273">
        <f t="shared" si="12"/>
        <v>323.33841369621604</v>
      </c>
      <c r="L273">
        <f t="shared" si="13"/>
        <v>310.36158620841599</v>
      </c>
      <c r="M273">
        <f t="shared" si="14"/>
        <v>313.67320423126199</v>
      </c>
    </row>
    <row r="274" spans="1:13" x14ac:dyDescent="0.3">
      <c r="A274" s="1">
        <v>43207</v>
      </c>
      <c r="B274" s="1">
        <v>43235</v>
      </c>
      <c r="C274">
        <v>317.01470818519499</v>
      </c>
      <c r="D274">
        <v>313.75000002384098</v>
      </c>
      <c r="E274">
        <v>314.39999999999998</v>
      </c>
      <c r="F274">
        <v>-0.64999997615814198</v>
      </c>
      <c r="G274">
        <v>2.6147081851959202</v>
      </c>
      <c r="H274">
        <v>-0.64999997615814198</v>
      </c>
      <c r="I274">
        <v>3.905756046</v>
      </c>
      <c r="J274" s="1">
        <v>43235</v>
      </c>
      <c r="K274">
        <f t="shared" si="12"/>
        <v>320.19449749974098</v>
      </c>
      <c r="L274">
        <f t="shared" si="13"/>
        <v>307.30550254794099</v>
      </c>
      <c r="M274">
        <f t="shared" si="14"/>
        <v>317.01470818519499</v>
      </c>
    </row>
    <row r="275" spans="1:13" x14ac:dyDescent="0.3">
      <c r="A275" s="1">
        <v>43208</v>
      </c>
      <c r="B275" s="1">
        <v>43236</v>
      </c>
      <c r="C275">
        <v>317.91086206436103</v>
      </c>
      <c r="D275">
        <v>314.89999995231602</v>
      </c>
      <c r="E275">
        <v>317.60000000000002</v>
      </c>
      <c r="F275">
        <v>-2.70000004768371</v>
      </c>
      <c r="G275">
        <v>0.31086206436157199</v>
      </c>
      <c r="H275">
        <v>-2.70000004768371</v>
      </c>
      <c r="I275">
        <v>3.9037429650000002</v>
      </c>
      <c r="J275" s="1">
        <v>43236</v>
      </c>
      <c r="K275">
        <f t="shared" si="12"/>
        <v>321.34117584456601</v>
      </c>
      <c r="L275">
        <f t="shared" si="13"/>
        <v>308.45882406006604</v>
      </c>
      <c r="M275">
        <f t="shared" si="14"/>
        <v>317.91086206436103</v>
      </c>
    </row>
    <row r="276" spans="1:13" x14ac:dyDescent="0.3">
      <c r="A276" s="1">
        <v>43209</v>
      </c>
      <c r="B276" s="1">
        <v>43237</v>
      </c>
      <c r="C276">
        <v>313.666935443878</v>
      </c>
      <c r="D276">
        <v>313.40000009536698</v>
      </c>
      <c r="E276">
        <v>319</v>
      </c>
      <c r="F276">
        <v>5.5999999046325604</v>
      </c>
      <c r="G276">
        <v>-5.33306455612182</v>
      </c>
      <c r="H276">
        <v>-5.5999999046325604</v>
      </c>
      <c r="I276">
        <v>3.9094526100000002</v>
      </c>
      <c r="J276" s="1">
        <v>43237</v>
      </c>
      <c r="K276">
        <f t="shared" si="12"/>
        <v>319.85059690186699</v>
      </c>
      <c r="L276">
        <f t="shared" si="13"/>
        <v>306.94940328886696</v>
      </c>
      <c r="M276">
        <f t="shared" si="14"/>
        <v>313.666935443878</v>
      </c>
    </row>
    <row r="277" spans="1:13" x14ac:dyDescent="0.3">
      <c r="A277" s="1">
        <v>43210</v>
      </c>
      <c r="B277" s="1">
        <v>43238</v>
      </c>
      <c r="C277">
        <v>315.67735233306797</v>
      </c>
      <c r="D277">
        <v>314.74999990463198</v>
      </c>
      <c r="E277">
        <v>316.89999999999998</v>
      </c>
      <c r="F277">
        <v>2.1500000953674299</v>
      </c>
      <c r="G277">
        <v>-1.2226476669311499</v>
      </c>
      <c r="H277">
        <v>-2.1500000953674299</v>
      </c>
      <c r="I277">
        <v>3.9078197619999999</v>
      </c>
      <c r="J277" s="1">
        <v>43238</v>
      </c>
      <c r="K277">
        <f t="shared" si="12"/>
        <v>321.197902511932</v>
      </c>
      <c r="L277">
        <f t="shared" si="13"/>
        <v>308.30209729733195</v>
      </c>
      <c r="M277">
        <f t="shared" si="14"/>
        <v>315.67735233306797</v>
      </c>
    </row>
    <row r="278" spans="1:13" x14ac:dyDescent="0.3">
      <c r="A278" s="1">
        <v>43213</v>
      </c>
      <c r="B278" s="1">
        <v>43241</v>
      </c>
      <c r="C278">
        <v>318.41922852993002</v>
      </c>
      <c r="D278">
        <v>315.10000000000002</v>
      </c>
      <c r="E278">
        <v>317.10000000000002</v>
      </c>
      <c r="F278">
        <v>-2</v>
      </c>
      <c r="G278">
        <v>1.3192285299301101</v>
      </c>
      <c r="H278">
        <v>-2</v>
      </c>
      <c r="I278">
        <v>3.9066806689999898</v>
      </c>
      <c r="J278" s="1">
        <v>43241</v>
      </c>
      <c r="K278">
        <f t="shared" si="12"/>
        <v>321.54602310385002</v>
      </c>
      <c r="L278">
        <f t="shared" si="13"/>
        <v>308.65397689615003</v>
      </c>
      <c r="M278">
        <f t="shared" si="14"/>
        <v>318.41922852993002</v>
      </c>
    </row>
    <row r="279" spans="1:13" x14ac:dyDescent="0.3">
      <c r="A279" s="1">
        <v>43214</v>
      </c>
      <c r="B279" s="1">
        <v>43242</v>
      </c>
      <c r="C279">
        <v>319.45972070693898</v>
      </c>
      <c r="D279">
        <v>315.10000000000002</v>
      </c>
      <c r="E279">
        <v>315.35000000000002</v>
      </c>
      <c r="F279">
        <v>-0.25</v>
      </c>
      <c r="G279">
        <v>4.1097207069396902</v>
      </c>
      <c r="H279">
        <v>-0.25</v>
      </c>
      <c r="I279">
        <v>3.8831477619999899</v>
      </c>
      <c r="J279" s="1">
        <v>43242</v>
      </c>
      <c r="K279">
        <f t="shared" si="12"/>
        <v>321.50719380729998</v>
      </c>
      <c r="L279">
        <f t="shared" si="13"/>
        <v>308.69280619270006</v>
      </c>
      <c r="M279">
        <f t="shared" si="14"/>
        <v>319.45972070693898</v>
      </c>
    </row>
    <row r="280" spans="1:13" x14ac:dyDescent="0.3">
      <c r="A280" s="1">
        <v>43215</v>
      </c>
      <c r="B280" s="1">
        <v>43243</v>
      </c>
      <c r="C280">
        <v>315.59201211929297</v>
      </c>
      <c r="D280">
        <v>317.14999980926501</v>
      </c>
      <c r="E280">
        <v>312.95</v>
      </c>
      <c r="F280">
        <v>4.1999998092651296</v>
      </c>
      <c r="G280">
        <v>2.6420121192932098</v>
      </c>
      <c r="H280">
        <v>4.1999998092651296</v>
      </c>
      <c r="I280">
        <v>3.8845196339999899</v>
      </c>
      <c r="J280" s="1">
        <v>43243</v>
      </c>
      <c r="K280">
        <f t="shared" si="12"/>
        <v>323.55945720536499</v>
      </c>
      <c r="L280">
        <f t="shared" si="13"/>
        <v>310.74054241316503</v>
      </c>
      <c r="M280">
        <f t="shared" si="14"/>
        <v>315.59201211929297</v>
      </c>
    </row>
    <row r="281" spans="1:13" x14ac:dyDescent="0.3">
      <c r="A281" s="1">
        <v>43216</v>
      </c>
      <c r="B281" s="1">
        <v>43244</v>
      </c>
      <c r="C281">
        <v>320.99362583160399</v>
      </c>
      <c r="D281">
        <v>316.55000002384099</v>
      </c>
      <c r="E281">
        <v>317.45</v>
      </c>
      <c r="F281">
        <v>-0.89999997615814198</v>
      </c>
      <c r="G281">
        <v>3.5436258316039999</v>
      </c>
      <c r="H281">
        <v>-0.89999997615814198</v>
      </c>
      <c r="I281">
        <v>3.8589132589999999</v>
      </c>
      <c r="J281" s="1">
        <v>43244</v>
      </c>
      <c r="K281">
        <f t="shared" si="12"/>
        <v>322.91720690119098</v>
      </c>
      <c r="L281">
        <f t="shared" si="13"/>
        <v>310.18279314649101</v>
      </c>
      <c r="M281">
        <f t="shared" si="14"/>
        <v>320.99362583160399</v>
      </c>
    </row>
    <row r="282" spans="1:13" x14ac:dyDescent="0.3">
      <c r="A282" s="1">
        <v>43217</v>
      </c>
      <c r="B282" s="1">
        <v>43245</v>
      </c>
      <c r="C282">
        <v>324.490449810028</v>
      </c>
      <c r="D282">
        <v>317.30000009536701</v>
      </c>
      <c r="E282">
        <v>320.14999999999998</v>
      </c>
      <c r="F282">
        <v>-2.8499999046325599</v>
      </c>
      <c r="G282">
        <v>4.34044981002807</v>
      </c>
      <c r="H282">
        <v>-2.8499999046325599</v>
      </c>
      <c r="I282">
        <v>3.861089642</v>
      </c>
      <c r="J282" s="1">
        <v>43245</v>
      </c>
      <c r="K282">
        <f t="shared" si="12"/>
        <v>323.67079800466701</v>
      </c>
      <c r="L282">
        <f t="shared" si="13"/>
        <v>310.92920218606702</v>
      </c>
      <c r="M282">
        <f t="shared" si="14"/>
        <v>324.490449810028</v>
      </c>
    </row>
    <row r="283" spans="1:13" x14ac:dyDescent="0.3">
      <c r="A283" s="1">
        <v>43220</v>
      </c>
      <c r="B283" s="1">
        <v>43248</v>
      </c>
      <c r="C283">
        <v>318.15130248069698</v>
      </c>
      <c r="D283">
        <v>318.10000004768301</v>
      </c>
      <c r="E283">
        <v>321.64999999999998</v>
      </c>
      <c r="F283">
        <v>3.5499999523162802</v>
      </c>
      <c r="G283">
        <v>-3.4986975193023602</v>
      </c>
      <c r="H283">
        <v>-3.5499999523162802</v>
      </c>
      <c r="I283">
        <v>3.8691778530000001</v>
      </c>
      <c r="J283" s="1">
        <v>43248</v>
      </c>
      <c r="K283">
        <f t="shared" si="12"/>
        <v>324.48414350513303</v>
      </c>
      <c r="L283">
        <f t="shared" si="13"/>
        <v>311.71585659023299</v>
      </c>
      <c r="M283">
        <f t="shared" si="14"/>
        <v>318.15130248069698</v>
      </c>
    </row>
    <row r="284" spans="1:13" x14ac:dyDescent="0.3">
      <c r="A284" s="1">
        <v>43221</v>
      </c>
      <c r="B284" s="1">
        <v>43249</v>
      </c>
      <c r="C284">
        <v>317.03089227676298</v>
      </c>
      <c r="D284">
        <v>314.89999999999998</v>
      </c>
      <c r="E284">
        <v>321.64999999999998</v>
      </c>
      <c r="F284">
        <v>6.75</v>
      </c>
      <c r="G284">
        <v>-4.6191077232360804</v>
      </c>
      <c r="H284">
        <v>-6.75</v>
      </c>
      <c r="I284">
        <v>3.8701230170000001</v>
      </c>
      <c r="J284" s="1">
        <v>43249</v>
      </c>
      <c r="K284">
        <f t="shared" si="12"/>
        <v>321.28570297804998</v>
      </c>
      <c r="L284">
        <f t="shared" si="13"/>
        <v>308.51429702194997</v>
      </c>
      <c r="M284">
        <f t="shared" si="14"/>
        <v>317.03089227676298</v>
      </c>
    </row>
    <row r="285" spans="1:13" x14ac:dyDescent="0.3">
      <c r="A285" s="1">
        <v>43222</v>
      </c>
      <c r="B285" s="1">
        <v>43250</v>
      </c>
      <c r="C285">
        <v>315.75555968284601</v>
      </c>
      <c r="D285">
        <v>307.55000019073401</v>
      </c>
      <c r="E285">
        <v>319.75</v>
      </c>
      <c r="F285">
        <v>12.199999809265099</v>
      </c>
      <c r="G285">
        <v>-3.9944403171539302</v>
      </c>
      <c r="H285">
        <v>-12.199999809265099</v>
      </c>
      <c r="I285">
        <v>3.9785221150000001</v>
      </c>
      <c r="J285" s="1">
        <v>43250</v>
      </c>
      <c r="K285">
        <f t="shared" si="12"/>
        <v>314.11456168048403</v>
      </c>
      <c r="L285">
        <f t="shared" si="13"/>
        <v>300.98543870098399</v>
      </c>
      <c r="M285">
        <f t="shared" si="14"/>
        <v>315.75555968284601</v>
      </c>
    </row>
    <row r="286" spans="1:13" x14ac:dyDescent="0.3">
      <c r="A286" s="1">
        <v>43223</v>
      </c>
      <c r="B286" s="1">
        <v>43251</v>
      </c>
      <c r="C286">
        <v>313.13033342361399</v>
      </c>
      <c r="D286">
        <v>309.14999961852999</v>
      </c>
      <c r="E286">
        <v>318</v>
      </c>
      <c r="F286">
        <v>8.8500003814697195</v>
      </c>
      <c r="G286">
        <v>-4.8696665763854901</v>
      </c>
      <c r="H286">
        <v>-8.8500003814697195</v>
      </c>
      <c r="I286">
        <v>4.0388874430000001</v>
      </c>
      <c r="J286" s="1">
        <v>43251</v>
      </c>
      <c r="K286">
        <f t="shared" si="12"/>
        <v>315.81416389947998</v>
      </c>
      <c r="L286">
        <f t="shared" si="13"/>
        <v>302.48583533758</v>
      </c>
      <c r="M286">
        <f t="shared" si="14"/>
        <v>313.13033342361399</v>
      </c>
    </row>
    <row r="287" spans="1:13" x14ac:dyDescent="0.3">
      <c r="A287" s="1">
        <v>43224</v>
      </c>
      <c r="B287" s="1">
        <v>43252</v>
      </c>
      <c r="C287">
        <v>313.26177139282203</v>
      </c>
      <c r="D287">
        <v>311.39999980926501</v>
      </c>
      <c r="E287">
        <v>316.45</v>
      </c>
      <c r="F287">
        <v>5.0500001907348597</v>
      </c>
      <c r="G287">
        <v>-3.1882286071777299</v>
      </c>
      <c r="H287">
        <v>-5.0500001907348597</v>
      </c>
      <c r="I287">
        <v>3.9663470159999998</v>
      </c>
      <c r="J287" s="1">
        <v>43252</v>
      </c>
      <c r="K287">
        <f t="shared" si="12"/>
        <v>317.94447238566499</v>
      </c>
      <c r="L287">
        <f t="shared" si="13"/>
        <v>304.85552723286503</v>
      </c>
      <c r="M287">
        <f t="shared" si="14"/>
        <v>313.26177139282203</v>
      </c>
    </row>
    <row r="288" spans="1:13" x14ac:dyDescent="0.3">
      <c r="A288" s="1">
        <v>43227</v>
      </c>
      <c r="B288" s="1">
        <v>43255</v>
      </c>
      <c r="C288">
        <v>312.22676582336402</v>
      </c>
      <c r="D288">
        <v>313.15000004768302</v>
      </c>
      <c r="E288">
        <v>316.45</v>
      </c>
      <c r="F288">
        <v>3.2999999523162802</v>
      </c>
      <c r="G288">
        <v>-4.2232341766357404</v>
      </c>
      <c r="H288">
        <v>-3.2999999523162802</v>
      </c>
      <c r="I288">
        <v>3.6975128069999998</v>
      </c>
      <c r="J288" s="1">
        <v>43255</v>
      </c>
      <c r="K288">
        <f t="shared" si="12"/>
        <v>319.250896179233</v>
      </c>
      <c r="L288">
        <f t="shared" si="13"/>
        <v>307.04910391613305</v>
      </c>
      <c r="M288">
        <f t="shared" si="14"/>
        <v>312.22676582336402</v>
      </c>
    </row>
    <row r="289" spans="1:13" x14ac:dyDescent="0.3">
      <c r="A289" s="1">
        <v>43228</v>
      </c>
      <c r="B289" s="1">
        <v>43256</v>
      </c>
      <c r="C289">
        <v>308.636623191833</v>
      </c>
      <c r="D289">
        <v>313.74999998807903</v>
      </c>
      <c r="E289">
        <v>314.05</v>
      </c>
      <c r="F289">
        <v>0.30000001192092801</v>
      </c>
      <c r="G289">
        <v>-5.4133768081665004</v>
      </c>
      <c r="H289">
        <v>-0.30000001192092801</v>
      </c>
      <c r="I289">
        <v>3.6437286419999899</v>
      </c>
      <c r="J289" s="1">
        <v>43256</v>
      </c>
      <c r="K289">
        <f t="shared" si="12"/>
        <v>319.76215224737899</v>
      </c>
      <c r="L289">
        <f t="shared" si="13"/>
        <v>307.73784772877906</v>
      </c>
      <c r="M289">
        <f t="shared" si="14"/>
        <v>308.636623191833</v>
      </c>
    </row>
    <row r="290" spans="1:13" x14ac:dyDescent="0.3">
      <c r="A290" s="1">
        <v>43229</v>
      </c>
      <c r="B290" s="1">
        <v>43257</v>
      </c>
      <c r="C290">
        <v>307.75262861251798</v>
      </c>
      <c r="D290">
        <v>313.74999998807903</v>
      </c>
      <c r="E290">
        <v>314.05</v>
      </c>
      <c r="F290">
        <v>0.30000001192092801</v>
      </c>
      <c r="G290">
        <v>-6.2973713874816797</v>
      </c>
      <c r="H290">
        <v>-0.30000001192092801</v>
      </c>
      <c r="I290">
        <v>3.59186062399999</v>
      </c>
      <c r="J290" s="1">
        <v>43257</v>
      </c>
      <c r="K290">
        <f t="shared" si="12"/>
        <v>319.67657001767901</v>
      </c>
      <c r="L290">
        <f t="shared" si="13"/>
        <v>307.82342995847904</v>
      </c>
      <c r="M290">
        <f t="shared" si="14"/>
        <v>307.75262861251798</v>
      </c>
    </row>
    <row r="291" spans="1:13" x14ac:dyDescent="0.3">
      <c r="A291" s="1">
        <v>43230</v>
      </c>
      <c r="B291" s="1">
        <v>43258</v>
      </c>
      <c r="C291">
        <v>315.19881782531701</v>
      </c>
      <c r="D291">
        <v>316.85000000000002</v>
      </c>
      <c r="E291">
        <v>315.85000000000002</v>
      </c>
      <c r="F291">
        <v>-1</v>
      </c>
      <c r="G291">
        <v>-0.65118217468261697</v>
      </c>
      <c r="H291">
        <v>1</v>
      </c>
      <c r="I291">
        <v>3.5838692760000002</v>
      </c>
      <c r="J291" s="1">
        <v>43258</v>
      </c>
      <c r="K291">
        <f t="shared" si="12"/>
        <v>322.7633843054</v>
      </c>
      <c r="L291">
        <f t="shared" si="13"/>
        <v>310.93661569460005</v>
      </c>
      <c r="M291">
        <f t="shared" si="14"/>
        <v>315.19881782531701</v>
      </c>
    </row>
    <row r="292" spans="1:13" x14ac:dyDescent="0.3">
      <c r="A292" s="1">
        <v>43231</v>
      </c>
      <c r="B292" s="1">
        <v>43259</v>
      </c>
      <c r="C292">
        <v>310.29491319656302</v>
      </c>
      <c r="D292">
        <v>313.30000009536701</v>
      </c>
      <c r="E292">
        <v>317.64999999999998</v>
      </c>
      <c r="F292">
        <v>4.3499999046325604</v>
      </c>
      <c r="G292">
        <v>-7.3550868034362704</v>
      </c>
      <c r="H292">
        <v>-4.3499999046325604</v>
      </c>
      <c r="I292">
        <v>3.5935544259999999</v>
      </c>
      <c r="J292" s="1">
        <v>43259</v>
      </c>
      <c r="K292">
        <f t="shared" si="12"/>
        <v>319.22936489826702</v>
      </c>
      <c r="L292">
        <f t="shared" si="13"/>
        <v>307.370635292467</v>
      </c>
      <c r="M292">
        <f t="shared" si="14"/>
        <v>310.29491319656302</v>
      </c>
    </row>
    <row r="293" spans="1:13" x14ac:dyDescent="0.3">
      <c r="A293" s="1">
        <v>43234</v>
      </c>
      <c r="B293" s="1">
        <v>43262</v>
      </c>
      <c r="C293">
        <v>309.93794355392401</v>
      </c>
      <c r="D293">
        <v>316.15000001191999</v>
      </c>
      <c r="E293">
        <v>316.85000000000002</v>
      </c>
      <c r="F293">
        <v>0.69999998807907104</v>
      </c>
      <c r="G293">
        <v>-6.9120564460754297</v>
      </c>
      <c r="H293">
        <v>-0.69999998807907104</v>
      </c>
      <c r="I293">
        <v>3.5521090019999999</v>
      </c>
      <c r="J293" s="1">
        <v>43262</v>
      </c>
      <c r="K293">
        <f t="shared" si="12"/>
        <v>322.01097986522001</v>
      </c>
      <c r="L293">
        <f t="shared" si="13"/>
        <v>310.28902015861996</v>
      </c>
      <c r="M293">
        <f t="shared" si="14"/>
        <v>309.93794355392401</v>
      </c>
    </row>
    <row r="294" spans="1:13" x14ac:dyDescent="0.3">
      <c r="A294" s="1">
        <v>43235</v>
      </c>
      <c r="B294" s="1">
        <v>43263</v>
      </c>
      <c r="C294">
        <v>306.52091264724697</v>
      </c>
      <c r="D294">
        <v>315.64999997615803</v>
      </c>
      <c r="E294">
        <v>313.75</v>
      </c>
      <c r="F294">
        <v>-1.8999999761581401</v>
      </c>
      <c r="G294">
        <v>-7.2290873527526802</v>
      </c>
      <c r="H294">
        <v>1.8999999761581401</v>
      </c>
      <c r="I294">
        <v>3.4760354019999999</v>
      </c>
      <c r="J294" s="1">
        <v>43263</v>
      </c>
      <c r="K294">
        <f t="shared" si="12"/>
        <v>321.38545838945805</v>
      </c>
      <c r="L294">
        <f t="shared" si="13"/>
        <v>309.91454156285801</v>
      </c>
      <c r="M294">
        <f t="shared" si="14"/>
        <v>306.52091264724697</v>
      </c>
    </row>
    <row r="295" spans="1:13" x14ac:dyDescent="0.3">
      <c r="A295" s="1">
        <v>43236</v>
      </c>
      <c r="B295" s="1">
        <v>43264</v>
      </c>
      <c r="C295">
        <v>308.44361391067503</v>
      </c>
      <c r="D295">
        <v>315.64999999999998</v>
      </c>
      <c r="E295">
        <v>314.89999999999998</v>
      </c>
      <c r="F295">
        <v>-0.75</v>
      </c>
      <c r="G295">
        <v>-6.4563860893249503</v>
      </c>
      <c r="H295">
        <v>0.75</v>
      </c>
      <c r="I295">
        <v>3.3944546120000001</v>
      </c>
      <c r="J295" s="1">
        <v>43264</v>
      </c>
      <c r="K295">
        <f t="shared" si="12"/>
        <v>321.25085010979996</v>
      </c>
      <c r="L295">
        <f t="shared" si="13"/>
        <v>310.0491498902</v>
      </c>
      <c r="M295">
        <f t="shared" si="14"/>
        <v>308.44361391067503</v>
      </c>
    </row>
    <row r="296" spans="1:13" x14ac:dyDescent="0.3">
      <c r="A296" s="1">
        <v>43237</v>
      </c>
      <c r="B296" s="1">
        <v>43265</v>
      </c>
      <c r="C296">
        <v>309.43391146659798</v>
      </c>
      <c r="D296">
        <v>310.39999999999998</v>
      </c>
      <c r="E296">
        <v>313.39999999999998</v>
      </c>
      <c r="F296">
        <v>3</v>
      </c>
      <c r="G296">
        <v>-3.9660885334014799</v>
      </c>
      <c r="H296">
        <v>-3</v>
      </c>
      <c r="I296">
        <v>3.3246131929999998</v>
      </c>
      <c r="J296" s="1">
        <v>43265</v>
      </c>
      <c r="K296">
        <f t="shared" si="12"/>
        <v>315.88561176844996</v>
      </c>
      <c r="L296">
        <f t="shared" si="13"/>
        <v>304.91438823154999</v>
      </c>
      <c r="M296">
        <f t="shared" si="14"/>
        <v>309.43391146659798</v>
      </c>
    </row>
    <row r="297" spans="1:13" x14ac:dyDescent="0.3">
      <c r="A297" s="1">
        <v>43238</v>
      </c>
      <c r="B297" s="1">
        <v>43266</v>
      </c>
      <c r="C297">
        <v>308.56069421768098</v>
      </c>
      <c r="D297">
        <v>309.19999980926502</v>
      </c>
      <c r="E297">
        <v>314.75</v>
      </c>
      <c r="F297">
        <v>5.5500001907348597</v>
      </c>
      <c r="G297">
        <v>-6.1893057823181099</v>
      </c>
      <c r="H297">
        <v>-5.5500001907348597</v>
      </c>
      <c r="I297">
        <v>3.3019538210000001</v>
      </c>
      <c r="J297" s="1">
        <v>43266</v>
      </c>
      <c r="K297">
        <f t="shared" si="12"/>
        <v>314.64822361391504</v>
      </c>
      <c r="L297">
        <f t="shared" si="13"/>
        <v>303.75177600461501</v>
      </c>
      <c r="M297">
        <f t="shared" si="14"/>
        <v>308.56069421768098</v>
      </c>
    </row>
    <row r="298" spans="1:13" x14ac:dyDescent="0.3">
      <c r="A298" s="1">
        <v>43241</v>
      </c>
      <c r="B298" s="1">
        <v>43269</v>
      </c>
      <c r="C298">
        <v>308.24667797088603</v>
      </c>
      <c r="D298">
        <v>305.85000000000002</v>
      </c>
      <c r="E298">
        <v>315.10000000000002</v>
      </c>
      <c r="F298">
        <v>9.25</v>
      </c>
      <c r="G298">
        <v>-6.8533220291137598</v>
      </c>
      <c r="H298">
        <v>-9.25</v>
      </c>
      <c r="I298">
        <v>3.4426154250000001</v>
      </c>
      <c r="J298" s="1">
        <v>43269</v>
      </c>
      <c r="K298">
        <f t="shared" si="12"/>
        <v>311.53031545125003</v>
      </c>
      <c r="L298">
        <f t="shared" si="13"/>
        <v>300.16968454875001</v>
      </c>
      <c r="M298">
        <f t="shared" si="14"/>
        <v>308.24667797088603</v>
      </c>
    </row>
    <row r="299" spans="1:13" x14ac:dyDescent="0.3">
      <c r="A299" s="1">
        <v>43242</v>
      </c>
      <c r="B299" s="1">
        <v>43270</v>
      </c>
      <c r="C299">
        <v>305.72207698822001</v>
      </c>
      <c r="D299">
        <v>301.35000000000002</v>
      </c>
      <c r="E299">
        <v>315.10000000000002</v>
      </c>
      <c r="F299">
        <v>13.75</v>
      </c>
      <c r="G299">
        <v>-9.3779230117797798</v>
      </c>
      <c r="H299">
        <v>-13.75</v>
      </c>
      <c r="I299">
        <v>3.7405120360000002</v>
      </c>
      <c r="J299" s="1">
        <v>43270</v>
      </c>
      <c r="K299">
        <f t="shared" si="12"/>
        <v>307.52184485940001</v>
      </c>
      <c r="L299">
        <f t="shared" si="13"/>
        <v>295.17815514060004</v>
      </c>
      <c r="M299">
        <f t="shared" si="14"/>
        <v>305.72207698822001</v>
      </c>
    </row>
    <row r="300" spans="1:13" x14ac:dyDescent="0.3">
      <c r="A300" s="1">
        <v>43243</v>
      </c>
      <c r="B300" s="1">
        <v>43271</v>
      </c>
      <c r="C300">
        <v>305.62752285003597</v>
      </c>
      <c r="D300">
        <v>304.20000019073399</v>
      </c>
      <c r="E300">
        <v>317.14999999999998</v>
      </c>
      <c r="F300">
        <v>12.949999809265099</v>
      </c>
      <c r="G300">
        <v>-11.522477149963301</v>
      </c>
      <c r="H300">
        <v>-12.949999809265099</v>
      </c>
      <c r="I300">
        <v>3.8529362549999999</v>
      </c>
      <c r="J300" s="1">
        <v>43271</v>
      </c>
      <c r="K300">
        <f t="shared" si="12"/>
        <v>310.55734501148396</v>
      </c>
      <c r="L300">
        <f t="shared" si="13"/>
        <v>297.84265536998402</v>
      </c>
      <c r="M300">
        <f t="shared" si="14"/>
        <v>305.62752285003597</v>
      </c>
    </row>
    <row r="301" spans="1:13" x14ac:dyDescent="0.3">
      <c r="A301" s="1">
        <v>43244</v>
      </c>
      <c r="B301" s="1">
        <v>43272</v>
      </c>
      <c r="C301">
        <v>313.98345665931703</v>
      </c>
      <c r="D301">
        <v>300.74999980926498</v>
      </c>
      <c r="E301">
        <v>316.55</v>
      </c>
      <c r="F301">
        <v>15.800000190734799</v>
      </c>
      <c r="G301">
        <v>-2.5665433406829798</v>
      </c>
      <c r="H301">
        <v>-15.800000190734799</v>
      </c>
      <c r="I301">
        <v>4.0838499639999997</v>
      </c>
      <c r="J301" s="1">
        <v>43272</v>
      </c>
      <c r="K301">
        <f t="shared" si="12"/>
        <v>307.48835224986499</v>
      </c>
      <c r="L301">
        <f t="shared" si="13"/>
        <v>294.01164736866497</v>
      </c>
      <c r="M301">
        <f t="shared" si="14"/>
        <v>313.98345665931703</v>
      </c>
    </row>
    <row r="302" spans="1:13" x14ac:dyDescent="0.3">
      <c r="A302" s="1">
        <v>43245</v>
      </c>
      <c r="B302" s="1">
        <v>43273</v>
      </c>
      <c r="C302">
        <v>310.112924861907</v>
      </c>
      <c r="D302">
        <v>303.650000381469</v>
      </c>
      <c r="E302">
        <v>317.3</v>
      </c>
      <c r="F302">
        <v>13.649999618530201</v>
      </c>
      <c r="G302">
        <v>-7.1870751380920401</v>
      </c>
      <c r="H302">
        <v>-13.649999618530201</v>
      </c>
      <c r="I302">
        <v>4.2709527339999998</v>
      </c>
      <c r="J302" s="1">
        <v>43273</v>
      </c>
      <c r="K302">
        <f t="shared" si="12"/>
        <v>310.697072392569</v>
      </c>
      <c r="L302">
        <f t="shared" si="13"/>
        <v>296.602928370369</v>
      </c>
      <c r="M302">
        <f t="shared" si="14"/>
        <v>310.112924861907</v>
      </c>
    </row>
    <row r="303" spans="1:13" x14ac:dyDescent="0.3">
      <c r="A303" s="1">
        <v>43248</v>
      </c>
      <c r="B303" s="1">
        <v>43276</v>
      </c>
      <c r="C303">
        <v>313.025929546356</v>
      </c>
      <c r="D303">
        <v>303.24999961853001</v>
      </c>
      <c r="E303">
        <v>318.10000000000002</v>
      </c>
      <c r="F303">
        <v>14.8500003814697</v>
      </c>
      <c r="G303">
        <v>-5.0740704536437899</v>
      </c>
      <c r="H303">
        <v>-14.8500003814697</v>
      </c>
      <c r="I303">
        <v>4.4690734819999998</v>
      </c>
      <c r="J303" s="1">
        <v>43276</v>
      </c>
      <c r="K303">
        <f t="shared" si="12"/>
        <v>310.62397086383004</v>
      </c>
      <c r="L303">
        <f t="shared" si="13"/>
        <v>295.87602837322999</v>
      </c>
      <c r="M303">
        <f t="shared" si="14"/>
        <v>313.025929546356</v>
      </c>
    </row>
    <row r="304" spans="1:13" x14ac:dyDescent="0.3">
      <c r="A304" s="1">
        <v>43249</v>
      </c>
      <c r="B304" s="1">
        <v>43277</v>
      </c>
      <c r="C304">
        <v>312.62777199745102</v>
      </c>
      <c r="D304">
        <v>302.39999999999998</v>
      </c>
      <c r="E304">
        <v>314.89999999999998</v>
      </c>
      <c r="F304">
        <v>12.5</v>
      </c>
      <c r="G304">
        <v>-2.2722280025482098</v>
      </c>
      <c r="H304">
        <v>-12.5</v>
      </c>
      <c r="I304">
        <v>4.6798890780000004</v>
      </c>
      <c r="J304" s="1">
        <v>43277</v>
      </c>
      <c r="K304">
        <f t="shared" si="12"/>
        <v>310.1218169787</v>
      </c>
      <c r="L304">
        <f t="shared" si="13"/>
        <v>294.67818302129996</v>
      </c>
      <c r="M304">
        <f t="shared" si="14"/>
        <v>312.62777199745102</v>
      </c>
    </row>
    <row r="305" spans="1:13" x14ac:dyDescent="0.3">
      <c r="A305" s="1">
        <v>43250</v>
      </c>
      <c r="B305" s="1">
        <v>43278</v>
      </c>
      <c r="C305">
        <v>310.30481104850702</v>
      </c>
      <c r="D305">
        <v>301.55</v>
      </c>
      <c r="E305">
        <v>307.55</v>
      </c>
      <c r="F305">
        <v>-6</v>
      </c>
      <c r="G305">
        <v>2.75481104850769</v>
      </c>
      <c r="H305">
        <v>-6</v>
      </c>
      <c r="I305">
        <v>4.898046731</v>
      </c>
      <c r="J305" s="1">
        <v>43278</v>
      </c>
      <c r="K305">
        <f t="shared" si="12"/>
        <v>309.63177710615003</v>
      </c>
      <c r="L305">
        <f t="shared" si="13"/>
        <v>293.46822289385</v>
      </c>
      <c r="M305">
        <f t="shared" si="14"/>
        <v>310.30481104850702</v>
      </c>
    </row>
    <row r="306" spans="1:13" x14ac:dyDescent="0.3">
      <c r="A306" s="1">
        <v>43251</v>
      </c>
      <c r="B306" s="1">
        <v>43279</v>
      </c>
      <c r="C306">
        <v>307.34172191619803</v>
      </c>
      <c r="D306">
        <v>299.099999809265</v>
      </c>
      <c r="E306">
        <v>309.14999999999998</v>
      </c>
      <c r="F306">
        <v>10.050000190734799</v>
      </c>
      <c r="G306">
        <v>-1.80827808380126</v>
      </c>
      <c r="H306">
        <v>-10.050000190734799</v>
      </c>
      <c r="I306">
        <v>5.20590537</v>
      </c>
      <c r="J306" s="1">
        <v>43279</v>
      </c>
      <c r="K306">
        <f t="shared" si="12"/>
        <v>307.68974366976499</v>
      </c>
      <c r="L306">
        <f t="shared" si="13"/>
        <v>290.51025594876501</v>
      </c>
      <c r="M306">
        <f t="shared" si="14"/>
        <v>307.34172191619803</v>
      </c>
    </row>
    <row r="307" spans="1:13" x14ac:dyDescent="0.3">
      <c r="A307" s="1">
        <v>43252</v>
      </c>
      <c r="B307" s="1">
        <v>43280</v>
      </c>
      <c r="C307">
        <v>310.67944266796098</v>
      </c>
      <c r="D307">
        <v>300.00000038146902</v>
      </c>
      <c r="E307">
        <v>311.39999999999998</v>
      </c>
      <c r="F307">
        <v>11.399999618530201</v>
      </c>
      <c r="G307">
        <v>-0.72055733203887895</v>
      </c>
      <c r="H307">
        <v>-11.399999618530201</v>
      </c>
      <c r="I307">
        <v>5.4514220529999999</v>
      </c>
      <c r="J307" s="1">
        <v>43280</v>
      </c>
      <c r="K307">
        <f t="shared" si="12"/>
        <v>308.99484676891905</v>
      </c>
      <c r="L307">
        <f t="shared" si="13"/>
        <v>291.005153994019</v>
      </c>
      <c r="M307">
        <f t="shared" si="14"/>
        <v>310.67944266796098</v>
      </c>
    </row>
    <row r="308" spans="1:13" x14ac:dyDescent="0.3">
      <c r="A308" s="1">
        <v>43255</v>
      </c>
      <c r="B308" s="1">
        <v>43283</v>
      </c>
      <c r="C308">
        <v>312.34570755958498</v>
      </c>
      <c r="D308">
        <v>292.89999999999998</v>
      </c>
      <c r="E308">
        <v>313.14999999999998</v>
      </c>
      <c r="F308">
        <v>20.25</v>
      </c>
      <c r="G308">
        <v>-0.80429244041442804</v>
      </c>
      <c r="H308">
        <v>-20.25</v>
      </c>
      <c r="I308">
        <v>5.9894175509999998</v>
      </c>
      <c r="J308" s="1">
        <v>43283</v>
      </c>
      <c r="K308">
        <f t="shared" si="12"/>
        <v>302.78253895914997</v>
      </c>
      <c r="L308">
        <f t="shared" si="13"/>
        <v>283.01746104084998</v>
      </c>
      <c r="M308">
        <f t="shared" si="14"/>
        <v>312.34570755958498</v>
      </c>
    </row>
    <row r="309" spans="1:13" x14ac:dyDescent="0.3">
      <c r="A309" s="1">
        <v>43256</v>
      </c>
      <c r="B309" s="1">
        <v>43284</v>
      </c>
      <c r="C309">
        <v>309.657676696777</v>
      </c>
      <c r="D309">
        <v>293.75</v>
      </c>
      <c r="E309">
        <v>313.75</v>
      </c>
      <c r="F309">
        <v>20</v>
      </c>
      <c r="G309">
        <v>-4.09232330322265</v>
      </c>
      <c r="H309">
        <v>-20</v>
      </c>
      <c r="I309">
        <v>6.429470534</v>
      </c>
      <c r="J309" s="1">
        <v>43284</v>
      </c>
      <c r="K309">
        <f t="shared" si="12"/>
        <v>304.35862638110001</v>
      </c>
      <c r="L309">
        <f t="shared" si="13"/>
        <v>283.14137361889999</v>
      </c>
      <c r="M309">
        <f t="shared" si="14"/>
        <v>309.657676696777</v>
      </c>
    </row>
    <row r="310" spans="1:13" x14ac:dyDescent="0.3">
      <c r="A310" s="1">
        <v>43257</v>
      </c>
      <c r="B310" s="1">
        <v>43285</v>
      </c>
      <c r="C310">
        <v>310.87485551834101</v>
      </c>
      <c r="D310">
        <v>292.54999923705998</v>
      </c>
      <c r="E310">
        <v>313.75</v>
      </c>
      <c r="F310">
        <v>21.2000007629394</v>
      </c>
      <c r="G310">
        <v>-2.8751444816589302</v>
      </c>
      <c r="H310">
        <v>-21.2000007629394</v>
      </c>
      <c r="I310">
        <v>6.8578537939999897</v>
      </c>
      <c r="J310" s="1">
        <v>43285</v>
      </c>
      <c r="K310">
        <f t="shared" si="12"/>
        <v>303.86545799715998</v>
      </c>
      <c r="L310">
        <f t="shared" si="13"/>
        <v>281.23454047695998</v>
      </c>
      <c r="M310">
        <f t="shared" si="14"/>
        <v>310.87485551834101</v>
      </c>
    </row>
    <row r="311" spans="1:13" x14ac:dyDescent="0.3">
      <c r="A311" s="1">
        <v>43258</v>
      </c>
      <c r="B311" s="1">
        <v>43286</v>
      </c>
      <c r="C311">
        <v>316.30382153987802</v>
      </c>
      <c r="D311">
        <v>291.99999961853001</v>
      </c>
      <c r="E311">
        <v>316.85000000000002</v>
      </c>
      <c r="F311">
        <v>24.850000381469702</v>
      </c>
      <c r="G311">
        <v>-0.54617846012115401</v>
      </c>
      <c r="H311">
        <v>-24.850000381469702</v>
      </c>
      <c r="I311">
        <v>7.2946155389999996</v>
      </c>
      <c r="J311" s="1">
        <v>43286</v>
      </c>
      <c r="K311">
        <f t="shared" si="12"/>
        <v>304.03611525788</v>
      </c>
      <c r="L311">
        <f t="shared" si="13"/>
        <v>279.96388397918003</v>
      </c>
      <c r="M311">
        <f t="shared" si="14"/>
        <v>316.30382153987802</v>
      </c>
    </row>
    <row r="312" spans="1:13" x14ac:dyDescent="0.3">
      <c r="A312" s="1">
        <v>43259</v>
      </c>
      <c r="B312" s="1">
        <v>43287</v>
      </c>
      <c r="C312">
        <v>319.27194433212202</v>
      </c>
      <c r="D312">
        <v>296.94999961853</v>
      </c>
      <c r="E312">
        <v>313.3</v>
      </c>
      <c r="F312">
        <v>-16.350000381469702</v>
      </c>
      <c r="G312">
        <v>5.9719443321228001</v>
      </c>
      <c r="H312">
        <v>-16.350000381469702</v>
      </c>
      <c r="I312">
        <v>7.6342920999999997</v>
      </c>
      <c r="J312" s="1">
        <v>43287</v>
      </c>
      <c r="K312">
        <f t="shared" si="12"/>
        <v>309.54658158352998</v>
      </c>
      <c r="L312">
        <f t="shared" si="13"/>
        <v>284.35341765353002</v>
      </c>
      <c r="M312">
        <f t="shared" si="14"/>
        <v>319.27194433212202</v>
      </c>
    </row>
    <row r="313" spans="1:13" x14ac:dyDescent="0.3">
      <c r="A313" s="1">
        <v>43262</v>
      </c>
      <c r="B313" s="1">
        <v>43290</v>
      </c>
      <c r="C313">
        <v>317.56295313835102</v>
      </c>
      <c r="D313">
        <v>295.29999961853002</v>
      </c>
      <c r="E313">
        <v>316.14999999999998</v>
      </c>
      <c r="F313">
        <v>-20.850000381469702</v>
      </c>
      <c r="G313">
        <v>1.41295313835144</v>
      </c>
      <c r="H313">
        <v>-20.850000381469702</v>
      </c>
      <c r="I313">
        <v>7.8618244479999904</v>
      </c>
      <c r="J313" s="1">
        <v>43290</v>
      </c>
      <c r="K313">
        <f t="shared" si="12"/>
        <v>308.27200995773001</v>
      </c>
      <c r="L313">
        <f t="shared" si="13"/>
        <v>282.32798927933004</v>
      </c>
      <c r="M313">
        <f t="shared" si="14"/>
        <v>317.56295313835102</v>
      </c>
    </row>
    <row r="314" spans="1:13" x14ac:dyDescent="0.3">
      <c r="A314" s="1">
        <v>43263</v>
      </c>
      <c r="B314" s="1">
        <v>43291</v>
      </c>
      <c r="C314">
        <v>321.208650970458</v>
      </c>
      <c r="D314">
        <v>296.00000038146902</v>
      </c>
      <c r="E314">
        <v>315.64999999999998</v>
      </c>
      <c r="F314">
        <v>-19.649999618530199</v>
      </c>
      <c r="G314">
        <v>5.5586509704589799</v>
      </c>
      <c r="H314">
        <v>-19.649999618530199</v>
      </c>
      <c r="I314">
        <v>8.0530036500000008</v>
      </c>
      <c r="J314" s="1">
        <v>43291</v>
      </c>
      <c r="K314">
        <f t="shared" si="12"/>
        <v>309.28745640396903</v>
      </c>
      <c r="L314">
        <f t="shared" si="13"/>
        <v>282.71254435896901</v>
      </c>
      <c r="M314">
        <f t="shared" si="14"/>
        <v>321.208650970458</v>
      </c>
    </row>
    <row r="315" spans="1:13" x14ac:dyDescent="0.3">
      <c r="A315" s="1">
        <v>43264</v>
      </c>
      <c r="B315" s="1">
        <v>43292</v>
      </c>
      <c r="C315">
        <v>322.14217176437302</v>
      </c>
      <c r="D315">
        <v>299.10000076293898</v>
      </c>
      <c r="E315">
        <v>315.64999999999998</v>
      </c>
      <c r="F315">
        <v>-16.549999237060501</v>
      </c>
      <c r="G315">
        <v>6.4921717643737704</v>
      </c>
      <c r="H315">
        <v>-16.549999237060501</v>
      </c>
      <c r="I315">
        <v>8.2815882009999999</v>
      </c>
      <c r="J315" s="1">
        <v>43292</v>
      </c>
      <c r="K315">
        <f t="shared" si="12"/>
        <v>312.76462129458895</v>
      </c>
      <c r="L315">
        <f t="shared" si="13"/>
        <v>285.435380231289</v>
      </c>
      <c r="M315">
        <f t="shared" si="14"/>
        <v>322.14217176437302</v>
      </c>
    </row>
    <row r="316" spans="1:13" x14ac:dyDescent="0.3">
      <c r="A316" s="1">
        <v>43265</v>
      </c>
      <c r="B316" s="1">
        <v>43293</v>
      </c>
      <c r="C316">
        <v>314.56206693649199</v>
      </c>
      <c r="D316">
        <v>298.20000019073399</v>
      </c>
      <c r="E316">
        <v>310.39999999999998</v>
      </c>
      <c r="F316">
        <v>-12.199999809265099</v>
      </c>
      <c r="G316">
        <v>4.1620669364929199</v>
      </c>
      <c r="H316">
        <v>-12.199999809265099</v>
      </c>
      <c r="I316">
        <v>8.4787483909999999</v>
      </c>
      <c r="J316" s="1">
        <v>43293</v>
      </c>
      <c r="K316">
        <f t="shared" si="12"/>
        <v>312.18993503588399</v>
      </c>
      <c r="L316">
        <f t="shared" si="13"/>
        <v>284.21006534558398</v>
      </c>
      <c r="M316">
        <f t="shared" si="14"/>
        <v>314.56206693649199</v>
      </c>
    </row>
    <row r="317" spans="1:13" x14ac:dyDescent="0.3">
      <c r="A317" s="1">
        <v>43266</v>
      </c>
      <c r="B317" s="1">
        <v>43294</v>
      </c>
      <c r="C317">
        <v>315.78094072341901</v>
      </c>
      <c r="D317">
        <v>297.34999961852998</v>
      </c>
      <c r="E317">
        <v>309.2</v>
      </c>
      <c r="F317">
        <v>-11.8500003814697</v>
      </c>
      <c r="G317">
        <v>6.5809407234191797</v>
      </c>
      <c r="H317">
        <v>-11.8500003814697</v>
      </c>
      <c r="I317">
        <v>8.5792699339999992</v>
      </c>
      <c r="J317" s="1">
        <v>43294</v>
      </c>
      <c r="K317">
        <f t="shared" si="12"/>
        <v>311.50579500962999</v>
      </c>
      <c r="L317">
        <f t="shared" si="13"/>
        <v>283.19420422742996</v>
      </c>
      <c r="M317">
        <f t="shared" si="14"/>
        <v>315.78094072341901</v>
      </c>
    </row>
    <row r="318" spans="1:13" x14ac:dyDescent="0.3">
      <c r="A318" s="1">
        <v>43269</v>
      </c>
      <c r="B318" s="1">
        <v>43297</v>
      </c>
      <c r="C318">
        <v>314.42727622985802</v>
      </c>
      <c r="D318">
        <v>297.04999980926499</v>
      </c>
      <c r="E318">
        <v>305.85000000000002</v>
      </c>
      <c r="F318">
        <v>-8.8000001907348597</v>
      </c>
      <c r="G318">
        <v>8.5772762298583896</v>
      </c>
      <c r="H318">
        <v>-8.8000001907348597</v>
      </c>
      <c r="I318">
        <v>8.6916496729999899</v>
      </c>
      <c r="J318" s="1">
        <v>43297</v>
      </c>
      <c r="K318">
        <f t="shared" si="12"/>
        <v>311.39122176971495</v>
      </c>
      <c r="L318">
        <f t="shared" si="13"/>
        <v>282.70877784881503</v>
      </c>
      <c r="M318">
        <f t="shared" si="14"/>
        <v>314.42727622985802</v>
      </c>
    </row>
    <row r="319" spans="1:13" x14ac:dyDescent="0.3">
      <c r="A319" s="1">
        <v>43270</v>
      </c>
      <c r="B319" s="1">
        <v>43298</v>
      </c>
      <c r="C319">
        <v>312.77485332488999</v>
      </c>
      <c r="D319">
        <v>296.04999980926499</v>
      </c>
      <c r="E319">
        <v>301.35000000000002</v>
      </c>
      <c r="F319">
        <v>-5.3000001907348597</v>
      </c>
      <c r="G319">
        <v>11.424853324890099</v>
      </c>
      <c r="H319">
        <v>-5.3000001907348597</v>
      </c>
      <c r="I319">
        <v>8.8127259250000005</v>
      </c>
      <c r="J319" s="1">
        <v>43298</v>
      </c>
      <c r="K319">
        <f t="shared" si="12"/>
        <v>310.59099758551497</v>
      </c>
      <c r="L319">
        <f t="shared" si="13"/>
        <v>281.50900203301501</v>
      </c>
      <c r="M319">
        <f t="shared" si="14"/>
        <v>312.77485332488999</v>
      </c>
    </row>
    <row r="320" spans="1:13" x14ac:dyDescent="0.3">
      <c r="A320" s="1">
        <v>43271</v>
      </c>
      <c r="B320" s="1">
        <v>43299</v>
      </c>
      <c r="C320">
        <v>314.344689559936</v>
      </c>
      <c r="D320">
        <v>297.04999990463199</v>
      </c>
      <c r="E320">
        <v>304.2</v>
      </c>
      <c r="F320">
        <v>-7.1500000953674299</v>
      </c>
      <c r="G320">
        <v>10.1446895599365</v>
      </c>
      <c r="H320">
        <v>-7.1500000953674299</v>
      </c>
      <c r="I320">
        <v>8.8939108519999994</v>
      </c>
      <c r="J320" s="1">
        <v>43299</v>
      </c>
      <c r="K320">
        <f t="shared" si="12"/>
        <v>311.724952810432</v>
      </c>
      <c r="L320">
        <f t="shared" si="13"/>
        <v>282.37504699883198</v>
      </c>
      <c r="M320">
        <f t="shared" si="14"/>
        <v>314.344689559936</v>
      </c>
    </row>
    <row r="321" spans="1:13" x14ac:dyDescent="0.3">
      <c r="A321" s="1">
        <v>43272</v>
      </c>
      <c r="B321" s="1">
        <v>43300</v>
      </c>
      <c r="C321">
        <v>312.85192775726301</v>
      </c>
      <c r="D321">
        <v>296.05000019073401</v>
      </c>
      <c r="E321">
        <v>300.75</v>
      </c>
      <c r="F321">
        <v>-4.6999998092651296</v>
      </c>
      <c r="G321">
        <v>12.1019277572631</v>
      </c>
      <c r="H321">
        <v>-4.6999998092651296</v>
      </c>
      <c r="I321">
        <v>8.9623449720000004</v>
      </c>
      <c r="J321" s="1">
        <v>43300</v>
      </c>
      <c r="K321">
        <f t="shared" si="12"/>
        <v>310.83786939453398</v>
      </c>
      <c r="L321">
        <f t="shared" si="13"/>
        <v>281.26213098693404</v>
      </c>
      <c r="M321">
        <f t="shared" si="14"/>
        <v>312.85192775726301</v>
      </c>
    </row>
    <row r="322" spans="1:13" x14ac:dyDescent="0.3">
      <c r="A322" t="s">
        <v>9</v>
      </c>
      <c r="B322" t="s">
        <v>10</v>
      </c>
      <c r="J322" t="s">
        <v>10</v>
      </c>
    </row>
    <row r="323" spans="1:13" x14ac:dyDescent="0.3">
      <c r="A323">
        <v>0.62187499999999996</v>
      </c>
      <c r="B323">
        <v>9.3314020000000006</v>
      </c>
      <c r="J323">
        <v>9.3314020000000006</v>
      </c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vdiff_ensemble_20_10_20_0.001_2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modified xsi:type="dcterms:W3CDTF">2018-08-28T14:37:12Z</dcterms:modified>
</cp:coreProperties>
</file>