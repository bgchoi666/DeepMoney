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emian-marketbreaker\results\"/>
    </mc:Choice>
  </mc:AlternateContent>
  <bookViews>
    <workbookView xWindow="0" yWindow="0" windowWidth="15330" windowHeight="7635"/>
  </bookViews>
  <sheets>
    <sheet name="5_1_100_0.001_200_1_2018-07-022" sheetId="1" r:id="rId1"/>
  </sheets>
  <calcPr calcId="0"/>
</workbook>
</file>

<file path=xl/calcChain.xml><?xml version="1.0" encoding="utf-8"?>
<calcChain xmlns="http://schemas.openxmlformats.org/spreadsheetml/2006/main">
  <c r="N2" i="1" l="1"/>
  <c r="M2" i="1"/>
  <c r="L2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2" i="1"/>
  <c r="E198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G183" i="1"/>
  <c r="H183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H195" i="1"/>
  <c r="G196" i="1"/>
  <c r="H196" i="1"/>
  <c r="G197" i="1"/>
  <c r="H197" i="1"/>
  <c r="H2" i="1"/>
  <c r="G2" i="1"/>
</calcChain>
</file>

<file path=xl/sharedStrings.xml><?xml version="1.0" encoding="utf-8"?>
<sst xmlns="http://schemas.openxmlformats.org/spreadsheetml/2006/main" count="10" uniqueCount="10">
  <si>
    <t>date</t>
  </si>
  <si>
    <t>prediction</t>
  </si>
  <si>
    <t>real</t>
  </si>
  <si>
    <t>예측지수</t>
    <phoneticPr fontId="18" type="noConversion"/>
  </si>
  <si>
    <t>실재지수</t>
    <phoneticPr fontId="18" type="noConversion"/>
  </si>
  <si>
    <t xml:space="preserve">손익 </t>
    <phoneticPr fontId="18" type="noConversion"/>
  </si>
  <si>
    <t>평균이익</t>
    <phoneticPr fontId="18" type="noConversion"/>
  </si>
  <si>
    <t xml:space="preserve">평균손실 </t>
    <phoneticPr fontId="18" type="noConversion"/>
  </si>
  <si>
    <t>최대이익</t>
    <phoneticPr fontId="18" type="noConversion"/>
  </si>
  <si>
    <t>최대손실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</si>
</sst>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'5_1_100_0.001_200_1_2018-07-022'!$G$1</c:f>
              <c:strCache>
                <c:ptCount val="1"/>
                <c:pt idx="0">
                  <c:v>예측지수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'5_1_100_0.001_200_1_2018-07-022'!$F$2:$F$197</c:f>
              <c:numCache>
                <c:formatCode>m/d/yyyy</c:formatCode>
                <c:ptCount val="196"/>
                <c:pt idx="0">
                  <c:v>42933</c:v>
                </c:pt>
                <c:pt idx="1">
                  <c:v>42934</c:v>
                </c:pt>
                <c:pt idx="2">
                  <c:v>42935</c:v>
                </c:pt>
                <c:pt idx="3">
                  <c:v>42936</c:v>
                </c:pt>
                <c:pt idx="4">
                  <c:v>42937</c:v>
                </c:pt>
                <c:pt idx="5">
                  <c:v>42940</c:v>
                </c:pt>
                <c:pt idx="6">
                  <c:v>42941</c:v>
                </c:pt>
                <c:pt idx="7">
                  <c:v>42942</c:v>
                </c:pt>
                <c:pt idx="8">
                  <c:v>42943</c:v>
                </c:pt>
                <c:pt idx="9">
                  <c:v>42944</c:v>
                </c:pt>
                <c:pt idx="10">
                  <c:v>42947</c:v>
                </c:pt>
                <c:pt idx="11">
                  <c:v>42948</c:v>
                </c:pt>
                <c:pt idx="12">
                  <c:v>42949</c:v>
                </c:pt>
                <c:pt idx="13">
                  <c:v>42950</c:v>
                </c:pt>
                <c:pt idx="14">
                  <c:v>42951</c:v>
                </c:pt>
                <c:pt idx="15">
                  <c:v>42954</c:v>
                </c:pt>
                <c:pt idx="16">
                  <c:v>42955</c:v>
                </c:pt>
                <c:pt idx="17">
                  <c:v>42956</c:v>
                </c:pt>
                <c:pt idx="18">
                  <c:v>42957</c:v>
                </c:pt>
                <c:pt idx="19">
                  <c:v>42958</c:v>
                </c:pt>
                <c:pt idx="20">
                  <c:v>42961</c:v>
                </c:pt>
                <c:pt idx="21">
                  <c:v>42963</c:v>
                </c:pt>
                <c:pt idx="22">
                  <c:v>42964</c:v>
                </c:pt>
                <c:pt idx="23">
                  <c:v>42965</c:v>
                </c:pt>
                <c:pt idx="24">
                  <c:v>42968</c:v>
                </c:pt>
                <c:pt idx="25">
                  <c:v>42969</c:v>
                </c:pt>
                <c:pt idx="26">
                  <c:v>42970</c:v>
                </c:pt>
                <c:pt idx="27">
                  <c:v>42971</c:v>
                </c:pt>
                <c:pt idx="28">
                  <c:v>42972</c:v>
                </c:pt>
                <c:pt idx="29">
                  <c:v>42975</c:v>
                </c:pt>
                <c:pt idx="30">
                  <c:v>42976</c:v>
                </c:pt>
                <c:pt idx="31">
                  <c:v>42977</c:v>
                </c:pt>
                <c:pt idx="32">
                  <c:v>42978</c:v>
                </c:pt>
                <c:pt idx="33">
                  <c:v>42979</c:v>
                </c:pt>
                <c:pt idx="34">
                  <c:v>42982</c:v>
                </c:pt>
                <c:pt idx="35">
                  <c:v>42983</c:v>
                </c:pt>
                <c:pt idx="36">
                  <c:v>42984</c:v>
                </c:pt>
                <c:pt idx="37">
                  <c:v>42985</c:v>
                </c:pt>
                <c:pt idx="38">
                  <c:v>42986</c:v>
                </c:pt>
                <c:pt idx="39">
                  <c:v>42989</c:v>
                </c:pt>
                <c:pt idx="40">
                  <c:v>42990</c:v>
                </c:pt>
                <c:pt idx="41">
                  <c:v>42991</c:v>
                </c:pt>
                <c:pt idx="42">
                  <c:v>42992</c:v>
                </c:pt>
                <c:pt idx="43">
                  <c:v>42993</c:v>
                </c:pt>
                <c:pt idx="44">
                  <c:v>42996</c:v>
                </c:pt>
                <c:pt idx="45">
                  <c:v>42997</c:v>
                </c:pt>
                <c:pt idx="46">
                  <c:v>42998</c:v>
                </c:pt>
                <c:pt idx="47">
                  <c:v>42999</c:v>
                </c:pt>
                <c:pt idx="48">
                  <c:v>43000</c:v>
                </c:pt>
                <c:pt idx="49">
                  <c:v>43003</c:v>
                </c:pt>
                <c:pt idx="50">
                  <c:v>43004</c:v>
                </c:pt>
                <c:pt idx="51">
                  <c:v>43005</c:v>
                </c:pt>
                <c:pt idx="52">
                  <c:v>43006</c:v>
                </c:pt>
                <c:pt idx="53">
                  <c:v>43007</c:v>
                </c:pt>
                <c:pt idx="54">
                  <c:v>43018</c:v>
                </c:pt>
                <c:pt idx="55">
                  <c:v>43019</c:v>
                </c:pt>
                <c:pt idx="56">
                  <c:v>43020</c:v>
                </c:pt>
                <c:pt idx="57">
                  <c:v>43021</c:v>
                </c:pt>
                <c:pt idx="58">
                  <c:v>43024</c:v>
                </c:pt>
                <c:pt idx="59">
                  <c:v>43025</c:v>
                </c:pt>
                <c:pt idx="60">
                  <c:v>43026</c:v>
                </c:pt>
                <c:pt idx="61">
                  <c:v>43027</c:v>
                </c:pt>
                <c:pt idx="62">
                  <c:v>43028</c:v>
                </c:pt>
                <c:pt idx="63">
                  <c:v>43031</c:v>
                </c:pt>
                <c:pt idx="64">
                  <c:v>43032</c:v>
                </c:pt>
                <c:pt idx="65">
                  <c:v>43033</c:v>
                </c:pt>
                <c:pt idx="66">
                  <c:v>43034</c:v>
                </c:pt>
                <c:pt idx="67">
                  <c:v>43035</c:v>
                </c:pt>
                <c:pt idx="68">
                  <c:v>43038</c:v>
                </c:pt>
                <c:pt idx="69">
                  <c:v>43039</c:v>
                </c:pt>
                <c:pt idx="70">
                  <c:v>43040</c:v>
                </c:pt>
                <c:pt idx="71">
                  <c:v>43041</c:v>
                </c:pt>
                <c:pt idx="72">
                  <c:v>43042</c:v>
                </c:pt>
                <c:pt idx="73">
                  <c:v>43045</c:v>
                </c:pt>
                <c:pt idx="74">
                  <c:v>43046</c:v>
                </c:pt>
                <c:pt idx="75">
                  <c:v>43047</c:v>
                </c:pt>
                <c:pt idx="76">
                  <c:v>43048</c:v>
                </c:pt>
                <c:pt idx="77">
                  <c:v>43049</c:v>
                </c:pt>
                <c:pt idx="78">
                  <c:v>43052</c:v>
                </c:pt>
                <c:pt idx="79">
                  <c:v>43053</c:v>
                </c:pt>
                <c:pt idx="80">
                  <c:v>43054</c:v>
                </c:pt>
                <c:pt idx="81">
                  <c:v>43055</c:v>
                </c:pt>
                <c:pt idx="82">
                  <c:v>43056</c:v>
                </c:pt>
                <c:pt idx="83">
                  <c:v>43059</c:v>
                </c:pt>
                <c:pt idx="84">
                  <c:v>43060</c:v>
                </c:pt>
                <c:pt idx="85">
                  <c:v>43061</c:v>
                </c:pt>
                <c:pt idx="86">
                  <c:v>43062</c:v>
                </c:pt>
                <c:pt idx="87">
                  <c:v>43063</c:v>
                </c:pt>
                <c:pt idx="88">
                  <c:v>43066</c:v>
                </c:pt>
                <c:pt idx="89">
                  <c:v>43067</c:v>
                </c:pt>
                <c:pt idx="90">
                  <c:v>43068</c:v>
                </c:pt>
                <c:pt idx="91">
                  <c:v>43069</c:v>
                </c:pt>
                <c:pt idx="92">
                  <c:v>43070</c:v>
                </c:pt>
                <c:pt idx="93">
                  <c:v>43073</c:v>
                </c:pt>
                <c:pt idx="94">
                  <c:v>43074</c:v>
                </c:pt>
                <c:pt idx="95">
                  <c:v>43075</c:v>
                </c:pt>
                <c:pt idx="96">
                  <c:v>43076</c:v>
                </c:pt>
                <c:pt idx="97">
                  <c:v>43077</c:v>
                </c:pt>
                <c:pt idx="98">
                  <c:v>43080</c:v>
                </c:pt>
                <c:pt idx="99">
                  <c:v>43081</c:v>
                </c:pt>
                <c:pt idx="100">
                  <c:v>43082</c:v>
                </c:pt>
                <c:pt idx="101">
                  <c:v>43083</c:v>
                </c:pt>
                <c:pt idx="102">
                  <c:v>43084</c:v>
                </c:pt>
                <c:pt idx="103">
                  <c:v>43087</c:v>
                </c:pt>
                <c:pt idx="104">
                  <c:v>43088</c:v>
                </c:pt>
                <c:pt idx="105">
                  <c:v>43089</c:v>
                </c:pt>
                <c:pt idx="106">
                  <c:v>43090</c:v>
                </c:pt>
                <c:pt idx="107">
                  <c:v>43091</c:v>
                </c:pt>
                <c:pt idx="108">
                  <c:v>43095</c:v>
                </c:pt>
                <c:pt idx="109">
                  <c:v>43096</c:v>
                </c:pt>
                <c:pt idx="110">
                  <c:v>43097</c:v>
                </c:pt>
                <c:pt idx="111">
                  <c:v>43102</c:v>
                </c:pt>
                <c:pt idx="112">
                  <c:v>43103</c:v>
                </c:pt>
                <c:pt idx="113">
                  <c:v>43104</c:v>
                </c:pt>
                <c:pt idx="114">
                  <c:v>43105</c:v>
                </c:pt>
                <c:pt idx="115">
                  <c:v>43108</c:v>
                </c:pt>
                <c:pt idx="116">
                  <c:v>43109</c:v>
                </c:pt>
                <c:pt idx="117">
                  <c:v>43110</c:v>
                </c:pt>
                <c:pt idx="118">
                  <c:v>43111</c:v>
                </c:pt>
                <c:pt idx="119">
                  <c:v>43112</c:v>
                </c:pt>
                <c:pt idx="120">
                  <c:v>43115</c:v>
                </c:pt>
                <c:pt idx="121">
                  <c:v>43116</c:v>
                </c:pt>
                <c:pt idx="122">
                  <c:v>43117</c:v>
                </c:pt>
                <c:pt idx="123">
                  <c:v>43118</c:v>
                </c:pt>
                <c:pt idx="124">
                  <c:v>43119</c:v>
                </c:pt>
                <c:pt idx="125">
                  <c:v>43122</c:v>
                </c:pt>
                <c:pt idx="126">
                  <c:v>43123</c:v>
                </c:pt>
                <c:pt idx="127">
                  <c:v>43124</c:v>
                </c:pt>
                <c:pt idx="128">
                  <c:v>43125</c:v>
                </c:pt>
                <c:pt idx="129">
                  <c:v>43126</c:v>
                </c:pt>
                <c:pt idx="130">
                  <c:v>43129</c:v>
                </c:pt>
                <c:pt idx="131">
                  <c:v>43130</c:v>
                </c:pt>
                <c:pt idx="132">
                  <c:v>43131</c:v>
                </c:pt>
                <c:pt idx="133">
                  <c:v>43132</c:v>
                </c:pt>
                <c:pt idx="134">
                  <c:v>43133</c:v>
                </c:pt>
                <c:pt idx="135">
                  <c:v>43136</c:v>
                </c:pt>
                <c:pt idx="136">
                  <c:v>43137</c:v>
                </c:pt>
                <c:pt idx="137">
                  <c:v>43138</c:v>
                </c:pt>
                <c:pt idx="138">
                  <c:v>43139</c:v>
                </c:pt>
                <c:pt idx="139">
                  <c:v>43140</c:v>
                </c:pt>
                <c:pt idx="140">
                  <c:v>43143</c:v>
                </c:pt>
                <c:pt idx="141">
                  <c:v>43144</c:v>
                </c:pt>
                <c:pt idx="142">
                  <c:v>43145</c:v>
                </c:pt>
                <c:pt idx="143">
                  <c:v>43150</c:v>
                </c:pt>
                <c:pt idx="144">
                  <c:v>43151</c:v>
                </c:pt>
                <c:pt idx="145">
                  <c:v>43152</c:v>
                </c:pt>
                <c:pt idx="146">
                  <c:v>43153</c:v>
                </c:pt>
                <c:pt idx="147">
                  <c:v>43154</c:v>
                </c:pt>
                <c:pt idx="148">
                  <c:v>43157</c:v>
                </c:pt>
                <c:pt idx="149">
                  <c:v>43158</c:v>
                </c:pt>
                <c:pt idx="150">
                  <c:v>43159</c:v>
                </c:pt>
                <c:pt idx="151">
                  <c:v>43161</c:v>
                </c:pt>
                <c:pt idx="152">
                  <c:v>43164</c:v>
                </c:pt>
                <c:pt idx="153">
                  <c:v>43165</c:v>
                </c:pt>
                <c:pt idx="154">
                  <c:v>43166</c:v>
                </c:pt>
                <c:pt idx="155">
                  <c:v>43167</c:v>
                </c:pt>
                <c:pt idx="156">
                  <c:v>43168</c:v>
                </c:pt>
                <c:pt idx="157">
                  <c:v>43171</c:v>
                </c:pt>
                <c:pt idx="158">
                  <c:v>43172</c:v>
                </c:pt>
                <c:pt idx="159">
                  <c:v>43173</c:v>
                </c:pt>
                <c:pt idx="160">
                  <c:v>43174</c:v>
                </c:pt>
                <c:pt idx="161">
                  <c:v>43175</c:v>
                </c:pt>
                <c:pt idx="162">
                  <c:v>43178</c:v>
                </c:pt>
                <c:pt idx="163">
                  <c:v>43179</c:v>
                </c:pt>
                <c:pt idx="164">
                  <c:v>43180</c:v>
                </c:pt>
                <c:pt idx="165">
                  <c:v>43181</c:v>
                </c:pt>
                <c:pt idx="166">
                  <c:v>43182</c:v>
                </c:pt>
                <c:pt idx="167">
                  <c:v>43185</c:v>
                </c:pt>
                <c:pt idx="168">
                  <c:v>43186</c:v>
                </c:pt>
                <c:pt idx="169">
                  <c:v>43187</c:v>
                </c:pt>
                <c:pt idx="170">
                  <c:v>43188</c:v>
                </c:pt>
                <c:pt idx="171">
                  <c:v>43189</c:v>
                </c:pt>
                <c:pt idx="172">
                  <c:v>43192</c:v>
                </c:pt>
                <c:pt idx="173">
                  <c:v>43193</c:v>
                </c:pt>
                <c:pt idx="174">
                  <c:v>43194</c:v>
                </c:pt>
                <c:pt idx="175">
                  <c:v>43195</c:v>
                </c:pt>
                <c:pt idx="176">
                  <c:v>43196</c:v>
                </c:pt>
                <c:pt idx="177">
                  <c:v>43199</c:v>
                </c:pt>
                <c:pt idx="178">
                  <c:v>43200</c:v>
                </c:pt>
                <c:pt idx="179">
                  <c:v>43201</c:v>
                </c:pt>
                <c:pt idx="180">
                  <c:v>43202</c:v>
                </c:pt>
                <c:pt idx="181">
                  <c:v>43203</c:v>
                </c:pt>
                <c:pt idx="182">
                  <c:v>43206</c:v>
                </c:pt>
                <c:pt idx="183">
                  <c:v>43207</c:v>
                </c:pt>
                <c:pt idx="184">
                  <c:v>43208</c:v>
                </c:pt>
                <c:pt idx="185">
                  <c:v>43209</c:v>
                </c:pt>
                <c:pt idx="186">
                  <c:v>43210</c:v>
                </c:pt>
                <c:pt idx="187">
                  <c:v>43213</c:v>
                </c:pt>
                <c:pt idx="188">
                  <c:v>43214</c:v>
                </c:pt>
                <c:pt idx="189">
                  <c:v>43215</c:v>
                </c:pt>
                <c:pt idx="190">
                  <c:v>43216</c:v>
                </c:pt>
                <c:pt idx="191">
                  <c:v>43217</c:v>
                </c:pt>
                <c:pt idx="192">
                  <c:v>43220</c:v>
                </c:pt>
                <c:pt idx="193">
                  <c:v>43222</c:v>
                </c:pt>
                <c:pt idx="194">
                  <c:v>43223</c:v>
                </c:pt>
                <c:pt idx="195">
                  <c:v>43224</c:v>
                </c:pt>
              </c:numCache>
            </c:numRef>
          </c:cat>
          <c:val>
            <c:numRef>
              <c:f>'5_1_100_0.001_200_1_2018-07-022'!$G$2:$G$197</c:f>
              <c:numCache>
                <c:formatCode>General</c:formatCode>
                <c:ptCount val="196"/>
                <c:pt idx="0">
                  <c:v>312.06026717376335</c:v>
                </c:pt>
                <c:pt idx="1">
                  <c:v>314.94262355095151</c:v>
                </c:pt>
                <c:pt idx="2">
                  <c:v>317.94593603312967</c:v>
                </c:pt>
                <c:pt idx="3">
                  <c:v>318.0016868678257</c:v>
                </c:pt>
                <c:pt idx="4">
                  <c:v>315.2324416649044</c:v>
                </c:pt>
                <c:pt idx="5">
                  <c:v>315.83601997876167</c:v>
                </c:pt>
                <c:pt idx="6">
                  <c:v>315.15854852199556</c:v>
                </c:pt>
                <c:pt idx="7">
                  <c:v>317.27429714506866</c:v>
                </c:pt>
                <c:pt idx="8">
                  <c:v>313.7143432623148</c:v>
                </c:pt>
                <c:pt idx="9">
                  <c:v>317.95397627562284</c:v>
                </c:pt>
                <c:pt idx="10">
                  <c:v>319.55773190498348</c:v>
                </c:pt>
                <c:pt idx="11">
                  <c:v>320.73731150095165</c:v>
                </c:pt>
                <c:pt idx="12">
                  <c:v>319.99234310055527</c:v>
                </c:pt>
                <c:pt idx="13">
                  <c:v>319.83231539815665</c:v>
                </c:pt>
                <c:pt idx="14">
                  <c:v>315.68783055663107</c:v>
                </c:pt>
                <c:pt idx="15">
                  <c:v>315.27914272691311</c:v>
                </c:pt>
                <c:pt idx="16">
                  <c:v>319.54929204082487</c:v>
                </c:pt>
                <c:pt idx="17">
                  <c:v>315.24612223362925</c:v>
                </c:pt>
                <c:pt idx="18">
                  <c:v>318.37778554344175</c:v>
                </c:pt>
                <c:pt idx="19">
                  <c:v>319.23978044748304</c:v>
                </c:pt>
                <c:pt idx="20">
                  <c:v>323.4684263666868</c:v>
                </c:pt>
                <c:pt idx="21">
                  <c:v>323.9165519380569</c:v>
                </c:pt>
                <c:pt idx="22">
                  <c:v>317.27641902685167</c:v>
                </c:pt>
                <c:pt idx="23">
                  <c:v>315.5945093364715</c:v>
                </c:pt>
                <c:pt idx="24">
                  <c:v>309.84765493476391</c:v>
                </c:pt>
                <c:pt idx="25">
                  <c:v>310.79401839345689</c:v>
                </c:pt>
                <c:pt idx="26">
                  <c:v>314.89860626792904</c:v>
                </c:pt>
                <c:pt idx="27">
                  <c:v>312.89186480003593</c:v>
                </c:pt>
                <c:pt idx="28">
                  <c:v>311.62589205288884</c:v>
                </c:pt>
                <c:pt idx="29">
                  <c:v>309.99514075899123</c:v>
                </c:pt>
                <c:pt idx="30">
                  <c:v>313.90515015858415</c:v>
                </c:pt>
                <c:pt idx="31">
                  <c:v>312.39665662050248</c:v>
                </c:pt>
                <c:pt idx="32">
                  <c:v>314.09104310721159</c:v>
                </c:pt>
                <c:pt idx="33">
                  <c:v>315.2215896184444</c:v>
                </c:pt>
                <c:pt idx="34">
                  <c:v>314.21664216393236</c:v>
                </c:pt>
                <c:pt idx="35">
                  <c:v>312.80565470087527</c:v>
                </c:pt>
                <c:pt idx="36">
                  <c:v>313.30219778954978</c:v>
                </c:pt>
                <c:pt idx="37">
                  <c:v>311.34817995786671</c:v>
                </c:pt>
                <c:pt idx="38">
                  <c:v>309.64444271510837</c:v>
                </c:pt>
                <c:pt idx="39">
                  <c:v>308.24600111818313</c:v>
                </c:pt>
                <c:pt idx="40">
                  <c:v>306.83530927649144</c:v>
                </c:pt>
                <c:pt idx="41">
                  <c:v>308.87942853051419</c:v>
                </c:pt>
                <c:pt idx="42">
                  <c:v>309.28860316506029</c:v>
                </c:pt>
                <c:pt idx="43">
                  <c:v>309.74917435038088</c:v>
                </c:pt>
                <c:pt idx="44">
                  <c:v>310.7445057530403</c:v>
                </c:pt>
                <c:pt idx="45">
                  <c:v>310.2932703974443</c:v>
                </c:pt>
                <c:pt idx="46">
                  <c:v>308.42502866128086</c:v>
                </c:pt>
                <c:pt idx="47">
                  <c:v>313.19958447432515</c:v>
                </c:pt>
                <c:pt idx="48">
                  <c:v>310.61872583517436</c:v>
                </c:pt>
                <c:pt idx="49">
                  <c:v>316.29808292198186</c:v>
                </c:pt>
                <c:pt idx="50">
                  <c:v>317.34432010057566</c:v>
                </c:pt>
                <c:pt idx="51">
                  <c:v>317.63908977386353</c:v>
                </c:pt>
                <c:pt idx="52">
                  <c:v>318.01145595467091</c:v>
                </c:pt>
                <c:pt idx="53">
                  <c:v>318.65328038358683</c:v>
                </c:pt>
                <c:pt idx="54">
                  <c:v>316.79845955836771</c:v>
                </c:pt>
                <c:pt idx="55">
                  <c:v>316.32112443321944</c:v>
                </c:pt>
                <c:pt idx="56">
                  <c:v>314.73592181655766</c:v>
                </c:pt>
                <c:pt idx="57">
                  <c:v>317.87368874341246</c:v>
                </c:pt>
                <c:pt idx="58">
                  <c:v>321.54144026219842</c:v>
                </c:pt>
                <c:pt idx="59">
                  <c:v>326.2384141327143</c:v>
                </c:pt>
                <c:pt idx="60">
                  <c:v>324.59608740922806</c:v>
                </c:pt>
                <c:pt idx="61">
                  <c:v>324.03391836690906</c:v>
                </c:pt>
                <c:pt idx="62">
                  <c:v>325.15144164068994</c:v>
                </c:pt>
                <c:pt idx="63">
                  <c:v>328.1648759939074</c:v>
                </c:pt>
                <c:pt idx="64">
                  <c:v>329.40181709372996</c:v>
                </c:pt>
                <c:pt idx="65">
                  <c:v>330.46098253726956</c:v>
                </c:pt>
                <c:pt idx="66">
                  <c:v>326.7888542187959</c:v>
                </c:pt>
                <c:pt idx="67">
                  <c:v>328.9818961495161</c:v>
                </c:pt>
                <c:pt idx="68">
                  <c:v>331.92968196344373</c:v>
                </c:pt>
                <c:pt idx="69">
                  <c:v>333.40782413792607</c:v>
                </c:pt>
                <c:pt idx="70">
                  <c:v>328.95354465427994</c:v>
                </c:pt>
                <c:pt idx="71">
                  <c:v>323.58571760228273</c:v>
                </c:pt>
                <c:pt idx="72">
                  <c:v>329.80625106334685</c:v>
                </c:pt>
                <c:pt idx="73">
                  <c:v>328.44596407382193</c:v>
                </c:pt>
                <c:pt idx="74">
                  <c:v>333.57392909687758</c:v>
                </c:pt>
                <c:pt idx="75">
                  <c:v>340.30793352782723</c:v>
                </c:pt>
                <c:pt idx="76">
                  <c:v>334.63024966663119</c:v>
                </c:pt>
                <c:pt idx="77">
                  <c:v>333.26796139776707</c:v>
                </c:pt>
                <c:pt idx="78">
                  <c:v>334.59671550591293</c:v>
                </c:pt>
                <c:pt idx="79">
                  <c:v>333.58236302494998</c:v>
                </c:pt>
                <c:pt idx="80">
                  <c:v>337.59032164800163</c:v>
                </c:pt>
                <c:pt idx="81">
                  <c:v>334.43244945529102</c:v>
                </c:pt>
                <c:pt idx="82">
                  <c:v>328.84532509249453</c:v>
                </c:pt>
                <c:pt idx="83">
                  <c:v>332.95662401904167</c:v>
                </c:pt>
                <c:pt idx="84">
                  <c:v>333.36714981327953</c:v>
                </c:pt>
                <c:pt idx="85">
                  <c:v>328.68438956540825</c:v>
                </c:pt>
                <c:pt idx="86">
                  <c:v>332.52798347776661</c:v>
                </c:pt>
                <c:pt idx="87">
                  <c:v>338.39089304745198</c:v>
                </c:pt>
                <c:pt idx="88">
                  <c:v>334.9688740847111</c:v>
                </c:pt>
                <c:pt idx="89">
                  <c:v>332.37850302934646</c:v>
                </c:pt>
                <c:pt idx="90">
                  <c:v>333.43141451486201</c:v>
                </c:pt>
                <c:pt idx="91">
                  <c:v>333.95244249027968</c:v>
                </c:pt>
                <c:pt idx="92">
                  <c:v>334.20108284655208</c:v>
                </c:pt>
                <c:pt idx="93">
                  <c:v>333.86148755061629</c:v>
                </c:pt>
                <c:pt idx="94">
                  <c:v>331.4775025650859</c:v>
                </c:pt>
                <c:pt idx="95">
                  <c:v>332.54946292698384</c:v>
                </c:pt>
                <c:pt idx="96">
                  <c:v>329.13617933678626</c:v>
                </c:pt>
                <c:pt idx="97">
                  <c:v>329.60451238632203</c:v>
                </c:pt>
                <c:pt idx="98">
                  <c:v>326.42077734130248</c:v>
                </c:pt>
                <c:pt idx="99">
                  <c:v>327.13676155541094</c:v>
                </c:pt>
                <c:pt idx="100">
                  <c:v>329.26485827064511</c:v>
                </c:pt>
                <c:pt idx="101">
                  <c:v>327.06152830702069</c:v>
                </c:pt>
                <c:pt idx="102">
                  <c:v>324.49423454111815</c:v>
                </c:pt>
                <c:pt idx="103">
                  <c:v>327.24400990784164</c:v>
                </c:pt>
                <c:pt idx="104">
                  <c:v>325.54241406440735</c:v>
                </c:pt>
                <c:pt idx="105">
                  <c:v>324.54833474457263</c:v>
                </c:pt>
                <c:pt idx="106">
                  <c:v>328.15456117761136</c:v>
                </c:pt>
                <c:pt idx="107">
                  <c:v>326.53862991762156</c:v>
                </c:pt>
                <c:pt idx="108">
                  <c:v>328.38107388269901</c:v>
                </c:pt>
                <c:pt idx="109">
                  <c:v>327.9538958221674</c:v>
                </c:pt>
                <c:pt idx="110">
                  <c:v>326.17099099090694</c:v>
                </c:pt>
                <c:pt idx="111">
                  <c:v>328.44307577133173</c:v>
                </c:pt>
                <c:pt idx="112">
                  <c:v>326.49706291401384</c:v>
                </c:pt>
                <c:pt idx="113">
                  <c:v>321.23276639807227</c:v>
                </c:pt>
                <c:pt idx="114">
                  <c:v>329.58931022858621</c:v>
                </c:pt>
                <c:pt idx="115">
                  <c:v>327.09660684546827</c:v>
                </c:pt>
                <c:pt idx="116">
                  <c:v>327.84249636407566</c:v>
                </c:pt>
                <c:pt idx="117">
                  <c:v>324.25376563256981</c:v>
                </c:pt>
                <c:pt idx="118">
                  <c:v>326.59480522301044</c:v>
                </c:pt>
                <c:pt idx="119">
                  <c:v>328.65612573385243</c:v>
                </c:pt>
                <c:pt idx="120">
                  <c:v>329.58266918992996</c:v>
                </c:pt>
                <c:pt idx="121">
                  <c:v>329.56419353723527</c:v>
                </c:pt>
                <c:pt idx="122">
                  <c:v>333.73472458839416</c:v>
                </c:pt>
                <c:pt idx="123">
                  <c:v>334.73264369273181</c:v>
                </c:pt>
                <c:pt idx="124">
                  <c:v>329.95424544811249</c:v>
                </c:pt>
                <c:pt idx="125">
                  <c:v>332.53040728724</c:v>
                </c:pt>
                <c:pt idx="126">
                  <c:v>334.93398025524613</c:v>
                </c:pt>
                <c:pt idx="127">
                  <c:v>336.0618427720666</c:v>
                </c:pt>
                <c:pt idx="128">
                  <c:v>336.13197919994593</c:v>
                </c:pt>
                <c:pt idx="129">
                  <c:v>333.52072116941213</c:v>
                </c:pt>
                <c:pt idx="130">
                  <c:v>330.65940720665452</c:v>
                </c:pt>
                <c:pt idx="131">
                  <c:v>334.02810740518566</c:v>
                </c:pt>
                <c:pt idx="132">
                  <c:v>334.19119484163821</c:v>
                </c:pt>
                <c:pt idx="133">
                  <c:v>334.4314364941269</c:v>
                </c:pt>
                <c:pt idx="134">
                  <c:v>332.47778216516974</c:v>
                </c:pt>
                <c:pt idx="135">
                  <c:v>329.81529110527038</c:v>
                </c:pt>
                <c:pt idx="136">
                  <c:v>334.58234525997938</c:v>
                </c:pt>
                <c:pt idx="137">
                  <c:v>338.13043802952768</c:v>
                </c:pt>
                <c:pt idx="138">
                  <c:v>337.17646908617019</c:v>
                </c:pt>
                <c:pt idx="139">
                  <c:v>332.42959856289622</c:v>
                </c:pt>
                <c:pt idx="140">
                  <c:v>329.97631034785502</c:v>
                </c:pt>
                <c:pt idx="141">
                  <c:v>329.14645209884645</c:v>
                </c:pt>
                <c:pt idx="142">
                  <c:v>319.37178798758981</c:v>
                </c:pt>
                <c:pt idx="143">
                  <c:v>319.99256408321855</c:v>
                </c:pt>
                <c:pt idx="144">
                  <c:v>311.68607676029205</c:v>
                </c:pt>
                <c:pt idx="145">
                  <c:v>311.30295818179843</c:v>
                </c:pt>
                <c:pt idx="146">
                  <c:v>313.97808976089954</c:v>
                </c:pt>
                <c:pt idx="147">
                  <c:v>316.45505537854132</c:v>
                </c:pt>
                <c:pt idx="148">
                  <c:v>320.20245362305639</c:v>
                </c:pt>
                <c:pt idx="149">
                  <c:v>320.97532978975767</c:v>
                </c:pt>
                <c:pt idx="150">
                  <c:v>319.90819997596736</c:v>
                </c:pt>
                <c:pt idx="151">
                  <c:v>320.3071292591095</c:v>
                </c:pt>
                <c:pt idx="152">
                  <c:v>320.21450730711223</c:v>
                </c:pt>
                <c:pt idx="153">
                  <c:v>320.55299234554172</c:v>
                </c:pt>
                <c:pt idx="154">
                  <c:v>318.64603758662935</c:v>
                </c:pt>
                <c:pt idx="155">
                  <c:v>320.64796168518063</c:v>
                </c:pt>
                <c:pt idx="156">
                  <c:v>312.21495835715535</c:v>
                </c:pt>
                <c:pt idx="157">
                  <c:v>312.88012120723721</c:v>
                </c:pt>
                <c:pt idx="158">
                  <c:v>313.87559602373835</c:v>
                </c:pt>
                <c:pt idx="159">
                  <c:v>317.60789753532407</c:v>
                </c:pt>
                <c:pt idx="160">
                  <c:v>317.92929990291594</c:v>
                </c:pt>
                <c:pt idx="161">
                  <c:v>321.03442325934765</c:v>
                </c:pt>
                <c:pt idx="162">
                  <c:v>319.50229363366964</c:v>
                </c:pt>
                <c:pt idx="163">
                  <c:v>323.15650113985686</c:v>
                </c:pt>
                <c:pt idx="164">
                  <c:v>317.03692661297322</c:v>
                </c:pt>
                <c:pt idx="165">
                  <c:v>324.71395663440228</c:v>
                </c:pt>
                <c:pt idx="166">
                  <c:v>325.48559554305672</c:v>
                </c:pt>
                <c:pt idx="167">
                  <c:v>320.79874616704882</c:v>
                </c:pt>
                <c:pt idx="168">
                  <c:v>323.74202794571221</c:v>
                </c:pt>
                <c:pt idx="169">
                  <c:v>325.47954954296353</c:v>
                </c:pt>
                <c:pt idx="170">
                  <c:v>321.68896180339158</c:v>
                </c:pt>
                <c:pt idx="171">
                  <c:v>317.36590999084706</c:v>
                </c:pt>
                <c:pt idx="172">
                  <c:v>318.94910904842612</c:v>
                </c:pt>
                <c:pt idx="173">
                  <c:v>316.56846936575323</c:v>
                </c:pt>
                <c:pt idx="174">
                  <c:v>316.44958195042608</c:v>
                </c:pt>
                <c:pt idx="175">
                  <c:v>319.13394047784806</c:v>
                </c:pt>
                <c:pt idx="176">
                  <c:v>316.70526753592492</c:v>
                </c:pt>
                <c:pt idx="177">
                  <c:v>317.36169977378847</c:v>
                </c:pt>
                <c:pt idx="178">
                  <c:v>316.06375788393615</c:v>
                </c:pt>
                <c:pt idx="179">
                  <c:v>315.18878199434278</c:v>
                </c:pt>
                <c:pt idx="180">
                  <c:v>317.955120942235</c:v>
                </c:pt>
                <c:pt idx="181">
                  <c:v>315.61539186912773</c:v>
                </c:pt>
                <c:pt idx="182">
                  <c:v>315.74209597992899</c:v>
                </c:pt>
                <c:pt idx="183">
                  <c:v>313.95297859042887</c:v>
                </c:pt>
                <c:pt idx="184">
                  <c:v>320.97138142395022</c:v>
                </c:pt>
                <c:pt idx="185">
                  <c:v>314.74885934418438</c:v>
                </c:pt>
                <c:pt idx="186">
                  <c:v>314.96074112033847</c:v>
                </c:pt>
                <c:pt idx="187">
                  <c:v>316.35504132302106</c:v>
                </c:pt>
                <c:pt idx="188">
                  <c:v>315.83939582253623</c:v>
                </c:pt>
                <c:pt idx="189">
                  <c:v>320.88963744789362</c:v>
                </c:pt>
                <c:pt idx="190">
                  <c:v>317.0795002890527</c:v>
                </c:pt>
                <c:pt idx="191">
                  <c:v>317.0079496150762</c:v>
                </c:pt>
                <c:pt idx="192">
                  <c:v>318.64501651426775</c:v>
                </c:pt>
                <c:pt idx="193">
                  <c:v>318.09772923231122</c:v>
                </c:pt>
                <c:pt idx="194">
                  <c:v>321.00797899317746</c:v>
                </c:pt>
                <c:pt idx="195">
                  <c:v>325.65935664510727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'5_1_100_0.001_200_1_2018-07-022'!$H$1</c:f>
              <c:strCache>
                <c:ptCount val="1"/>
                <c:pt idx="0">
                  <c:v>실재지수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'5_1_100_0.001_200_1_2018-07-022'!$F$2:$F$197</c:f>
              <c:numCache>
                <c:formatCode>m/d/yyyy</c:formatCode>
                <c:ptCount val="196"/>
                <c:pt idx="0">
                  <c:v>42933</c:v>
                </c:pt>
                <c:pt idx="1">
                  <c:v>42934</c:v>
                </c:pt>
                <c:pt idx="2">
                  <c:v>42935</c:v>
                </c:pt>
                <c:pt idx="3">
                  <c:v>42936</c:v>
                </c:pt>
                <c:pt idx="4">
                  <c:v>42937</c:v>
                </c:pt>
                <c:pt idx="5">
                  <c:v>42940</c:v>
                </c:pt>
                <c:pt idx="6">
                  <c:v>42941</c:v>
                </c:pt>
                <c:pt idx="7">
                  <c:v>42942</c:v>
                </c:pt>
                <c:pt idx="8">
                  <c:v>42943</c:v>
                </c:pt>
                <c:pt idx="9">
                  <c:v>42944</c:v>
                </c:pt>
                <c:pt idx="10">
                  <c:v>42947</c:v>
                </c:pt>
                <c:pt idx="11">
                  <c:v>42948</c:v>
                </c:pt>
                <c:pt idx="12">
                  <c:v>42949</c:v>
                </c:pt>
                <c:pt idx="13">
                  <c:v>42950</c:v>
                </c:pt>
                <c:pt idx="14">
                  <c:v>42951</c:v>
                </c:pt>
                <c:pt idx="15">
                  <c:v>42954</c:v>
                </c:pt>
                <c:pt idx="16">
                  <c:v>42955</c:v>
                </c:pt>
                <c:pt idx="17">
                  <c:v>42956</c:v>
                </c:pt>
                <c:pt idx="18">
                  <c:v>42957</c:v>
                </c:pt>
                <c:pt idx="19">
                  <c:v>42958</c:v>
                </c:pt>
                <c:pt idx="20">
                  <c:v>42961</c:v>
                </c:pt>
                <c:pt idx="21">
                  <c:v>42963</c:v>
                </c:pt>
                <c:pt idx="22">
                  <c:v>42964</c:v>
                </c:pt>
                <c:pt idx="23">
                  <c:v>42965</c:v>
                </c:pt>
                <c:pt idx="24">
                  <c:v>42968</c:v>
                </c:pt>
                <c:pt idx="25">
                  <c:v>42969</c:v>
                </c:pt>
                <c:pt idx="26">
                  <c:v>42970</c:v>
                </c:pt>
                <c:pt idx="27">
                  <c:v>42971</c:v>
                </c:pt>
                <c:pt idx="28">
                  <c:v>42972</c:v>
                </c:pt>
                <c:pt idx="29">
                  <c:v>42975</c:v>
                </c:pt>
                <c:pt idx="30">
                  <c:v>42976</c:v>
                </c:pt>
                <c:pt idx="31">
                  <c:v>42977</c:v>
                </c:pt>
                <c:pt idx="32">
                  <c:v>42978</c:v>
                </c:pt>
                <c:pt idx="33">
                  <c:v>42979</c:v>
                </c:pt>
                <c:pt idx="34">
                  <c:v>42982</c:v>
                </c:pt>
                <c:pt idx="35">
                  <c:v>42983</c:v>
                </c:pt>
                <c:pt idx="36">
                  <c:v>42984</c:v>
                </c:pt>
                <c:pt idx="37">
                  <c:v>42985</c:v>
                </c:pt>
                <c:pt idx="38">
                  <c:v>42986</c:v>
                </c:pt>
                <c:pt idx="39">
                  <c:v>42989</c:v>
                </c:pt>
                <c:pt idx="40">
                  <c:v>42990</c:v>
                </c:pt>
                <c:pt idx="41">
                  <c:v>42991</c:v>
                </c:pt>
                <c:pt idx="42">
                  <c:v>42992</c:v>
                </c:pt>
                <c:pt idx="43">
                  <c:v>42993</c:v>
                </c:pt>
                <c:pt idx="44">
                  <c:v>42996</c:v>
                </c:pt>
                <c:pt idx="45">
                  <c:v>42997</c:v>
                </c:pt>
                <c:pt idx="46">
                  <c:v>42998</c:v>
                </c:pt>
                <c:pt idx="47">
                  <c:v>42999</c:v>
                </c:pt>
                <c:pt idx="48">
                  <c:v>43000</c:v>
                </c:pt>
                <c:pt idx="49">
                  <c:v>43003</c:v>
                </c:pt>
                <c:pt idx="50">
                  <c:v>43004</c:v>
                </c:pt>
                <c:pt idx="51">
                  <c:v>43005</c:v>
                </c:pt>
                <c:pt idx="52">
                  <c:v>43006</c:v>
                </c:pt>
                <c:pt idx="53">
                  <c:v>43007</c:v>
                </c:pt>
                <c:pt idx="54">
                  <c:v>43018</c:v>
                </c:pt>
                <c:pt idx="55">
                  <c:v>43019</c:v>
                </c:pt>
                <c:pt idx="56">
                  <c:v>43020</c:v>
                </c:pt>
                <c:pt idx="57">
                  <c:v>43021</c:v>
                </c:pt>
                <c:pt idx="58">
                  <c:v>43024</c:v>
                </c:pt>
                <c:pt idx="59">
                  <c:v>43025</c:v>
                </c:pt>
                <c:pt idx="60">
                  <c:v>43026</c:v>
                </c:pt>
                <c:pt idx="61">
                  <c:v>43027</c:v>
                </c:pt>
                <c:pt idx="62">
                  <c:v>43028</c:v>
                </c:pt>
                <c:pt idx="63">
                  <c:v>43031</c:v>
                </c:pt>
                <c:pt idx="64">
                  <c:v>43032</c:v>
                </c:pt>
                <c:pt idx="65">
                  <c:v>43033</c:v>
                </c:pt>
                <c:pt idx="66">
                  <c:v>43034</c:v>
                </c:pt>
                <c:pt idx="67">
                  <c:v>43035</c:v>
                </c:pt>
                <c:pt idx="68">
                  <c:v>43038</c:v>
                </c:pt>
                <c:pt idx="69">
                  <c:v>43039</c:v>
                </c:pt>
                <c:pt idx="70">
                  <c:v>43040</c:v>
                </c:pt>
                <c:pt idx="71">
                  <c:v>43041</c:v>
                </c:pt>
                <c:pt idx="72">
                  <c:v>43042</c:v>
                </c:pt>
                <c:pt idx="73">
                  <c:v>43045</c:v>
                </c:pt>
                <c:pt idx="74">
                  <c:v>43046</c:v>
                </c:pt>
                <c:pt idx="75">
                  <c:v>43047</c:v>
                </c:pt>
                <c:pt idx="76">
                  <c:v>43048</c:v>
                </c:pt>
                <c:pt idx="77">
                  <c:v>43049</c:v>
                </c:pt>
                <c:pt idx="78">
                  <c:v>43052</c:v>
                </c:pt>
                <c:pt idx="79">
                  <c:v>43053</c:v>
                </c:pt>
                <c:pt idx="80">
                  <c:v>43054</c:v>
                </c:pt>
                <c:pt idx="81">
                  <c:v>43055</c:v>
                </c:pt>
                <c:pt idx="82">
                  <c:v>43056</c:v>
                </c:pt>
                <c:pt idx="83">
                  <c:v>43059</c:v>
                </c:pt>
                <c:pt idx="84">
                  <c:v>43060</c:v>
                </c:pt>
                <c:pt idx="85">
                  <c:v>43061</c:v>
                </c:pt>
                <c:pt idx="86">
                  <c:v>43062</c:v>
                </c:pt>
                <c:pt idx="87">
                  <c:v>43063</c:v>
                </c:pt>
                <c:pt idx="88">
                  <c:v>43066</c:v>
                </c:pt>
                <c:pt idx="89">
                  <c:v>43067</c:v>
                </c:pt>
                <c:pt idx="90">
                  <c:v>43068</c:v>
                </c:pt>
                <c:pt idx="91">
                  <c:v>43069</c:v>
                </c:pt>
                <c:pt idx="92">
                  <c:v>43070</c:v>
                </c:pt>
                <c:pt idx="93">
                  <c:v>43073</c:v>
                </c:pt>
                <c:pt idx="94">
                  <c:v>43074</c:v>
                </c:pt>
                <c:pt idx="95">
                  <c:v>43075</c:v>
                </c:pt>
                <c:pt idx="96">
                  <c:v>43076</c:v>
                </c:pt>
                <c:pt idx="97">
                  <c:v>43077</c:v>
                </c:pt>
                <c:pt idx="98">
                  <c:v>43080</c:v>
                </c:pt>
                <c:pt idx="99">
                  <c:v>43081</c:v>
                </c:pt>
                <c:pt idx="100">
                  <c:v>43082</c:v>
                </c:pt>
                <c:pt idx="101">
                  <c:v>43083</c:v>
                </c:pt>
                <c:pt idx="102">
                  <c:v>43084</c:v>
                </c:pt>
                <c:pt idx="103">
                  <c:v>43087</c:v>
                </c:pt>
                <c:pt idx="104">
                  <c:v>43088</c:v>
                </c:pt>
                <c:pt idx="105">
                  <c:v>43089</c:v>
                </c:pt>
                <c:pt idx="106">
                  <c:v>43090</c:v>
                </c:pt>
                <c:pt idx="107">
                  <c:v>43091</c:v>
                </c:pt>
                <c:pt idx="108">
                  <c:v>43095</c:v>
                </c:pt>
                <c:pt idx="109">
                  <c:v>43096</c:v>
                </c:pt>
                <c:pt idx="110">
                  <c:v>43097</c:v>
                </c:pt>
                <c:pt idx="111">
                  <c:v>43102</c:v>
                </c:pt>
                <c:pt idx="112">
                  <c:v>43103</c:v>
                </c:pt>
                <c:pt idx="113">
                  <c:v>43104</c:v>
                </c:pt>
                <c:pt idx="114">
                  <c:v>43105</c:v>
                </c:pt>
                <c:pt idx="115">
                  <c:v>43108</c:v>
                </c:pt>
                <c:pt idx="116">
                  <c:v>43109</c:v>
                </c:pt>
                <c:pt idx="117">
                  <c:v>43110</c:v>
                </c:pt>
                <c:pt idx="118">
                  <c:v>43111</c:v>
                </c:pt>
                <c:pt idx="119">
                  <c:v>43112</c:v>
                </c:pt>
                <c:pt idx="120">
                  <c:v>43115</c:v>
                </c:pt>
                <c:pt idx="121">
                  <c:v>43116</c:v>
                </c:pt>
                <c:pt idx="122">
                  <c:v>43117</c:v>
                </c:pt>
                <c:pt idx="123">
                  <c:v>43118</c:v>
                </c:pt>
                <c:pt idx="124">
                  <c:v>43119</c:v>
                </c:pt>
                <c:pt idx="125">
                  <c:v>43122</c:v>
                </c:pt>
                <c:pt idx="126">
                  <c:v>43123</c:v>
                </c:pt>
                <c:pt idx="127">
                  <c:v>43124</c:v>
                </c:pt>
                <c:pt idx="128">
                  <c:v>43125</c:v>
                </c:pt>
                <c:pt idx="129">
                  <c:v>43126</c:v>
                </c:pt>
                <c:pt idx="130">
                  <c:v>43129</c:v>
                </c:pt>
                <c:pt idx="131">
                  <c:v>43130</c:v>
                </c:pt>
                <c:pt idx="132">
                  <c:v>43131</c:v>
                </c:pt>
                <c:pt idx="133">
                  <c:v>43132</c:v>
                </c:pt>
                <c:pt idx="134">
                  <c:v>43133</c:v>
                </c:pt>
                <c:pt idx="135">
                  <c:v>43136</c:v>
                </c:pt>
                <c:pt idx="136">
                  <c:v>43137</c:v>
                </c:pt>
                <c:pt idx="137">
                  <c:v>43138</c:v>
                </c:pt>
                <c:pt idx="138">
                  <c:v>43139</c:v>
                </c:pt>
                <c:pt idx="139">
                  <c:v>43140</c:v>
                </c:pt>
                <c:pt idx="140">
                  <c:v>43143</c:v>
                </c:pt>
                <c:pt idx="141">
                  <c:v>43144</c:v>
                </c:pt>
                <c:pt idx="142">
                  <c:v>43145</c:v>
                </c:pt>
                <c:pt idx="143">
                  <c:v>43150</c:v>
                </c:pt>
                <c:pt idx="144">
                  <c:v>43151</c:v>
                </c:pt>
                <c:pt idx="145">
                  <c:v>43152</c:v>
                </c:pt>
                <c:pt idx="146">
                  <c:v>43153</c:v>
                </c:pt>
                <c:pt idx="147">
                  <c:v>43154</c:v>
                </c:pt>
                <c:pt idx="148">
                  <c:v>43157</c:v>
                </c:pt>
                <c:pt idx="149">
                  <c:v>43158</c:v>
                </c:pt>
                <c:pt idx="150">
                  <c:v>43159</c:v>
                </c:pt>
                <c:pt idx="151">
                  <c:v>43161</c:v>
                </c:pt>
                <c:pt idx="152">
                  <c:v>43164</c:v>
                </c:pt>
                <c:pt idx="153">
                  <c:v>43165</c:v>
                </c:pt>
                <c:pt idx="154">
                  <c:v>43166</c:v>
                </c:pt>
                <c:pt idx="155">
                  <c:v>43167</c:v>
                </c:pt>
                <c:pt idx="156">
                  <c:v>43168</c:v>
                </c:pt>
                <c:pt idx="157">
                  <c:v>43171</c:v>
                </c:pt>
                <c:pt idx="158">
                  <c:v>43172</c:v>
                </c:pt>
                <c:pt idx="159">
                  <c:v>43173</c:v>
                </c:pt>
                <c:pt idx="160">
                  <c:v>43174</c:v>
                </c:pt>
                <c:pt idx="161">
                  <c:v>43175</c:v>
                </c:pt>
                <c:pt idx="162">
                  <c:v>43178</c:v>
                </c:pt>
                <c:pt idx="163">
                  <c:v>43179</c:v>
                </c:pt>
                <c:pt idx="164">
                  <c:v>43180</c:v>
                </c:pt>
                <c:pt idx="165">
                  <c:v>43181</c:v>
                </c:pt>
                <c:pt idx="166">
                  <c:v>43182</c:v>
                </c:pt>
                <c:pt idx="167">
                  <c:v>43185</c:v>
                </c:pt>
                <c:pt idx="168">
                  <c:v>43186</c:v>
                </c:pt>
                <c:pt idx="169">
                  <c:v>43187</c:v>
                </c:pt>
                <c:pt idx="170">
                  <c:v>43188</c:v>
                </c:pt>
                <c:pt idx="171">
                  <c:v>43189</c:v>
                </c:pt>
                <c:pt idx="172">
                  <c:v>43192</c:v>
                </c:pt>
                <c:pt idx="173">
                  <c:v>43193</c:v>
                </c:pt>
                <c:pt idx="174">
                  <c:v>43194</c:v>
                </c:pt>
                <c:pt idx="175">
                  <c:v>43195</c:v>
                </c:pt>
                <c:pt idx="176">
                  <c:v>43196</c:v>
                </c:pt>
                <c:pt idx="177">
                  <c:v>43199</c:v>
                </c:pt>
                <c:pt idx="178">
                  <c:v>43200</c:v>
                </c:pt>
                <c:pt idx="179">
                  <c:v>43201</c:v>
                </c:pt>
                <c:pt idx="180">
                  <c:v>43202</c:v>
                </c:pt>
                <c:pt idx="181">
                  <c:v>43203</c:v>
                </c:pt>
                <c:pt idx="182">
                  <c:v>43206</c:v>
                </c:pt>
                <c:pt idx="183">
                  <c:v>43207</c:v>
                </c:pt>
                <c:pt idx="184">
                  <c:v>43208</c:v>
                </c:pt>
                <c:pt idx="185">
                  <c:v>43209</c:v>
                </c:pt>
                <c:pt idx="186">
                  <c:v>43210</c:v>
                </c:pt>
                <c:pt idx="187">
                  <c:v>43213</c:v>
                </c:pt>
                <c:pt idx="188">
                  <c:v>43214</c:v>
                </c:pt>
                <c:pt idx="189">
                  <c:v>43215</c:v>
                </c:pt>
                <c:pt idx="190">
                  <c:v>43216</c:v>
                </c:pt>
                <c:pt idx="191">
                  <c:v>43217</c:v>
                </c:pt>
                <c:pt idx="192">
                  <c:v>43220</c:v>
                </c:pt>
                <c:pt idx="193">
                  <c:v>43222</c:v>
                </c:pt>
                <c:pt idx="194">
                  <c:v>43223</c:v>
                </c:pt>
                <c:pt idx="195">
                  <c:v>43224</c:v>
                </c:pt>
              </c:numCache>
            </c:numRef>
          </c:cat>
          <c:val>
            <c:numRef>
              <c:f>'5_1_100_0.001_200_1_2018-07-022'!$H$2:$H$197</c:f>
              <c:numCache>
                <c:formatCode>General</c:formatCode>
                <c:ptCount val="196"/>
                <c:pt idx="0">
                  <c:v>318.65000027143952</c:v>
                </c:pt>
                <c:pt idx="1">
                  <c:v>319.20000001615284</c:v>
                </c:pt>
                <c:pt idx="2">
                  <c:v>319.85000018179414</c:v>
                </c:pt>
                <c:pt idx="3">
                  <c:v>320.75000003278257</c:v>
                </c:pt>
                <c:pt idx="4">
                  <c:v>322.25000018173461</c:v>
                </c:pt>
                <c:pt idx="5">
                  <c:v>322.40000011348724</c:v>
                </c:pt>
                <c:pt idx="6">
                  <c:v>320.79999998474119</c:v>
                </c:pt>
                <c:pt idx="7">
                  <c:v>320.0999999879636</c:v>
                </c:pt>
                <c:pt idx="8">
                  <c:v>321.00000001277772</c:v>
                </c:pt>
                <c:pt idx="9">
                  <c:v>313.70000028550623</c:v>
                </c:pt>
                <c:pt idx="10">
                  <c:v>314.70000030708309</c:v>
                </c:pt>
                <c:pt idx="11">
                  <c:v>317.70000000143051</c:v>
                </c:pt>
                <c:pt idx="12">
                  <c:v>318.29999996209148</c:v>
                </c:pt>
                <c:pt idx="13">
                  <c:v>312.8000003314018</c:v>
                </c:pt>
                <c:pt idx="14">
                  <c:v>313.99999999687822</c:v>
                </c:pt>
                <c:pt idx="15">
                  <c:v>314.04999999234082</c:v>
                </c:pt>
                <c:pt idx="16">
                  <c:v>313.99999985468389</c:v>
                </c:pt>
                <c:pt idx="17">
                  <c:v>309.80000023627281</c:v>
                </c:pt>
                <c:pt idx="18">
                  <c:v>308.40000008392337</c:v>
                </c:pt>
                <c:pt idx="19">
                  <c:v>302.64999971389773</c:v>
                </c:pt>
                <c:pt idx="20">
                  <c:v>305.75000028502944</c:v>
                </c:pt>
                <c:pt idx="21">
                  <c:v>307.39999999523167</c:v>
                </c:pt>
                <c:pt idx="22">
                  <c:v>309.05000000438093</c:v>
                </c:pt>
                <c:pt idx="23">
                  <c:v>308.89999999916552</c:v>
                </c:pt>
                <c:pt idx="24">
                  <c:v>308.19999990302318</c:v>
                </c:pt>
                <c:pt idx="25">
                  <c:v>309.8499998581409</c:v>
                </c:pt>
                <c:pt idx="26">
                  <c:v>309.74999996078014</c:v>
                </c:pt>
                <c:pt idx="27">
                  <c:v>311.25000001761316</c:v>
                </c:pt>
                <c:pt idx="28">
                  <c:v>311.40000007545945</c:v>
                </c:pt>
                <c:pt idx="29">
                  <c:v>309.34999995887279</c:v>
                </c:pt>
                <c:pt idx="30">
                  <c:v>308.2999999942482</c:v>
                </c:pt>
                <c:pt idx="31">
                  <c:v>310.1499999941513</c:v>
                </c:pt>
                <c:pt idx="32">
                  <c:v>307.80000003576282</c:v>
                </c:pt>
                <c:pt idx="33">
                  <c:v>307.44999985885619</c:v>
                </c:pt>
                <c:pt idx="34">
                  <c:v>304.650000140369</c:v>
                </c:pt>
                <c:pt idx="35">
                  <c:v>303.84999992692474</c:v>
                </c:pt>
                <c:pt idx="36">
                  <c:v>303.45000031328203</c:v>
                </c:pt>
                <c:pt idx="37">
                  <c:v>307.35000001958014</c:v>
                </c:pt>
                <c:pt idx="38">
                  <c:v>307.40000000002607</c:v>
                </c:pt>
                <c:pt idx="39">
                  <c:v>310.40000014865393</c:v>
                </c:pt>
                <c:pt idx="40">
                  <c:v>310.34999968373774</c:v>
                </c:pt>
                <c:pt idx="41">
                  <c:v>309.69999979770182</c:v>
                </c:pt>
                <c:pt idx="42">
                  <c:v>311.400000133574</c:v>
                </c:pt>
                <c:pt idx="43">
                  <c:v>312.35000010061259</c:v>
                </c:pt>
                <c:pt idx="44">
                  <c:v>317.84999992370604</c:v>
                </c:pt>
                <c:pt idx="45">
                  <c:v>317.20000022041796</c:v>
                </c:pt>
                <c:pt idx="46">
                  <c:v>316.94999971795079</c:v>
                </c:pt>
                <c:pt idx="47">
                  <c:v>317.20000006628032</c:v>
                </c:pt>
                <c:pt idx="48">
                  <c:v>314.90000005367398</c:v>
                </c:pt>
                <c:pt idx="49">
                  <c:v>314.95000004383922</c:v>
                </c:pt>
                <c:pt idx="50">
                  <c:v>312.95000012159346</c:v>
                </c:pt>
                <c:pt idx="51">
                  <c:v>312.54999983257056</c:v>
                </c:pt>
                <c:pt idx="52">
                  <c:v>312.7500001273155</c:v>
                </c:pt>
                <c:pt idx="53">
                  <c:v>315.4500000142753</c:v>
                </c:pt>
                <c:pt idx="54">
                  <c:v>321.30000033056734</c:v>
                </c:pt>
                <c:pt idx="55">
                  <c:v>324.40000010585783</c:v>
                </c:pt>
                <c:pt idx="56">
                  <c:v>326.79999957871439</c:v>
                </c:pt>
                <c:pt idx="57">
                  <c:v>326.44999982714654</c:v>
                </c:pt>
                <c:pt idx="58">
                  <c:v>326.65000009095667</c:v>
                </c:pt>
                <c:pt idx="59">
                  <c:v>326.94999991858009</c:v>
                </c:pt>
                <c:pt idx="60">
                  <c:v>326.99999994444846</c:v>
                </c:pt>
                <c:pt idx="61">
                  <c:v>325.24999997854235</c:v>
                </c:pt>
                <c:pt idx="62">
                  <c:v>327.39999997968971</c:v>
                </c:pt>
                <c:pt idx="63">
                  <c:v>328.20000000572202</c:v>
                </c:pt>
                <c:pt idx="64">
                  <c:v>327.69999999258664</c:v>
                </c:pt>
                <c:pt idx="65">
                  <c:v>327.90000002235172</c:v>
                </c:pt>
                <c:pt idx="66">
                  <c:v>324.89999999465419</c:v>
                </c:pt>
                <c:pt idx="67">
                  <c:v>328.00000000098345</c:v>
                </c:pt>
                <c:pt idx="68">
                  <c:v>328.59999999524649</c:v>
                </c:pt>
                <c:pt idx="69">
                  <c:v>332.20000003206729</c:v>
                </c:pt>
                <c:pt idx="70">
                  <c:v>337.70000017547602</c:v>
                </c:pt>
                <c:pt idx="71">
                  <c:v>336.20000006890291</c:v>
                </c:pt>
                <c:pt idx="72">
                  <c:v>337.50000032424924</c:v>
                </c:pt>
                <c:pt idx="73">
                  <c:v>335.29999977445607</c:v>
                </c:pt>
                <c:pt idx="74">
                  <c:v>334.8999999912977</c:v>
                </c:pt>
                <c:pt idx="75">
                  <c:v>336.39999995732308</c:v>
                </c:pt>
                <c:pt idx="76">
                  <c:v>334.80000002527237</c:v>
                </c:pt>
                <c:pt idx="77">
                  <c:v>334.04999980330473</c:v>
                </c:pt>
                <c:pt idx="78">
                  <c:v>332.69999991840126</c:v>
                </c:pt>
                <c:pt idx="79">
                  <c:v>332.44999999809261</c:v>
                </c:pt>
                <c:pt idx="80">
                  <c:v>330.29999980449679</c:v>
                </c:pt>
                <c:pt idx="81">
                  <c:v>332.45000006818771</c:v>
                </c:pt>
                <c:pt idx="82">
                  <c:v>332.10000001743435</c:v>
                </c:pt>
                <c:pt idx="83">
                  <c:v>330.59999992793797</c:v>
                </c:pt>
                <c:pt idx="84">
                  <c:v>331.99999998151509</c:v>
                </c:pt>
                <c:pt idx="85">
                  <c:v>333.69999988961217</c:v>
                </c:pt>
                <c:pt idx="86">
                  <c:v>332.60000000616162</c:v>
                </c:pt>
                <c:pt idx="87">
                  <c:v>333.39999996623396</c:v>
                </c:pt>
                <c:pt idx="88">
                  <c:v>327.04999996590618</c:v>
                </c:pt>
                <c:pt idx="89">
                  <c:v>328.84999993801119</c:v>
                </c:pt>
                <c:pt idx="90">
                  <c:v>328.85000016915802</c:v>
                </c:pt>
                <c:pt idx="91">
                  <c:v>323.40000000524526</c:v>
                </c:pt>
                <c:pt idx="92">
                  <c:v>322.99999980735777</c:v>
                </c:pt>
                <c:pt idx="93">
                  <c:v>326.1499999884814</c:v>
                </c:pt>
                <c:pt idx="94">
                  <c:v>327.75000003355746</c:v>
                </c:pt>
                <c:pt idx="95">
                  <c:v>322.79999998855595</c:v>
                </c:pt>
                <c:pt idx="96">
                  <c:v>321.85000001478193</c:v>
                </c:pt>
                <c:pt idx="97">
                  <c:v>322.5500000065565</c:v>
                </c:pt>
                <c:pt idx="98">
                  <c:v>322.6500000753403</c:v>
                </c:pt>
                <c:pt idx="99">
                  <c:v>321.60000017076732</c:v>
                </c:pt>
                <c:pt idx="100">
                  <c:v>324.00000004398822</c:v>
                </c:pt>
                <c:pt idx="101">
                  <c:v>325.45000004428624</c:v>
                </c:pt>
                <c:pt idx="102">
                  <c:v>323.90000000393394</c:v>
                </c:pt>
                <c:pt idx="103">
                  <c:v>325.29999993324276</c:v>
                </c:pt>
                <c:pt idx="104">
                  <c:v>324.99999991035463</c:v>
                </c:pt>
                <c:pt idx="105">
                  <c:v>324.70000001728533</c:v>
                </c:pt>
                <c:pt idx="106">
                  <c:v>318.00000012290479</c:v>
                </c:pt>
                <c:pt idx="107">
                  <c:v>319.64999981558321</c:v>
                </c:pt>
                <c:pt idx="108">
                  <c:v>318.59999983668331</c:v>
                </c:pt>
                <c:pt idx="109">
                  <c:v>322.34999996423721</c:v>
                </c:pt>
                <c:pt idx="110">
                  <c:v>326.80000006633998</c:v>
                </c:pt>
                <c:pt idx="111">
                  <c:v>327.65000000953671</c:v>
                </c:pt>
                <c:pt idx="112">
                  <c:v>328.8500003342628</c:v>
                </c:pt>
                <c:pt idx="113">
                  <c:v>326.15000002527239</c:v>
                </c:pt>
                <c:pt idx="114">
                  <c:v>330.09999966323375</c:v>
                </c:pt>
                <c:pt idx="115">
                  <c:v>332.40000012779234</c:v>
                </c:pt>
                <c:pt idx="116">
                  <c:v>331.60000005233286</c:v>
                </c:pt>
                <c:pt idx="117">
                  <c:v>328.99999999876508</c:v>
                </c:pt>
                <c:pt idx="118">
                  <c:v>327.64999998159703</c:v>
                </c:pt>
                <c:pt idx="119">
                  <c:v>327.99999997758869</c:v>
                </c:pt>
                <c:pt idx="120">
                  <c:v>328.45000001335143</c:v>
                </c:pt>
                <c:pt idx="121">
                  <c:v>331.64999999997394</c:v>
                </c:pt>
                <c:pt idx="122">
                  <c:v>330.35000000715257</c:v>
                </c:pt>
                <c:pt idx="123">
                  <c:v>330.54999990245699</c:v>
                </c:pt>
                <c:pt idx="124">
                  <c:v>330.7499999189377</c:v>
                </c:pt>
                <c:pt idx="125">
                  <c:v>327.3999999614656</c:v>
                </c:pt>
                <c:pt idx="126">
                  <c:v>332.40000000612434</c:v>
                </c:pt>
                <c:pt idx="127">
                  <c:v>332.74999995195867</c:v>
                </c:pt>
                <c:pt idx="128">
                  <c:v>335.45000010472535</c:v>
                </c:pt>
                <c:pt idx="129">
                  <c:v>337.10000005334615</c:v>
                </c:pt>
                <c:pt idx="130">
                  <c:v>339.65000008106227</c:v>
                </c:pt>
                <c:pt idx="131">
                  <c:v>335.05000006628035</c:v>
                </c:pt>
                <c:pt idx="132">
                  <c:v>335.60000008001924</c:v>
                </c:pt>
                <c:pt idx="133">
                  <c:v>334.80000001344831</c:v>
                </c:pt>
                <c:pt idx="134">
                  <c:v>328.55000027704244</c:v>
                </c:pt>
                <c:pt idx="135">
                  <c:v>324.14999961519237</c:v>
                </c:pt>
                <c:pt idx="136">
                  <c:v>318.80000023031238</c:v>
                </c:pt>
                <c:pt idx="137">
                  <c:v>310.64999970054629</c:v>
                </c:pt>
                <c:pt idx="138">
                  <c:v>313.64999941635131</c:v>
                </c:pt>
                <c:pt idx="139">
                  <c:v>305.00000056767465</c:v>
                </c:pt>
                <c:pt idx="140">
                  <c:v>309.25000035738941</c:v>
                </c:pt>
                <c:pt idx="141">
                  <c:v>312.55000010156635</c:v>
                </c:pt>
                <c:pt idx="142">
                  <c:v>315.45000008672474</c:v>
                </c:pt>
                <c:pt idx="143">
                  <c:v>317.39999987679715</c:v>
                </c:pt>
                <c:pt idx="144">
                  <c:v>313.14999973773956</c:v>
                </c:pt>
                <c:pt idx="145">
                  <c:v>315.19999993771313</c:v>
                </c:pt>
                <c:pt idx="146">
                  <c:v>312.99999997787177</c:v>
                </c:pt>
                <c:pt idx="147">
                  <c:v>318.10000009202957</c:v>
                </c:pt>
                <c:pt idx="148">
                  <c:v>318.24999995362754</c:v>
                </c:pt>
                <c:pt idx="149">
                  <c:v>316.8999999645352</c:v>
                </c:pt>
                <c:pt idx="150">
                  <c:v>313.60000005626677</c:v>
                </c:pt>
                <c:pt idx="151">
                  <c:v>309.29999995470047</c:v>
                </c:pt>
                <c:pt idx="152">
                  <c:v>305.00000028848655</c:v>
                </c:pt>
                <c:pt idx="153">
                  <c:v>311.45000032305722</c:v>
                </c:pt>
                <c:pt idx="154">
                  <c:v>311.60000007545949</c:v>
                </c:pt>
                <c:pt idx="155">
                  <c:v>314.74999996566777</c:v>
                </c:pt>
                <c:pt idx="156">
                  <c:v>318.24999988818166</c:v>
                </c:pt>
                <c:pt idx="157">
                  <c:v>321.25000026226041</c:v>
                </c:pt>
                <c:pt idx="158">
                  <c:v>322.65000027239319</c:v>
                </c:pt>
                <c:pt idx="159">
                  <c:v>322.6999996585846</c:v>
                </c:pt>
                <c:pt idx="160">
                  <c:v>324.00000012516972</c:v>
                </c:pt>
                <c:pt idx="161">
                  <c:v>323.15000012427566</c:v>
                </c:pt>
                <c:pt idx="162">
                  <c:v>321.00000000903384</c:v>
                </c:pt>
                <c:pt idx="163">
                  <c:v>322.4499999975543</c:v>
                </c:pt>
                <c:pt idx="164">
                  <c:v>322.75000000108128</c:v>
                </c:pt>
                <c:pt idx="165">
                  <c:v>323.25000001251698</c:v>
                </c:pt>
                <c:pt idx="166">
                  <c:v>312.65000029623508</c:v>
                </c:pt>
                <c:pt idx="167">
                  <c:v>315.65000012755394</c:v>
                </c:pt>
                <c:pt idx="168">
                  <c:v>316.2999999589324</c:v>
                </c:pt>
                <c:pt idx="169">
                  <c:v>311.80000009894371</c:v>
                </c:pt>
                <c:pt idx="170">
                  <c:v>315.60000006258491</c:v>
                </c:pt>
                <c:pt idx="171">
                  <c:v>315.70000003787874</c:v>
                </c:pt>
                <c:pt idx="172">
                  <c:v>314.6000000400245</c:v>
                </c:pt>
                <c:pt idx="173">
                  <c:v>313.95000006204845</c:v>
                </c:pt>
                <c:pt idx="174">
                  <c:v>308.70000005269054</c:v>
                </c:pt>
                <c:pt idx="175">
                  <c:v>314.09999999570852</c:v>
                </c:pt>
                <c:pt idx="176">
                  <c:v>312.350000022769</c:v>
                </c:pt>
                <c:pt idx="177">
                  <c:v>314.10000002050401</c:v>
                </c:pt>
                <c:pt idx="178">
                  <c:v>314.60000001210716</c:v>
                </c:pt>
                <c:pt idx="179">
                  <c:v>313.60000007593629</c:v>
                </c:pt>
                <c:pt idx="180">
                  <c:v>312.90000002244119</c:v>
                </c:pt>
                <c:pt idx="181">
                  <c:v>315.60000002825262</c:v>
                </c:pt>
                <c:pt idx="182">
                  <c:v>315.45000003325941</c:v>
                </c:pt>
                <c:pt idx="183">
                  <c:v>315.54999997979405</c:v>
                </c:pt>
                <c:pt idx="184">
                  <c:v>318.75000011444092</c:v>
                </c:pt>
                <c:pt idx="185">
                  <c:v>320.15000015115737</c:v>
                </c:pt>
                <c:pt idx="186">
                  <c:v>318.05000001955034</c:v>
                </c:pt>
                <c:pt idx="187">
                  <c:v>318.25000002273919</c:v>
                </c:pt>
                <c:pt idx="188">
                  <c:v>316.49999997425078</c:v>
                </c:pt>
                <c:pt idx="189">
                  <c:v>314.09999989718199</c:v>
                </c:pt>
                <c:pt idx="190">
                  <c:v>318.60000000090895</c:v>
                </c:pt>
                <c:pt idx="191">
                  <c:v>321.2999999591708</c:v>
                </c:pt>
                <c:pt idx="192">
                  <c:v>322.79999981731174</c:v>
                </c:pt>
                <c:pt idx="193">
                  <c:v>320.90000003814697</c:v>
                </c:pt>
                <c:pt idx="194">
                  <c:v>319.14999984705452</c:v>
                </c:pt>
                <c:pt idx="195">
                  <c:v>317.59999997967486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33264368"/>
        <c:axId val="-1633260560"/>
      </c:lineChart>
      <c:dateAx>
        <c:axId val="-16332643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633260560"/>
        <c:crosses val="autoZero"/>
        <c:auto val="1"/>
        <c:lblOffset val="100"/>
        <c:baseTimeUnit val="days"/>
      </c:dateAx>
      <c:valAx>
        <c:axId val="-163326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63326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438150</xdr:colOff>
      <xdr:row>4</xdr:row>
      <xdr:rowOff>80962</xdr:rowOff>
    </xdr:from>
    <xdr:to>
      <xdr:col>15</xdr:col>
      <xdr:colOff>209550</xdr:colOff>
      <xdr:row>17</xdr:row>
      <xdr:rowOff>100012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8"/>
  <sheetViews>
    <sheetView tabSelected="1" topLeftCell="C1" workbookViewId="0">
      <selection activeCell="N2" sqref="N2"/>
    </sheetView>
  </sheetViews>
  <sheetFormatPr defaultRowHeight="16.5" x14ac:dyDescent="0.3"/>
  <cols>
    <col min="1" max="1" width="10.5" customWidth="1"/>
    <col min="5" max="5" width="11.125" style="2" customWidth="1"/>
    <col min="6" max="6" width="10.875" customWidth="1"/>
  </cols>
  <sheetData>
    <row r="1" spans="1:14" x14ac:dyDescent="0.3">
      <c r="A1" t="s">
        <v>0</v>
      </c>
      <c r="B1" t="s">
        <v>1</v>
      </c>
      <c r="C1" t="s">
        <v>2</v>
      </c>
      <c r="G1" t="s">
        <v>3</v>
      </c>
      <c r="H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</row>
    <row r="2" spans="1:14" x14ac:dyDescent="0.3">
      <c r="A2" s="1">
        <v>42926</v>
      </c>
      <c r="B2">
        <v>3.5347707569599103E-2</v>
      </c>
      <c r="C2">
        <v>2.1477801799774099</v>
      </c>
      <c r="D2">
        <v>311.95</v>
      </c>
      <c r="E2" s="2">
        <f>IF(B2*C2&gt;0,1,0)</f>
        <v>1</v>
      </c>
      <c r="F2" s="1">
        <v>42933</v>
      </c>
      <c r="G2">
        <f>B2*D2/100 + D2</f>
        <v>312.06026717376335</v>
      </c>
      <c r="H2">
        <f>C2*D2/100 + D2</f>
        <v>318.65000027143952</v>
      </c>
      <c r="J2">
        <f>IF(E2=1,ABS(D2-H2),-ABS(D2-H2))</f>
        <v>6.700000271439535</v>
      </c>
      <c r="K2">
        <f>AVERAGEIF(J2:J197, "&gt;0")</f>
        <v>4.6900862005281931</v>
      </c>
      <c r="L2">
        <f>AVERAGEIF(J2:J197, "&lt;0")</f>
        <v>-4.6387499894300941</v>
      </c>
      <c r="M2">
        <f>MAX(J2:J197)</f>
        <v>16.250000262260414</v>
      </c>
      <c r="N2">
        <f>MIN(J2:J197)</f>
        <v>-24.950000299453734</v>
      </c>
    </row>
    <row r="3" spans="1:14" x14ac:dyDescent="0.3">
      <c r="A3" s="1">
        <v>42927</v>
      </c>
      <c r="B3">
        <v>0.34813559055328303</v>
      </c>
      <c r="C3">
        <v>1.7046359777450499</v>
      </c>
      <c r="D3">
        <v>313.85000000000002</v>
      </c>
      <c r="E3" s="2">
        <f t="shared" ref="E3:E66" si="0">IF(B3*C3&gt;0,1,0)</f>
        <v>1</v>
      </c>
      <c r="F3" s="1">
        <v>42934</v>
      </c>
      <c r="G3">
        <f t="shared" ref="G3:G66" si="1">B3*D3/100 + D3</f>
        <v>314.94262355095151</v>
      </c>
      <c r="H3">
        <f t="shared" ref="H3:H66" si="2">C3*D3/100 + D3</f>
        <v>319.20000001615284</v>
      </c>
      <c r="J3">
        <f t="shared" ref="J3:J66" si="3">IF(E3=1,ABS(D3-H3),-ABS(D3-H3))</f>
        <v>5.3500000161528192</v>
      </c>
    </row>
    <row r="4" spans="1:14" x14ac:dyDescent="0.3">
      <c r="A4" s="1">
        <v>42928</v>
      </c>
      <c r="B4">
        <v>1.3373501300811701</v>
      </c>
      <c r="C4">
        <v>1.9442231655120801</v>
      </c>
      <c r="D4">
        <v>313.75</v>
      </c>
      <c r="E4" s="2">
        <f t="shared" si="0"/>
        <v>1</v>
      </c>
      <c r="F4" s="1">
        <v>42935</v>
      </c>
      <c r="G4">
        <f t="shared" si="1"/>
        <v>317.94593603312967</v>
      </c>
      <c r="H4">
        <f t="shared" si="2"/>
        <v>319.85000018179414</v>
      </c>
      <c r="J4">
        <f t="shared" si="3"/>
        <v>6.1000001817941438</v>
      </c>
    </row>
    <row r="5" spans="1:14" x14ac:dyDescent="0.3">
      <c r="A5" s="1">
        <v>42929</v>
      </c>
      <c r="B5">
        <v>9.49596688151359E-2</v>
      </c>
      <c r="C5">
        <v>0.96002519130706698</v>
      </c>
      <c r="D5">
        <v>317.7</v>
      </c>
      <c r="E5" s="2">
        <f t="shared" si="0"/>
        <v>1</v>
      </c>
      <c r="F5" s="1">
        <v>42936</v>
      </c>
      <c r="G5">
        <f t="shared" si="1"/>
        <v>318.0016868678257</v>
      </c>
      <c r="H5">
        <f t="shared" si="2"/>
        <v>320.75000003278257</v>
      </c>
      <c r="J5">
        <f t="shared" si="3"/>
        <v>3.0500000327825774</v>
      </c>
    </row>
    <row r="6" spans="1:14" x14ac:dyDescent="0.3">
      <c r="A6" s="1">
        <v>42930</v>
      </c>
      <c r="B6">
        <v>-0.82352000474929798</v>
      </c>
      <c r="C6">
        <v>1.3843008279800399</v>
      </c>
      <c r="D6">
        <v>317.85000000000002</v>
      </c>
      <c r="E6" s="2">
        <f t="shared" si="0"/>
        <v>0</v>
      </c>
      <c r="F6" s="1">
        <v>42937</v>
      </c>
      <c r="G6">
        <f t="shared" si="1"/>
        <v>315.2324416649044</v>
      </c>
      <c r="H6">
        <f t="shared" si="2"/>
        <v>322.25000018173461</v>
      </c>
      <c r="J6">
        <f t="shared" si="3"/>
        <v>-4.4000001817345833</v>
      </c>
    </row>
    <row r="7" spans="1:14" x14ac:dyDescent="0.3">
      <c r="A7" s="1">
        <v>42933</v>
      </c>
      <c r="B7">
        <v>-0.88309431076049805</v>
      </c>
      <c r="C7">
        <v>1.17683982849121</v>
      </c>
      <c r="D7">
        <v>318.64999999999998</v>
      </c>
      <c r="E7" s="2">
        <f t="shared" si="0"/>
        <v>0</v>
      </c>
      <c r="F7" s="1">
        <v>42940</v>
      </c>
      <c r="G7">
        <f t="shared" si="1"/>
        <v>315.83601997876167</v>
      </c>
      <c r="H7">
        <f t="shared" si="2"/>
        <v>322.40000011348724</v>
      </c>
      <c r="J7">
        <f t="shared" si="3"/>
        <v>-3.7500001134872605</v>
      </c>
    </row>
    <row r="8" spans="1:14" x14ac:dyDescent="0.3">
      <c r="A8" s="1">
        <v>42934</v>
      </c>
      <c r="B8">
        <v>-1.2661188840866</v>
      </c>
      <c r="C8">
        <v>0.50125312805175704</v>
      </c>
      <c r="D8">
        <v>319.2</v>
      </c>
      <c r="E8" s="2">
        <f t="shared" si="0"/>
        <v>0</v>
      </c>
      <c r="F8" s="1">
        <v>42941</v>
      </c>
      <c r="G8">
        <f t="shared" si="1"/>
        <v>315.15854852199556</v>
      </c>
      <c r="H8">
        <f t="shared" si="2"/>
        <v>320.79999998474119</v>
      </c>
      <c r="J8">
        <f t="shared" si="3"/>
        <v>-1.5999999847412028</v>
      </c>
    </row>
    <row r="9" spans="1:14" x14ac:dyDescent="0.3">
      <c r="A9" s="1">
        <v>42935</v>
      </c>
      <c r="B9">
        <v>-0.80528461933135898</v>
      </c>
      <c r="C9">
        <v>7.8161634504795005E-2</v>
      </c>
      <c r="D9">
        <v>319.85000000000002</v>
      </c>
      <c r="E9" s="2">
        <f t="shared" si="0"/>
        <v>0</v>
      </c>
      <c r="F9" s="1">
        <v>42942</v>
      </c>
      <c r="G9">
        <f t="shared" si="1"/>
        <v>317.27429714506866</v>
      </c>
      <c r="H9">
        <f t="shared" si="2"/>
        <v>320.0999999879636</v>
      </c>
      <c r="J9">
        <f t="shared" si="3"/>
        <v>-0.24999998796357659</v>
      </c>
    </row>
    <row r="10" spans="1:14" x14ac:dyDescent="0.3">
      <c r="A10" s="1">
        <v>42936</v>
      </c>
      <c r="B10">
        <v>-2.1935017108917201</v>
      </c>
      <c r="C10">
        <v>7.7942326664924594E-2</v>
      </c>
      <c r="D10">
        <v>320.75</v>
      </c>
      <c r="E10" s="2">
        <f t="shared" si="0"/>
        <v>0</v>
      </c>
      <c r="F10" s="1">
        <v>42943</v>
      </c>
      <c r="G10">
        <f t="shared" si="1"/>
        <v>313.7143432623148</v>
      </c>
      <c r="H10">
        <f t="shared" si="2"/>
        <v>321.00000001277772</v>
      </c>
      <c r="J10">
        <f t="shared" si="3"/>
        <v>-0.25000001277771844</v>
      </c>
    </row>
    <row r="11" spans="1:14" x14ac:dyDescent="0.3">
      <c r="A11" s="1">
        <v>42937</v>
      </c>
      <c r="B11">
        <v>-1.3331338167190501</v>
      </c>
      <c r="C11">
        <v>-2.65321946144104</v>
      </c>
      <c r="D11">
        <v>322.25</v>
      </c>
      <c r="E11" s="2">
        <f t="shared" si="0"/>
        <v>1</v>
      </c>
      <c r="F11" s="1">
        <v>42944</v>
      </c>
      <c r="G11">
        <f t="shared" si="1"/>
        <v>317.95397627562284</v>
      </c>
      <c r="H11">
        <f t="shared" si="2"/>
        <v>313.70000028550623</v>
      </c>
      <c r="J11">
        <f t="shared" si="3"/>
        <v>8.5499997144937652</v>
      </c>
    </row>
    <row r="12" spans="1:14" x14ac:dyDescent="0.3">
      <c r="A12" s="1">
        <v>42940</v>
      </c>
      <c r="B12">
        <v>-0.88159680366516102</v>
      </c>
      <c r="C12">
        <v>-2.3883373737335201</v>
      </c>
      <c r="D12">
        <v>322.39999999999998</v>
      </c>
      <c r="E12" s="2">
        <f t="shared" si="0"/>
        <v>1</v>
      </c>
      <c r="F12" s="1">
        <v>42947</v>
      </c>
      <c r="G12">
        <f t="shared" si="1"/>
        <v>319.55773190498348</v>
      </c>
      <c r="H12">
        <f t="shared" si="2"/>
        <v>314.70000030708309</v>
      </c>
      <c r="J12">
        <f t="shared" si="3"/>
        <v>7.6999996929168901</v>
      </c>
    </row>
    <row r="13" spans="1:14" x14ac:dyDescent="0.3">
      <c r="A13" s="1">
        <v>42941</v>
      </c>
      <c r="B13">
        <v>-1.9541302695870399E-2</v>
      </c>
      <c r="C13">
        <v>-0.96633416414260798</v>
      </c>
      <c r="D13">
        <v>320.8</v>
      </c>
      <c r="E13" s="2">
        <f t="shared" si="0"/>
        <v>1</v>
      </c>
      <c r="F13" s="1">
        <v>42948</v>
      </c>
      <c r="G13">
        <f t="shared" si="1"/>
        <v>320.73731150095165</v>
      </c>
      <c r="H13">
        <f t="shared" si="2"/>
        <v>317.70000000143051</v>
      </c>
      <c r="J13">
        <f t="shared" si="3"/>
        <v>3.0999999985695013</v>
      </c>
    </row>
    <row r="14" spans="1:14" x14ac:dyDescent="0.3">
      <c r="A14" s="1">
        <v>42942</v>
      </c>
      <c r="B14">
        <v>-3.3632270991802202E-2</v>
      </c>
      <c r="C14">
        <v>-0.56232428550720204</v>
      </c>
      <c r="D14">
        <v>320.10000000000002</v>
      </c>
      <c r="E14" s="2">
        <f t="shared" si="0"/>
        <v>1</v>
      </c>
      <c r="F14" s="1">
        <v>42949</v>
      </c>
      <c r="G14">
        <f t="shared" si="1"/>
        <v>319.99234310055527</v>
      </c>
      <c r="H14">
        <f t="shared" si="2"/>
        <v>318.29999996209148</v>
      </c>
      <c r="J14">
        <f t="shared" si="3"/>
        <v>1.8000000379085463</v>
      </c>
    </row>
    <row r="15" spans="1:14" x14ac:dyDescent="0.3">
      <c r="A15" s="1">
        <v>42943</v>
      </c>
      <c r="B15">
        <v>-0.36376467347144997</v>
      </c>
      <c r="C15">
        <v>-2.5545170307159402</v>
      </c>
      <c r="D15">
        <v>321</v>
      </c>
      <c r="E15" s="2">
        <f t="shared" si="0"/>
        <v>1</v>
      </c>
      <c r="F15" s="1">
        <v>42950</v>
      </c>
      <c r="G15">
        <f t="shared" si="1"/>
        <v>319.83231539815665</v>
      </c>
      <c r="H15">
        <f t="shared" si="2"/>
        <v>312.8000003314018</v>
      </c>
      <c r="J15">
        <f t="shared" si="3"/>
        <v>8.1999996685981955</v>
      </c>
    </row>
    <row r="16" spans="1:14" x14ac:dyDescent="0.3">
      <c r="A16" s="1">
        <v>42944</v>
      </c>
      <c r="B16">
        <v>0.633672475814819</v>
      </c>
      <c r="C16">
        <v>9.5632769167423207E-2</v>
      </c>
      <c r="D16">
        <v>313.7</v>
      </c>
      <c r="E16" s="2">
        <f t="shared" si="0"/>
        <v>1</v>
      </c>
      <c r="F16" s="1">
        <v>42951</v>
      </c>
      <c r="G16">
        <f t="shared" si="1"/>
        <v>315.68783055663107</v>
      </c>
      <c r="H16">
        <f t="shared" si="2"/>
        <v>313.99999999687822</v>
      </c>
      <c r="J16">
        <f t="shared" si="3"/>
        <v>0.29999999687822765</v>
      </c>
    </row>
    <row r="17" spans="1:10" x14ac:dyDescent="0.3">
      <c r="A17" s="1">
        <v>42947</v>
      </c>
      <c r="B17">
        <v>0.184030100703239</v>
      </c>
      <c r="C17">
        <v>-0.20654591917991599</v>
      </c>
      <c r="D17">
        <v>314.7</v>
      </c>
      <c r="E17" s="2">
        <f t="shared" si="0"/>
        <v>0</v>
      </c>
      <c r="F17" s="1">
        <v>42954</v>
      </c>
      <c r="G17">
        <f t="shared" si="1"/>
        <v>315.27914272691311</v>
      </c>
      <c r="H17">
        <f t="shared" si="2"/>
        <v>314.04999999234082</v>
      </c>
      <c r="J17">
        <f t="shared" si="3"/>
        <v>-0.65000000765917321</v>
      </c>
    </row>
    <row r="18" spans="1:10" x14ac:dyDescent="0.3">
      <c r="A18" s="1">
        <v>42948</v>
      </c>
      <c r="B18">
        <v>0.58208751678466797</v>
      </c>
      <c r="C18">
        <v>-1.1646207571029601</v>
      </c>
      <c r="D18">
        <v>317.7</v>
      </c>
      <c r="E18" s="2">
        <f t="shared" si="0"/>
        <v>0</v>
      </c>
      <c r="F18" s="1">
        <v>42955</v>
      </c>
      <c r="G18">
        <f t="shared" si="1"/>
        <v>319.54929204082487</v>
      </c>
      <c r="H18">
        <f t="shared" si="2"/>
        <v>313.99999985468389</v>
      </c>
      <c r="J18">
        <f t="shared" si="3"/>
        <v>-3.7000001453160962</v>
      </c>
    </row>
    <row r="19" spans="1:10" x14ac:dyDescent="0.3">
      <c r="A19" s="1">
        <v>42949</v>
      </c>
      <c r="B19">
        <v>-0.959433794021606</v>
      </c>
      <c r="C19">
        <v>-2.6704366207122798</v>
      </c>
      <c r="D19">
        <v>318.3</v>
      </c>
      <c r="E19" s="2">
        <f t="shared" si="0"/>
        <v>1</v>
      </c>
      <c r="F19" s="1">
        <v>42956</v>
      </c>
      <c r="G19">
        <f t="shared" si="1"/>
        <v>315.24612223362925</v>
      </c>
      <c r="H19">
        <f t="shared" si="2"/>
        <v>309.80000023627281</v>
      </c>
      <c r="J19">
        <f t="shared" si="3"/>
        <v>8.4999997637272031</v>
      </c>
    </row>
    <row r="20" spans="1:10" x14ac:dyDescent="0.3">
      <c r="A20" s="1">
        <v>42950</v>
      </c>
      <c r="B20">
        <v>1.7831795215606601</v>
      </c>
      <c r="C20">
        <v>-1.40664958953857</v>
      </c>
      <c r="D20">
        <v>312.8</v>
      </c>
      <c r="E20" s="2">
        <f t="shared" si="0"/>
        <v>0</v>
      </c>
      <c r="F20" s="1">
        <v>42957</v>
      </c>
      <c r="G20">
        <f t="shared" si="1"/>
        <v>318.37778554344175</v>
      </c>
      <c r="H20">
        <f t="shared" si="2"/>
        <v>308.40000008392337</v>
      </c>
      <c r="J20">
        <f t="shared" si="3"/>
        <v>-4.3999999160766379</v>
      </c>
    </row>
    <row r="21" spans="1:10" x14ac:dyDescent="0.3">
      <c r="A21" s="1">
        <v>42951</v>
      </c>
      <c r="B21">
        <v>1.6687198877334499</v>
      </c>
      <c r="C21">
        <v>-3.6146497726440399</v>
      </c>
      <c r="D21">
        <v>314</v>
      </c>
      <c r="E21" s="2">
        <f t="shared" si="0"/>
        <v>0</v>
      </c>
      <c r="F21" s="1">
        <v>42958</v>
      </c>
      <c r="G21">
        <f t="shared" si="1"/>
        <v>319.23978044748304</v>
      </c>
      <c r="H21">
        <f t="shared" si="2"/>
        <v>302.64999971389773</v>
      </c>
      <c r="J21">
        <f t="shared" si="3"/>
        <v>-11.350000286102272</v>
      </c>
    </row>
    <row r="22" spans="1:10" x14ac:dyDescent="0.3">
      <c r="A22" s="1">
        <v>42954</v>
      </c>
      <c r="B22">
        <v>2.9990212917327801</v>
      </c>
      <c r="C22">
        <v>-2.6428911685943599</v>
      </c>
      <c r="D22">
        <v>314.05</v>
      </c>
      <c r="E22" s="2">
        <f t="shared" si="0"/>
        <v>0</v>
      </c>
      <c r="F22" s="1">
        <v>42961</v>
      </c>
      <c r="G22">
        <f t="shared" si="1"/>
        <v>323.4684263666868</v>
      </c>
      <c r="H22">
        <f t="shared" si="2"/>
        <v>305.75000028502944</v>
      </c>
      <c r="J22">
        <f t="shared" si="3"/>
        <v>-8.2999997149705678</v>
      </c>
    </row>
    <row r="23" spans="1:10" x14ac:dyDescent="0.3">
      <c r="A23" s="1">
        <v>42955</v>
      </c>
      <c r="B23">
        <v>3.15813755989074</v>
      </c>
      <c r="C23">
        <v>-2.1019108295440598</v>
      </c>
      <c r="D23">
        <v>314</v>
      </c>
      <c r="E23" s="2">
        <f t="shared" si="0"/>
        <v>0</v>
      </c>
      <c r="F23" s="1">
        <v>42963</v>
      </c>
      <c r="G23">
        <f t="shared" si="1"/>
        <v>323.9165519380569</v>
      </c>
      <c r="H23">
        <f t="shared" si="2"/>
        <v>307.39999999523167</v>
      </c>
      <c r="J23">
        <f t="shared" si="3"/>
        <v>-6.6000000047683329</v>
      </c>
    </row>
    <row r="24" spans="1:10" x14ac:dyDescent="0.3">
      <c r="A24" s="1">
        <v>42956</v>
      </c>
      <c r="B24">
        <v>2.4133050441741899</v>
      </c>
      <c r="C24">
        <v>-0.242091670632362</v>
      </c>
      <c r="D24">
        <v>309.8</v>
      </c>
      <c r="E24" s="2">
        <f t="shared" si="0"/>
        <v>0</v>
      </c>
      <c r="F24" s="1">
        <v>42964</v>
      </c>
      <c r="G24">
        <f t="shared" si="1"/>
        <v>317.27641902685167</v>
      </c>
      <c r="H24">
        <f t="shared" si="2"/>
        <v>309.05000000438093</v>
      </c>
      <c r="J24">
        <f t="shared" si="3"/>
        <v>-0.74999999561907771</v>
      </c>
    </row>
    <row r="25" spans="1:10" x14ac:dyDescent="0.3">
      <c r="A25" s="1">
        <v>42957</v>
      </c>
      <c r="B25">
        <v>2.3328499794006299</v>
      </c>
      <c r="C25">
        <v>0.16212710738182001</v>
      </c>
      <c r="D25">
        <v>308.39999999999998</v>
      </c>
      <c r="E25" s="2">
        <f t="shared" si="0"/>
        <v>1</v>
      </c>
      <c r="F25" s="1">
        <v>42965</v>
      </c>
      <c r="G25">
        <f t="shared" si="1"/>
        <v>315.5945093364715</v>
      </c>
      <c r="H25">
        <f t="shared" si="2"/>
        <v>308.89999999916552</v>
      </c>
      <c r="J25">
        <f t="shared" si="3"/>
        <v>0.49999999916553861</v>
      </c>
    </row>
    <row r="26" spans="1:10" x14ac:dyDescent="0.3">
      <c r="A26" s="1">
        <v>42958</v>
      </c>
      <c r="B26">
        <v>2.3782107830047599</v>
      </c>
      <c r="C26">
        <v>1.83380138874053</v>
      </c>
      <c r="D26">
        <v>302.64999999999998</v>
      </c>
      <c r="E26" s="2">
        <f t="shared" si="0"/>
        <v>1</v>
      </c>
      <c r="F26" s="1">
        <v>42968</v>
      </c>
      <c r="G26">
        <f t="shared" si="1"/>
        <v>309.84765493476391</v>
      </c>
      <c r="H26">
        <f t="shared" si="2"/>
        <v>308.19999990302318</v>
      </c>
      <c r="J26">
        <f t="shared" si="3"/>
        <v>5.5499999030232061</v>
      </c>
    </row>
    <row r="27" spans="1:10" x14ac:dyDescent="0.3">
      <c r="A27" s="1">
        <v>42961</v>
      </c>
      <c r="B27">
        <v>1.64971983432769</v>
      </c>
      <c r="C27">
        <v>1.34096479415893</v>
      </c>
      <c r="D27">
        <v>305.75</v>
      </c>
      <c r="E27" s="2">
        <f t="shared" si="0"/>
        <v>1</v>
      </c>
      <c r="F27" s="1">
        <v>42969</v>
      </c>
      <c r="G27">
        <f t="shared" si="1"/>
        <v>310.79401839345689</v>
      </c>
      <c r="H27">
        <f t="shared" si="2"/>
        <v>309.8499998581409</v>
      </c>
      <c r="J27">
        <f t="shared" si="3"/>
        <v>4.0999998581409045</v>
      </c>
    </row>
    <row r="28" spans="1:10" x14ac:dyDescent="0.3">
      <c r="A28" s="1">
        <v>42963</v>
      </c>
      <c r="B28">
        <v>2.4393644332885698</v>
      </c>
      <c r="C28">
        <v>0.76447623968124301</v>
      </c>
      <c r="D28">
        <v>307.39999999999998</v>
      </c>
      <c r="E28" s="2">
        <f t="shared" si="0"/>
        <v>1</v>
      </c>
      <c r="F28" s="1">
        <v>42970</v>
      </c>
      <c r="G28">
        <f t="shared" si="1"/>
        <v>314.89860626792904</v>
      </c>
      <c r="H28">
        <f t="shared" si="2"/>
        <v>309.74999996078014</v>
      </c>
      <c r="J28">
        <f t="shared" si="3"/>
        <v>2.3499999607801669</v>
      </c>
    </row>
    <row r="29" spans="1:10" x14ac:dyDescent="0.3">
      <c r="A29" s="1">
        <v>42964</v>
      </c>
      <c r="B29">
        <v>1.24312078952789</v>
      </c>
      <c r="C29">
        <v>0.71185892820358199</v>
      </c>
      <c r="D29">
        <v>309.05</v>
      </c>
      <c r="E29" s="2">
        <f t="shared" si="0"/>
        <v>1</v>
      </c>
      <c r="F29" s="1">
        <v>42971</v>
      </c>
      <c r="G29">
        <f t="shared" si="1"/>
        <v>312.89186480003593</v>
      </c>
      <c r="H29">
        <f t="shared" si="2"/>
        <v>311.25000001761316</v>
      </c>
      <c r="J29">
        <f t="shared" si="3"/>
        <v>2.2000000176131493</v>
      </c>
    </row>
    <row r="30" spans="1:10" x14ac:dyDescent="0.3">
      <c r="A30" s="1">
        <v>42965</v>
      </c>
      <c r="B30">
        <v>0.88245129585266102</v>
      </c>
      <c r="C30">
        <v>0.80932343006134</v>
      </c>
      <c r="D30">
        <v>308.89999999999998</v>
      </c>
      <c r="E30" s="2">
        <f t="shared" si="0"/>
        <v>1</v>
      </c>
      <c r="F30" s="1">
        <v>42972</v>
      </c>
      <c r="G30">
        <f t="shared" si="1"/>
        <v>311.62589205288884</v>
      </c>
      <c r="H30">
        <f t="shared" si="2"/>
        <v>311.40000007545945</v>
      </c>
      <c r="J30">
        <f t="shared" si="3"/>
        <v>2.500000075459468</v>
      </c>
    </row>
    <row r="31" spans="1:10" x14ac:dyDescent="0.3">
      <c r="A31" s="1">
        <v>42968</v>
      </c>
      <c r="B31">
        <v>0.58245968818664495</v>
      </c>
      <c r="C31">
        <v>0.373134315013885</v>
      </c>
      <c r="D31">
        <v>308.2</v>
      </c>
      <c r="E31" s="2">
        <f t="shared" si="0"/>
        <v>1</v>
      </c>
      <c r="F31" s="1">
        <v>42975</v>
      </c>
      <c r="G31">
        <f t="shared" si="1"/>
        <v>309.99514075899123</v>
      </c>
      <c r="H31">
        <f t="shared" si="2"/>
        <v>309.34999995887279</v>
      </c>
      <c r="J31">
        <f t="shared" si="3"/>
        <v>1.1499999588727974</v>
      </c>
    </row>
    <row r="32" spans="1:10" x14ac:dyDescent="0.3">
      <c r="A32" s="1">
        <v>42969</v>
      </c>
      <c r="B32">
        <v>1.3087462186813299</v>
      </c>
      <c r="C32">
        <v>-0.50024205446243197</v>
      </c>
      <c r="D32">
        <v>309.85000000000002</v>
      </c>
      <c r="E32" s="2">
        <f t="shared" si="0"/>
        <v>0</v>
      </c>
      <c r="F32" s="1">
        <v>42976</v>
      </c>
      <c r="G32">
        <f t="shared" si="1"/>
        <v>313.90515015858415</v>
      </c>
      <c r="H32">
        <f t="shared" si="2"/>
        <v>308.2999999942482</v>
      </c>
      <c r="J32">
        <f t="shared" si="3"/>
        <v>-1.5500000057518264</v>
      </c>
    </row>
    <row r="33" spans="1:10" x14ac:dyDescent="0.3">
      <c r="A33" s="1">
        <v>42970</v>
      </c>
      <c r="B33">
        <v>0.85444927215576105</v>
      </c>
      <c r="C33">
        <v>0.12913639843463801</v>
      </c>
      <c r="D33">
        <v>309.75</v>
      </c>
      <c r="E33" s="2">
        <f t="shared" si="0"/>
        <v>1</v>
      </c>
      <c r="F33" s="1">
        <v>42977</v>
      </c>
      <c r="G33">
        <f t="shared" si="1"/>
        <v>312.39665662050248</v>
      </c>
      <c r="H33">
        <f t="shared" si="2"/>
        <v>310.1499999941513</v>
      </c>
      <c r="J33">
        <f t="shared" si="3"/>
        <v>0.39999999415130105</v>
      </c>
    </row>
    <row r="34" spans="1:10" x14ac:dyDescent="0.3">
      <c r="A34" s="1">
        <v>42971</v>
      </c>
      <c r="B34">
        <v>0.91278493404388406</v>
      </c>
      <c r="C34">
        <v>-1.1084337234496999</v>
      </c>
      <c r="D34">
        <v>311.25</v>
      </c>
      <c r="E34" s="2">
        <f t="shared" si="0"/>
        <v>0</v>
      </c>
      <c r="F34" s="1">
        <v>42978</v>
      </c>
      <c r="G34">
        <f t="shared" si="1"/>
        <v>314.09104310721159</v>
      </c>
      <c r="H34">
        <f t="shared" si="2"/>
        <v>307.80000003576282</v>
      </c>
      <c r="J34">
        <f t="shared" si="3"/>
        <v>-3.449999964237179</v>
      </c>
    </row>
    <row r="35" spans="1:10" x14ac:dyDescent="0.3">
      <c r="A35" s="1">
        <v>42972</v>
      </c>
      <c r="B35">
        <v>1.22722852230072</v>
      </c>
      <c r="C35">
        <v>-1.26846504211425</v>
      </c>
      <c r="D35">
        <v>311.39999999999998</v>
      </c>
      <c r="E35" s="2">
        <f t="shared" si="0"/>
        <v>0</v>
      </c>
      <c r="F35" s="1">
        <v>42979</v>
      </c>
      <c r="G35">
        <f t="shared" si="1"/>
        <v>315.2215896184444</v>
      </c>
      <c r="H35">
        <f t="shared" si="2"/>
        <v>307.44999985885619</v>
      </c>
      <c r="J35">
        <f t="shared" si="3"/>
        <v>-3.9500001411437893</v>
      </c>
    </row>
    <row r="36" spans="1:10" x14ac:dyDescent="0.3">
      <c r="A36" s="1">
        <v>42975</v>
      </c>
      <c r="B36">
        <v>1.5731831789016699</v>
      </c>
      <c r="C36">
        <v>-1.51931464672088</v>
      </c>
      <c r="D36">
        <v>309.35000000000002</v>
      </c>
      <c r="E36" s="2">
        <f t="shared" si="0"/>
        <v>0</v>
      </c>
      <c r="F36" s="1">
        <v>42982</v>
      </c>
      <c r="G36">
        <f t="shared" si="1"/>
        <v>314.21664216393236</v>
      </c>
      <c r="H36">
        <f t="shared" si="2"/>
        <v>304.650000140369</v>
      </c>
      <c r="J36">
        <f t="shared" si="3"/>
        <v>-4.6999998596310206</v>
      </c>
    </row>
    <row r="37" spans="1:10" x14ac:dyDescent="0.3">
      <c r="A37" s="1">
        <v>42976</v>
      </c>
      <c r="B37">
        <v>1.4614514112472501</v>
      </c>
      <c r="C37">
        <v>-1.44339931011199</v>
      </c>
      <c r="D37">
        <v>308.3</v>
      </c>
      <c r="E37" s="2">
        <f t="shared" si="0"/>
        <v>0</v>
      </c>
      <c r="F37" s="1">
        <v>42983</v>
      </c>
      <c r="G37">
        <f t="shared" si="1"/>
        <v>312.80565470087527</v>
      </c>
      <c r="H37">
        <f t="shared" si="2"/>
        <v>303.84999992692474</v>
      </c>
      <c r="J37">
        <f t="shared" si="3"/>
        <v>-4.4500000730752731</v>
      </c>
    </row>
    <row r="38" spans="1:10" x14ac:dyDescent="0.3">
      <c r="A38" s="1">
        <v>42977</v>
      </c>
      <c r="B38">
        <v>1.01634621620178</v>
      </c>
      <c r="C38">
        <v>-2.16024494171142</v>
      </c>
      <c r="D38">
        <v>310.14999999999998</v>
      </c>
      <c r="E38" s="2">
        <f t="shared" si="0"/>
        <v>0</v>
      </c>
      <c r="F38" s="1">
        <v>42984</v>
      </c>
      <c r="G38">
        <f t="shared" si="1"/>
        <v>313.30219778954978</v>
      </c>
      <c r="H38">
        <f t="shared" si="2"/>
        <v>303.45000031328203</v>
      </c>
      <c r="J38">
        <f t="shared" si="3"/>
        <v>-6.6999996867179448</v>
      </c>
    </row>
    <row r="39" spans="1:10" x14ac:dyDescent="0.3">
      <c r="A39" s="1">
        <v>42978</v>
      </c>
      <c r="B39">
        <v>1.15275502204895</v>
      </c>
      <c r="C39">
        <v>-0.14619882404804199</v>
      </c>
      <c r="D39">
        <v>307.8</v>
      </c>
      <c r="E39" s="2">
        <f t="shared" si="0"/>
        <v>0</v>
      </c>
      <c r="F39" s="1">
        <v>42985</v>
      </c>
      <c r="G39">
        <f t="shared" si="1"/>
        <v>311.34817995786671</v>
      </c>
      <c r="H39">
        <f t="shared" si="2"/>
        <v>307.35000001958014</v>
      </c>
      <c r="J39">
        <f t="shared" si="3"/>
        <v>-0.4499999804198751</v>
      </c>
    </row>
    <row r="40" spans="1:10" x14ac:dyDescent="0.3">
      <c r="A40" s="1">
        <v>42979</v>
      </c>
      <c r="B40">
        <v>0.71375596523284901</v>
      </c>
      <c r="C40">
        <v>-1.6262806951999598E-2</v>
      </c>
      <c r="D40">
        <v>307.45</v>
      </c>
      <c r="E40" s="2">
        <f t="shared" si="0"/>
        <v>0</v>
      </c>
      <c r="F40" s="1">
        <v>42986</v>
      </c>
      <c r="G40">
        <f t="shared" si="1"/>
        <v>309.64444271510837</v>
      </c>
      <c r="H40">
        <f t="shared" si="2"/>
        <v>307.40000000002607</v>
      </c>
      <c r="J40">
        <f t="shared" si="3"/>
        <v>-4.9999999973920239E-2</v>
      </c>
    </row>
    <row r="41" spans="1:10" x14ac:dyDescent="0.3">
      <c r="A41" s="1">
        <v>42982</v>
      </c>
      <c r="B41">
        <v>1.18037128448486</v>
      </c>
      <c r="C41">
        <v>1.88741183280944</v>
      </c>
      <c r="D41">
        <v>304.64999999999998</v>
      </c>
      <c r="E41" s="2">
        <f t="shared" si="0"/>
        <v>1</v>
      </c>
      <c r="F41" s="1">
        <v>42989</v>
      </c>
      <c r="G41">
        <f t="shared" si="1"/>
        <v>308.24600111818313</v>
      </c>
      <c r="H41">
        <f t="shared" si="2"/>
        <v>310.40000014865393</v>
      </c>
      <c r="J41">
        <f t="shared" si="3"/>
        <v>5.7500001486539531</v>
      </c>
    </row>
    <row r="42" spans="1:10" x14ac:dyDescent="0.3">
      <c r="A42" s="1">
        <v>42983</v>
      </c>
      <c r="B42">
        <v>0.98249441385269098</v>
      </c>
      <c r="C42">
        <v>2.1392133235931299</v>
      </c>
      <c r="D42">
        <v>303.85000000000002</v>
      </c>
      <c r="E42" s="2">
        <f t="shared" si="0"/>
        <v>1</v>
      </c>
      <c r="F42" s="1">
        <v>42990</v>
      </c>
      <c r="G42">
        <f t="shared" si="1"/>
        <v>306.83530927649144</v>
      </c>
      <c r="H42">
        <f t="shared" si="2"/>
        <v>310.34999968373774</v>
      </c>
      <c r="J42">
        <f t="shared" si="3"/>
        <v>6.4999996837377125</v>
      </c>
    </row>
    <row r="43" spans="1:10" x14ac:dyDescent="0.3">
      <c r="A43" s="1">
        <v>42984</v>
      </c>
      <c r="B43">
        <v>1.7892333269119201</v>
      </c>
      <c r="C43">
        <v>2.0596473217010498</v>
      </c>
      <c r="D43">
        <v>303.45</v>
      </c>
      <c r="E43" s="2">
        <f t="shared" si="0"/>
        <v>1</v>
      </c>
      <c r="F43" s="1">
        <v>42991</v>
      </c>
      <c r="G43">
        <f t="shared" si="1"/>
        <v>308.87942853051419</v>
      </c>
      <c r="H43">
        <f t="shared" si="2"/>
        <v>309.69999979770182</v>
      </c>
      <c r="J43">
        <f t="shared" si="3"/>
        <v>6.2499997977018324</v>
      </c>
    </row>
    <row r="44" spans="1:10" x14ac:dyDescent="0.3">
      <c r="A44" s="1">
        <v>42985</v>
      </c>
      <c r="B44">
        <v>0.63074773550033503</v>
      </c>
      <c r="C44">
        <v>1.31771600246429</v>
      </c>
      <c r="D44">
        <v>307.35000000000002</v>
      </c>
      <c r="E44" s="2">
        <f t="shared" si="0"/>
        <v>1</v>
      </c>
      <c r="F44" s="1">
        <v>42992</v>
      </c>
      <c r="G44">
        <f t="shared" si="1"/>
        <v>309.28860316506029</v>
      </c>
      <c r="H44">
        <f t="shared" si="2"/>
        <v>311.400000133574</v>
      </c>
      <c r="J44">
        <f t="shared" si="3"/>
        <v>4.0500001335739739</v>
      </c>
    </row>
    <row r="45" spans="1:10" x14ac:dyDescent="0.3">
      <c r="A45" s="1">
        <v>42986</v>
      </c>
      <c r="B45">
        <v>0.76420766115188599</v>
      </c>
      <c r="C45">
        <v>1.61027979850769</v>
      </c>
      <c r="D45">
        <v>307.39999999999998</v>
      </c>
      <c r="E45" s="2">
        <f t="shared" si="0"/>
        <v>1</v>
      </c>
      <c r="F45" s="1">
        <v>42993</v>
      </c>
      <c r="G45">
        <f t="shared" si="1"/>
        <v>309.74917435038088</v>
      </c>
      <c r="H45">
        <f t="shared" si="2"/>
        <v>312.35000010061259</v>
      </c>
      <c r="J45">
        <f t="shared" si="3"/>
        <v>4.9500001006126126</v>
      </c>
    </row>
    <row r="46" spans="1:10" x14ac:dyDescent="0.3">
      <c r="A46" s="1">
        <v>42989</v>
      </c>
      <c r="B46">
        <v>0.110987678170204</v>
      </c>
      <c r="C46">
        <v>2.4001288414001398</v>
      </c>
      <c r="D46">
        <v>310.39999999999998</v>
      </c>
      <c r="E46" s="2">
        <f t="shared" si="0"/>
        <v>1</v>
      </c>
      <c r="F46" s="1">
        <v>42996</v>
      </c>
      <c r="G46">
        <f t="shared" si="1"/>
        <v>310.7445057530403</v>
      </c>
      <c r="H46">
        <f t="shared" si="2"/>
        <v>317.84999992370604</v>
      </c>
      <c r="J46">
        <f t="shared" si="3"/>
        <v>7.4499999237060592</v>
      </c>
    </row>
    <row r="47" spans="1:10" x14ac:dyDescent="0.3">
      <c r="A47" s="1">
        <v>42990</v>
      </c>
      <c r="B47">
        <v>-1.8279233947396199E-2</v>
      </c>
      <c r="C47">
        <v>2.2071855068206698</v>
      </c>
      <c r="D47">
        <v>310.35000000000002</v>
      </c>
      <c r="E47" s="2">
        <f t="shared" si="0"/>
        <v>0</v>
      </c>
      <c r="F47" s="1">
        <v>42997</v>
      </c>
      <c r="G47">
        <f t="shared" si="1"/>
        <v>310.2932703974443</v>
      </c>
      <c r="H47">
        <f t="shared" si="2"/>
        <v>317.20000022041796</v>
      </c>
      <c r="J47">
        <f t="shared" si="3"/>
        <v>-6.8500002204179395</v>
      </c>
    </row>
    <row r="48" spans="1:10" x14ac:dyDescent="0.3">
      <c r="A48" s="1">
        <v>42991</v>
      </c>
      <c r="B48">
        <v>-0.411679476499557</v>
      </c>
      <c r="C48">
        <v>2.3409750461578298</v>
      </c>
      <c r="D48">
        <v>309.7</v>
      </c>
      <c r="E48" s="2">
        <f t="shared" si="0"/>
        <v>0</v>
      </c>
      <c r="F48" s="1">
        <v>42998</v>
      </c>
      <c r="G48">
        <f t="shared" si="1"/>
        <v>308.42502866128086</v>
      </c>
      <c r="H48">
        <f t="shared" si="2"/>
        <v>316.94999971795079</v>
      </c>
      <c r="J48">
        <f t="shared" si="3"/>
        <v>-7.2499997179508</v>
      </c>
    </row>
    <row r="49" spans="1:10" x14ac:dyDescent="0.3">
      <c r="A49" s="1">
        <v>42992</v>
      </c>
      <c r="B49">
        <v>0.57790124416351296</v>
      </c>
      <c r="C49">
        <v>1.8625562191009499</v>
      </c>
      <c r="D49">
        <v>311.39999999999998</v>
      </c>
      <c r="E49" s="2">
        <f t="shared" si="0"/>
        <v>1</v>
      </c>
      <c r="F49" s="1">
        <v>42999</v>
      </c>
      <c r="G49">
        <f t="shared" si="1"/>
        <v>313.19958447432515</v>
      </c>
      <c r="H49">
        <f t="shared" si="2"/>
        <v>317.20000006628032</v>
      </c>
      <c r="J49">
        <f t="shared" si="3"/>
        <v>5.8000000662803473</v>
      </c>
    </row>
    <row r="50" spans="1:10" x14ac:dyDescent="0.3">
      <c r="A50" s="1">
        <v>42993</v>
      </c>
      <c r="B50">
        <v>-0.55427378416061401</v>
      </c>
      <c r="C50">
        <v>0.81639188528060902</v>
      </c>
      <c r="D50">
        <v>312.35000000000002</v>
      </c>
      <c r="E50" s="2">
        <f t="shared" si="0"/>
        <v>0</v>
      </c>
      <c r="F50" s="1">
        <v>43000</v>
      </c>
      <c r="G50">
        <f t="shared" si="1"/>
        <v>310.61872583517436</v>
      </c>
      <c r="H50">
        <f t="shared" si="2"/>
        <v>314.90000005367398</v>
      </c>
      <c r="J50">
        <f t="shared" si="3"/>
        <v>-2.5500000536739549</v>
      </c>
    </row>
    <row r="51" spans="1:10" x14ac:dyDescent="0.3">
      <c r="A51" s="1">
        <v>42996</v>
      </c>
      <c r="B51">
        <v>-0.48825454711914001</v>
      </c>
      <c r="C51">
        <v>-0.91238003969192505</v>
      </c>
      <c r="D51">
        <v>317.85000000000002</v>
      </c>
      <c r="E51" s="2">
        <f t="shared" si="0"/>
        <v>1</v>
      </c>
      <c r="F51" s="1">
        <v>43003</v>
      </c>
      <c r="G51">
        <f t="shared" si="1"/>
        <v>316.29808292198186</v>
      </c>
      <c r="H51">
        <f t="shared" si="2"/>
        <v>314.95000004383922</v>
      </c>
      <c r="J51">
        <f t="shared" si="3"/>
        <v>2.8999999561607979</v>
      </c>
    </row>
    <row r="52" spans="1:10" x14ac:dyDescent="0.3">
      <c r="A52" s="1">
        <v>42997</v>
      </c>
      <c r="B52">
        <v>4.5498140156268997E-2</v>
      </c>
      <c r="C52">
        <v>-1.33984863758087</v>
      </c>
      <c r="D52">
        <v>317.2</v>
      </c>
      <c r="E52" s="2">
        <f t="shared" si="0"/>
        <v>0</v>
      </c>
      <c r="F52" s="1">
        <v>43004</v>
      </c>
      <c r="G52">
        <f t="shared" si="1"/>
        <v>317.34432010057566</v>
      </c>
      <c r="H52">
        <f t="shared" si="2"/>
        <v>312.95000012159346</v>
      </c>
      <c r="J52">
        <f t="shared" si="3"/>
        <v>-4.2499998784065269</v>
      </c>
    </row>
    <row r="53" spans="1:10" x14ac:dyDescent="0.3">
      <c r="A53" s="1">
        <v>42998</v>
      </c>
      <c r="B53">
        <v>0.217412769794464</v>
      </c>
      <c r="C53">
        <v>-1.3882316350936801</v>
      </c>
      <c r="D53">
        <v>316.95</v>
      </c>
      <c r="E53" s="2">
        <f t="shared" si="0"/>
        <v>0</v>
      </c>
      <c r="F53" s="1">
        <v>43005</v>
      </c>
      <c r="G53">
        <f t="shared" si="1"/>
        <v>317.63908977386353</v>
      </c>
      <c r="H53">
        <f t="shared" si="2"/>
        <v>312.54999983257056</v>
      </c>
      <c r="J53">
        <f t="shared" si="3"/>
        <v>-4.4000001674294253</v>
      </c>
    </row>
    <row r="54" spans="1:10" x14ac:dyDescent="0.3">
      <c r="A54" s="1">
        <v>42999</v>
      </c>
      <c r="B54">
        <v>0.25581839680671598</v>
      </c>
      <c r="C54">
        <v>-1.4029003381729099</v>
      </c>
      <c r="D54">
        <v>317.2</v>
      </c>
      <c r="E54" s="2">
        <f t="shared" si="0"/>
        <v>0</v>
      </c>
      <c r="F54" s="1">
        <v>43006</v>
      </c>
      <c r="G54">
        <f t="shared" si="1"/>
        <v>318.01145595467091</v>
      </c>
      <c r="H54">
        <f t="shared" si="2"/>
        <v>312.7500001273155</v>
      </c>
      <c r="J54">
        <f t="shared" si="3"/>
        <v>-4.4499998726844865</v>
      </c>
    </row>
    <row r="55" spans="1:10" x14ac:dyDescent="0.3">
      <c r="A55" s="1">
        <v>43000</v>
      </c>
      <c r="B55">
        <v>1.1918959617614699</v>
      </c>
      <c r="C55">
        <v>0.17465862631797699</v>
      </c>
      <c r="D55">
        <v>314.89999999999998</v>
      </c>
      <c r="E55" s="2">
        <f t="shared" si="0"/>
        <v>1</v>
      </c>
      <c r="F55" s="1">
        <v>43007</v>
      </c>
      <c r="G55">
        <f t="shared" si="1"/>
        <v>318.65328038358683</v>
      </c>
      <c r="H55">
        <f t="shared" si="2"/>
        <v>315.4500000142753</v>
      </c>
      <c r="J55">
        <f t="shared" si="3"/>
        <v>0.55000001427532652</v>
      </c>
    </row>
    <row r="56" spans="1:10" x14ac:dyDescent="0.3">
      <c r="A56" s="1">
        <v>43003</v>
      </c>
      <c r="B56">
        <v>0.586905717849731</v>
      </c>
      <c r="C56">
        <v>2.0161931514739901</v>
      </c>
      <c r="D56">
        <v>314.95</v>
      </c>
      <c r="E56" s="2">
        <f t="shared" si="0"/>
        <v>1</v>
      </c>
      <c r="F56" s="1">
        <v>43018</v>
      </c>
      <c r="G56">
        <f t="shared" si="1"/>
        <v>316.79845955836771</v>
      </c>
      <c r="H56">
        <f t="shared" si="2"/>
        <v>321.30000033056734</v>
      </c>
      <c r="J56">
        <f t="shared" si="3"/>
        <v>6.3500003305673545</v>
      </c>
    </row>
    <row r="57" spans="1:10" x14ac:dyDescent="0.3">
      <c r="A57" s="1">
        <v>43004</v>
      </c>
      <c r="B57">
        <v>1.07720863819122</v>
      </c>
      <c r="C57">
        <v>3.6587314605712802</v>
      </c>
      <c r="D57">
        <v>312.95</v>
      </c>
      <c r="E57" s="2">
        <f t="shared" si="0"/>
        <v>1</v>
      </c>
      <c r="F57" s="1">
        <v>43019</v>
      </c>
      <c r="G57">
        <f t="shared" si="1"/>
        <v>316.32112443321944</v>
      </c>
      <c r="H57">
        <f t="shared" si="2"/>
        <v>324.40000010585783</v>
      </c>
      <c r="J57">
        <f t="shared" si="3"/>
        <v>11.450000105857839</v>
      </c>
    </row>
    <row r="58" spans="1:10" x14ac:dyDescent="0.3">
      <c r="A58" s="1">
        <v>43005</v>
      </c>
      <c r="B58">
        <v>0.69938308000564497</v>
      </c>
      <c r="C58">
        <v>4.5592703819274902</v>
      </c>
      <c r="D58">
        <v>312.55</v>
      </c>
      <c r="E58" s="2">
        <f t="shared" si="0"/>
        <v>1</v>
      </c>
      <c r="F58" s="1">
        <v>43020</v>
      </c>
      <c r="G58">
        <f t="shared" si="1"/>
        <v>314.73592181655766</v>
      </c>
      <c r="H58">
        <f t="shared" si="2"/>
        <v>326.79999957871439</v>
      </c>
      <c r="J58">
        <f t="shared" si="3"/>
        <v>14.24999957871438</v>
      </c>
    </row>
    <row r="59" spans="1:10" x14ac:dyDescent="0.3">
      <c r="A59" s="1">
        <v>43006</v>
      </c>
      <c r="B59">
        <v>1.6382697820663401</v>
      </c>
      <c r="C59">
        <v>4.3804955482482901</v>
      </c>
      <c r="D59">
        <v>312.75</v>
      </c>
      <c r="E59" s="2">
        <f t="shared" si="0"/>
        <v>1</v>
      </c>
      <c r="F59" s="1">
        <v>43021</v>
      </c>
      <c r="G59">
        <f t="shared" si="1"/>
        <v>317.87368874341246</v>
      </c>
      <c r="H59">
        <f t="shared" si="2"/>
        <v>326.44999982714654</v>
      </c>
      <c r="J59">
        <f t="shared" si="3"/>
        <v>13.699999827146542</v>
      </c>
    </row>
    <row r="60" spans="1:10" x14ac:dyDescent="0.3">
      <c r="A60" s="1">
        <v>43007</v>
      </c>
      <c r="B60">
        <v>1.9310319423675499</v>
      </c>
      <c r="C60">
        <v>3.5504834651946999</v>
      </c>
      <c r="D60">
        <v>315.45</v>
      </c>
      <c r="E60" s="2">
        <f t="shared" si="0"/>
        <v>1</v>
      </c>
      <c r="F60" s="1">
        <v>43024</v>
      </c>
      <c r="G60">
        <f t="shared" si="1"/>
        <v>321.54144026219842</v>
      </c>
      <c r="H60">
        <f t="shared" si="2"/>
        <v>326.65000009095667</v>
      </c>
      <c r="J60">
        <f t="shared" si="3"/>
        <v>11.200000090956678</v>
      </c>
    </row>
    <row r="61" spans="1:10" x14ac:dyDescent="0.3">
      <c r="A61" s="1">
        <v>43018</v>
      </c>
      <c r="B61">
        <v>1.53701031208038</v>
      </c>
      <c r="C61">
        <v>1.7584811449050901</v>
      </c>
      <c r="D61">
        <v>321.3</v>
      </c>
      <c r="E61" s="2">
        <f t="shared" si="0"/>
        <v>1</v>
      </c>
      <c r="F61" s="1">
        <v>43025</v>
      </c>
      <c r="G61">
        <f t="shared" si="1"/>
        <v>326.2384141327143</v>
      </c>
      <c r="H61">
        <f t="shared" si="2"/>
        <v>326.94999991858009</v>
      </c>
      <c r="J61">
        <f t="shared" si="3"/>
        <v>5.6499999185800789</v>
      </c>
    </row>
    <row r="62" spans="1:10" x14ac:dyDescent="0.3">
      <c r="A62" s="1">
        <v>43019</v>
      </c>
      <c r="B62">
        <v>6.0446180403232498E-2</v>
      </c>
      <c r="C62">
        <v>0.80147963762283303</v>
      </c>
      <c r="D62">
        <v>324.39999999999998</v>
      </c>
      <c r="E62" s="2">
        <f t="shared" si="0"/>
        <v>1</v>
      </c>
      <c r="F62" s="1">
        <v>43026</v>
      </c>
      <c r="G62">
        <f t="shared" si="1"/>
        <v>324.59608740922806</v>
      </c>
      <c r="H62">
        <f t="shared" si="2"/>
        <v>326.99999994444846</v>
      </c>
      <c r="J62">
        <f t="shared" si="3"/>
        <v>2.5999999444484843</v>
      </c>
    </row>
    <row r="63" spans="1:10" x14ac:dyDescent="0.3">
      <c r="A63" s="1">
        <v>43020</v>
      </c>
      <c r="B63">
        <v>-0.84641420841216997</v>
      </c>
      <c r="C63">
        <v>-0.47429621219634999</v>
      </c>
      <c r="D63">
        <v>326.8</v>
      </c>
      <c r="E63" s="2">
        <f t="shared" si="0"/>
        <v>1</v>
      </c>
      <c r="F63" s="1">
        <v>43027</v>
      </c>
      <c r="G63">
        <f t="shared" si="1"/>
        <v>324.03391836690906</v>
      </c>
      <c r="H63">
        <f t="shared" si="2"/>
        <v>325.24999997854235</v>
      </c>
      <c r="J63">
        <f t="shared" si="3"/>
        <v>1.550000021457663</v>
      </c>
    </row>
    <row r="64" spans="1:10" x14ac:dyDescent="0.3">
      <c r="A64" s="1">
        <v>43021</v>
      </c>
      <c r="B64">
        <v>-0.39778169989585799</v>
      </c>
      <c r="C64">
        <v>0.29100933670997597</v>
      </c>
      <c r="D64">
        <v>326.45</v>
      </c>
      <c r="E64" s="2">
        <f t="shared" si="0"/>
        <v>0</v>
      </c>
      <c r="F64" s="1">
        <v>43028</v>
      </c>
      <c r="G64">
        <f t="shared" si="1"/>
        <v>325.15144164068994</v>
      </c>
      <c r="H64">
        <f t="shared" si="2"/>
        <v>327.39999997968971</v>
      </c>
      <c r="J64">
        <f t="shared" si="3"/>
        <v>-0.94999997968972139</v>
      </c>
    </row>
    <row r="65" spans="1:10" x14ac:dyDescent="0.3">
      <c r="A65" s="1">
        <v>43024</v>
      </c>
      <c r="B65">
        <v>0.46376121044158902</v>
      </c>
      <c r="C65">
        <v>0.47451400756835899</v>
      </c>
      <c r="D65">
        <v>326.64999999999998</v>
      </c>
      <c r="E65" s="2">
        <f t="shared" si="0"/>
        <v>1</v>
      </c>
      <c r="F65" s="1">
        <v>43031</v>
      </c>
      <c r="G65">
        <f t="shared" si="1"/>
        <v>328.1648759939074</v>
      </c>
      <c r="H65">
        <f t="shared" si="2"/>
        <v>328.20000000572202</v>
      </c>
      <c r="J65">
        <f t="shared" si="3"/>
        <v>1.5500000057220404</v>
      </c>
    </row>
    <row r="66" spans="1:10" x14ac:dyDescent="0.3">
      <c r="A66" s="1">
        <v>43025</v>
      </c>
      <c r="B66">
        <v>0.74990582466125399</v>
      </c>
      <c r="C66">
        <v>0.22939287126064301</v>
      </c>
      <c r="D66">
        <v>326.95</v>
      </c>
      <c r="E66" s="2">
        <f t="shared" si="0"/>
        <v>1</v>
      </c>
      <c r="F66" s="1">
        <v>43032</v>
      </c>
      <c r="G66">
        <f t="shared" si="1"/>
        <v>329.40181709372996</v>
      </c>
      <c r="H66">
        <f t="shared" si="2"/>
        <v>327.69999999258664</v>
      </c>
      <c r="J66">
        <f t="shared" si="3"/>
        <v>0.74999999258665184</v>
      </c>
    </row>
    <row r="67" spans="1:10" x14ac:dyDescent="0.3">
      <c r="A67" s="1">
        <v>43026</v>
      </c>
      <c r="B67">
        <v>1.05840444564819</v>
      </c>
      <c r="C67">
        <v>0.27522936463356001</v>
      </c>
      <c r="D67">
        <v>327</v>
      </c>
      <c r="E67" s="2">
        <f t="shared" ref="E67:E130" si="4">IF(B67*C67&gt;0,1,0)</f>
        <v>1</v>
      </c>
      <c r="F67" s="1">
        <v>43033</v>
      </c>
      <c r="G67">
        <f t="shared" ref="G67:G130" si="5">B67*D67/100 + D67</f>
        <v>330.46098253726956</v>
      </c>
      <c r="H67">
        <f t="shared" ref="H67:H130" si="6">C67*D67/100 + D67</f>
        <v>327.90000002235172</v>
      </c>
      <c r="J67">
        <f t="shared" ref="J67:J130" si="7">IF(E67=1,ABS(D67-H67),-ABS(D67-H67))</f>
        <v>0.90000002235171905</v>
      </c>
    </row>
    <row r="68" spans="1:10" x14ac:dyDescent="0.3">
      <c r="A68" s="1">
        <v>43027</v>
      </c>
      <c r="B68">
        <v>0.47312965989112798</v>
      </c>
      <c r="C68">
        <v>-0.107609532773494</v>
      </c>
      <c r="D68">
        <v>325.25</v>
      </c>
      <c r="E68" s="2">
        <f t="shared" si="4"/>
        <v>0</v>
      </c>
      <c r="F68" s="1">
        <v>43034</v>
      </c>
      <c r="G68">
        <f t="shared" si="5"/>
        <v>326.7888542187959</v>
      </c>
      <c r="H68">
        <f t="shared" si="6"/>
        <v>324.89999999465419</v>
      </c>
      <c r="J68">
        <f t="shared" si="7"/>
        <v>-0.35000000534580522</v>
      </c>
    </row>
    <row r="69" spans="1:10" x14ac:dyDescent="0.3">
      <c r="A69" s="1">
        <v>43028</v>
      </c>
      <c r="B69">
        <v>0.48316925764083801</v>
      </c>
      <c r="C69">
        <v>0.18326206505298601</v>
      </c>
      <c r="D69">
        <v>327.39999999999998</v>
      </c>
      <c r="E69" s="2">
        <f t="shared" si="4"/>
        <v>1</v>
      </c>
      <c r="F69" s="1">
        <v>43035</v>
      </c>
      <c r="G69">
        <f t="shared" si="5"/>
        <v>328.9818961495161</v>
      </c>
      <c r="H69">
        <f t="shared" si="6"/>
        <v>328.00000000098345</v>
      </c>
      <c r="J69">
        <f t="shared" si="7"/>
        <v>0.60000000098347073</v>
      </c>
    </row>
    <row r="70" spans="1:10" x14ac:dyDescent="0.3">
      <c r="A70" s="1">
        <v>43031</v>
      </c>
      <c r="B70">
        <v>1.1364052295684799</v>
      </c>
      <c r="C70">
        <v>0.121876902878284</v>
      </c>
      <c r="D70">
        <v>328.2</v>
      </c>
      <c r="E70" s="2">
        <f t="shared" si="4"/>
        <v>1</v>
      </c>
      <c r="F70" s="1">
        <v>43038</v>
      </c>
      <c r="G70">
        <f t="shared" si="5"/>
        <v>331.92968196344373</v>
      </c>
      <c r="H70">
        <f t="shared" si="6"/>
        <v>328.59999999524649</v>
      </c>
      <c r="J70">
        <f t="shared" si="7"/>
        <v>0.3999999952465032</v>
      </c>
    </row>
    <row r="71" spans="1:10" x14ac:dyDescent="0.3">
      <c r="A71" s="1">
        <v>43032</v>
      </c>
      <c r="B71">
        <v>1.74178338050842</v>
      </c>
      <c r="C71">
        <v>1.37320721149444</v>
      </c>
      <c r="D71">
        <v>327.7</v>
      </c>
      <c r="E71" s="2">
        <f t="shared" si="4"/>
        <v>1</v>
      </c>
      <c r="F71" s="1">
        <v>43039</v>
      </c>
      <c r="G71">
        <f t="shared" si="5"/>
        <v>333.40782413792607</v>
      </c>
      <c r="H71">
        <f t="shared" si="6"/>
        <v>332.20000003206729</v>
      </c>
      <c r="J71">
        <f t="shared" si="7"/>
        <v>4.5000000320673053</v>
      </c>
    </row>
    <row r="72" spans="1:10" x14ac:dyDescent="0.3">
      <c r="A72" s="1">
        <v>43033</v>
      </c>
      <c r="B72">
        <v>0.32130059599876398</v>
      </c>
      <c r="C72">
        <v>2.9887161254882799</v>
      </c>
      <c r="D72">
        <v>327.9</v>
      </c>
      <c r="E72" s="2">
        <f t="shared" si="4"/>
        <v>1</v>
      </c>
      <c r="F72" s="1">
        <v>43040</v>
      </c>
      <c r="G72">
        <f t="shared" si="5"/>
        <v>328.95354465427994</v>
      </c>
      <c r="H72">
        <f t="shared" si="6"/>
        <v>337.70000017547602</v>
      </c>
      <c r="J72">
        <f t="shared" si="7"/>
        <v>9.8000001754760433</v>
      </c>
    </row>
    <row r="73" spans="1:10" x14ac:dyDescent="0.3">
      <c r="A73" s="1">
        <v>43034</v>
      </c>
      <c r="B73">
        <v>-0.40451905131339999</v>
      </c>
      <c r="C73">
        <v>3.47799324989318</v>
      </c>
      <c r="D73">
        <v>324.89999999999998</v>
      </c>
      <c r="E73" s="2">
        <f t="shared" si="4"/>
        <v>0</v>
      </c>
      <c r="F73" s="1">
        <v>43041</v>
      </c>
      <c r="G73">
        <f t="shared" si="5"/>
        <v>323.58571760228273</v>
      </c>
      <c r="H73">
        <f t="shared" si="6"/>
        <v>336.20000006890291</v>
      </c>
      <c r="J73">
        <f t="shared" si="7"/>
        <v>-11.300000068902932</v>
      </c>
    </row>
    <row r="74" spans="1:10" x14ac:dyDescent="0.3">
      <c r="A74" s="1">
        <v>43035</v>
      </c>
      <c r="B74">
        <v>0.55068629980087203</v>
      </c>
      <c r="C74">
        <v>2.8963415622711102</v>
      </c>
      <c r="D74">
        <v>328</v>
      </c>
      <c r="E74" s="2">
        <f t="shared" si="4"/>
        <v>1</v>
      </c>
      <c r="F74" s="1">
        <v>43042</v>
      </c>
      <c r="G74">
        <f t="shared" si="5"/>
        <v>329.80625106334685</v>
      </c>
      <c r="H74">
        <f t="shared" si="6"/>
        <v>337.50000032424924</v>
      </c>
      <c r="J74">
        <f t="shared" si="7"/>
        <v>9.5000003242492426</v>
      </c>
    </row>
    <row r="75" spans="1:10" x14ac:dyDescent="0.3">
      <c r="A75" s="1">
        <v>43038</v>
      </c>
      <c r="B75">
        <v>-4.6876423060893999E-2</v>
      </c>
      <c r="C75">
        <v>2.0389530658721902</v>
      </c>
      <c r="D75">
        <v>328.6</v>
      </c>
      <c r="E75" s="2">
        <f t="shared" si="4"/>
        <v>0</v>
      </c>
      <c r="F75" s="1">
        <v>43045</v>
      </c>
      <c r="G75">
        <f t="shared" si="5"/>
        <v>328.44596407382193</v>
      </c>
      <c r="H75">
        <f t="shared" si="6"/>
        <v>335.29999977445607</v>
      </c>
      <c r="J75">
        <f t="shared" si="7"/>
        <v>-6.699999774456046</v>
      </c>
    </row>
    <row r="76" spans="1:10" x14ac:dyDescent="0.3">
      <c r="A76" s="1">
        <v>43039</v>
      </c>
      <c r="B76">
        <v>0.41358491778373702</v>
      </c>
      <c r="C76">
        <v>0.81276339292526201</v>
      </c>
      <c r="D76">
        <v>332.2</v>
      </c>
      <c r="E76" s="2">
        <f t="shared" si="4"/>
        <v>1</v>
      </c>
      <c r="F76" s="1">
        <v>43046</v>
      </c>
      <c r="G76">
        <f t="shared" si="5"/>
        <v>333.57392909687758</v>
      </c>
      <c r="H76">
        <f t="shared" si="6"/>
        <v>334.8999999912977</v>
      </c>
      <c r="J76">
        <f t="shared" si="7"/>
        <v>2.699999991297716</v>
      </c>
    </row>
    <row r="77" spans="1:10" x14ac:dyDescent="0.3">
      <c r="A77" s="1">
        <v>43040</v>
      </c>
      <c r="B77">
        <v>0.77226340770721402</v>
      </c>
      <c r="C77">
        <v>-0.384957075119018</v>
      </c>
      <c r="D77">
        <v>337.7</v>
      </c>
      <c r="E77" s="2">
        <f t="shared" si="4"/>
        <v>0</v>
      </c>
      <c r="F77" s="1">
        <v>43047</v>
      </c>
      <c r="G77">
        <f t="shared" si="5"/>
        <v>340.30793352782723</v>
      </c>
      <c r="H77">
        <f t="shared" si="6"/>
        <v>336.39999995732308</v>
      </c>
      <c r="J77">
        <f t="shared" si="7"/>
        <v>-1.3000000426769134</v>
      </c>
    </row>
    <row r="78" spans="1:10" x14ac:dyDescent="0.3">
      <c r="A78" s="1">
        <v>43041</v>
      </c>
      <c r="B78">
        <v>-0.46690967679023698</v>
      </c>
      <c r="C78">
        <v>-0.41641879081726002</v>
      </c>
      <c r="D78">
        <v>336.2</v>
      </c>
      <c r="E78" s="2">
        <f t="shared" si="4"/>
        <v>1</v>
      </c>
      <c r="F78" s="1">
        <v>43048</v>
      </c>
      <c r="G78">
        <f t="shared" si="5"/>
        <v>334.63024966663119</v>
      </c>
      <c r="H78">
        <f t="shared" si="6"/>
        <v>334.80000002527237</v>
      </c>
      <c r="J78">
        <f t="shared" si="7"/>
        <v>1.3999999747276206</v>
      </c>
    </row>
    <row r="79" spans="1:10" x14ac:dyDescent="0.3">
      <c r="A79" s="1">
        <v>43042</v>
      </c>
      <c r="B79">
        <v>-1.2539373636245701</v>
      </c>
      <c r="C79">
        <v>-1.02222228050231</v>
      </c>
      <c r="D79">
        <v>337.5</v>
      </c>
      <c r="E79" s="2">
        <f t="shared" si="4"/>
        <v>1</v>
      </c>
      <c r="F79" s="1">
        <v>43049</v>
      </c>
      <c r="G79">
        <f t="shared" si="5"/>
        <v>333.26796139776707</v>
      </c>
      <c r="H79">
        <f t="shared" si="6"/>
        <v>334.04999980330473</v>
      </c>
      <c r="J79">
        <f t="shared" si="7"/>
        <v>3.4500001966952709</v>
      </c>
    </row>
    <row r="80" spans="1:10" x14ac:dyDescent="0.3">
      <c r="A80" s="1">
        <v>43045</v>
      </c>
      <c r="B80">
        <v>-0.20974783599376601</v>
      </c>
      <c r="C80">
        <v>-0.77542501688003496</v>
      </c>
      <c r="D80">
        <v>335.3</v>
      </c>
      <c r="E80" s="2">
        <f t="shared" si="4"/>
        <v>1</v>
      </c>
      <c r="F80" s="1">
        <v>43052</v>
      </c>
      <c r="G80">
        <f t="shared" si="5"/>
        <v>334.59671550591293</v>
      </c>
      <c r="H80">
        <f t="shared" si="6"/>
        <v>332.69999991840126</v>
      </c>
      <c r="J80">
        <f t="shared" si="7"/>
        <v>2.6000000815987505</v>
      </c>
    </row>
    <row r="81" spans="1:10" x14ac:dyDescent="0.3">
      <c r="A81" s="1">
        <v>43046</v>
      </c>
      <c r="B81">
        <v>-0.39344191551208402</v>
      </c>
      <c r="C81">
        <v>-0.73156166076660101</v>
      </c>
      <c r="D81">
        <v>334.9</v>
      </c>
      <c r="E81" s="2">
        <f t="shared" si="4"/>
        <v>1</v>
      </c>
      <c r="F81" s="1">
        <v>43053</v>
      </c>
      <c r="G81">
        <f t="shared" si="5"/>
        <v>333.58236302494998</v>
      </c>
      <c r="H81">
        <f t="shared" si="6"/>
        <v>332.44999999809261</v>
      </c>
      <c r="J81">
        <f t="shared" si="7"/>
        <v>2.4500000019073696</v>
      </c>
    </row>
    <row r="82" spans="1:10" x14ac:dyDescent="0.3">
      <c r="A82" s="1">
        <v>43047</v>
      </c>
      <c r="B82">
        <v>0.35384115576744002</v>
      </c>
      <c r="C82">
        <v>-1.8133175373077299</v>
      </c>
      <c r="D82">
        <v>336.4</v>
      </c>
      <c r="E82" s="2">
        <f t="shared" si="4"/>
        <v>0</v>
      </c>
      <c r="F82" s="1">
        <v>43054</v>
      </c>
      <c r="G82">
        <f t="shared" si="5"/>
        <v>337.59032164800163</v>
      </c>
      <c r="H82">
        <f t="shared" si="6"/>
        <v>330.29999980449679</v>
      </c>
      <c r="J82">
        <f t="shared" si="7"/>
        <v>-6.1000001955031848</v>
      </c>
    </row>
    <row r="83" spans="1:10" x14ac:dyDescent="0.3">
      <c r="A83" s="1">
        <v>43048</v>
      </c>
      <c r="B83">
        <v>-0.109782122075557</v>
      </c>
      <c r="C83">
        <v>-0.70191156864166204</v>
      </c>
      <c r="D83">
        <v>334.8</v>
      </c>
      <c r="E83" s="2">
        <f t="shared" si="4"/>
        <v>1</v>
      </c>
      <c r="F83" s="1">
        <v>43055</v>
      </c>
      <c r="G83">
        <f t="shared" si="5"/>
        <v>334.43244945529102</v>
      </c>
      <c r="H83">
        <f t="shared" si="6"/>
        <v>332.45000006818771</v>
      </c>
      <c r="J83">
        <f t="shared" si="7"/>
        <v>2.3499999318123059</v>
      </c>
    </row>
    <row r="84" spans="1:10" x14ac:dyDescent="0.3">
      <c r="A84" s="1">
        <v>43049</v>
      </c>
      <c r="B84">
        <v>-1.5580526590347199</v>
      </c>
      <c r="C84">
        <v>-0.58374494314193703</v>
      </c>
      <c r="D84">
        <v>334.05</v>
      </c>
      <c r="E84" s="2">
        <f t="shared" si="4"/>
        <v>1</v>
      </c>
      <c r="F84" s="1">
        <v>43056</v>
      </c>
      <c r="G84">
        <f t="shared" si="5"/>
        <v>328.84532509249453</v>
      </c>
      <c r="H84">
        <f t="shared" si="6"/>
        <v>332.10000001743435</v>
      </c>
      <c r="J84">
        <f t="shared" si="7"/>
        <v>1.9499999825656573</v>
      </c>
    </row>
    <row r="85" spans="1:10" x14ac:dyDescent="0.3">
      <c r="A85" s="1">
        <v>43052</v>
      </c>
      <c r="B85">
        <v>7.7133759856224005E-2</v>
      </c>
      <c r="C85">
        <v>-0.63119930028915405</v>
      </c>
      <c r="D85">
        <v>332.7</v>
      </c>
      <c r="E85" s="2">
        <f t="shared" si="4"/>
        <v>0</v>
      </c>
      <c r="F85" s="1">
        <v>43059</v>
      </c>
      <c r="G85">
        <f t="shared" si="5"/>
        <v>332.95662401904167</v>
      </c>
      <c r="H85">
        <f t="shared" si="6"/>
        <v>330.59999992793797</v>
      </c>
      <c r="J85">
        <f t="shared" si="7"/>
        <v>-2.1000000720620164</v>
      </c>
    </row>
    <row r="86" spans="1:10" x14ac:dyDescent="0.3">
      <c r="A86" s="1">
        <v>43053</v>
      </c>
      <c r="B86">
        <v>0.275876015424728</v>
      </c>
      <c r="C86">
        <v>-0.135358706116676</v>
      </c>
      <c r="D86">
        <v>332.45</v>
      </c>
      <c r="E86" s="2">
        <f t="shared" si="4"/>
        <v>0</v>
      </c>
      <c r="F86" s="1">
        <v>43060</v>
      </c>
      <c r="G86">
        <f t="shared" si="5"/>
        <v>333.36714981327953</v>
      </c>
      <c r="H86">
        <f t="shared" si="6"/>
        <v>331.99999998151509</v>
      </c>
      <c r="J86">
        <f t="shared" si="7"/>
        <v>-0.45000001848490001</v>
      </c>
    </row>
    <row r="87" spans="1:10" x14ac:dyDescent="0.3">
      <c r="A87" s="1">
        <v>43054</v>
      </c>
      <c r="B87">
        <v>-0.48913425207138</v>
      </c>
      <c r="C87">
        <v>1.0293672084808301</v>
      </c>
      <c r="D87">
        <v>330.3</v>
      </c>
      <c r="E87" s="2">
        <f t="shared" si="4"/>
        <v>0</v>
      </c>
      <c r="F87" s="1">
        <v>43061</v>
      </c>
      <c r="G87">
        <f t="shared" si="5"/>
        <v>328.68438956540825</v>
      </c>
      <c r="H87">
        <f t="shared" si="6"/>
        <v>333.69999988961217</v>
      </c>
      <c r="J87">
        <f t="shared" si="7"/>
        <v>-3.399999889612161</v>
      </c>
    </row>
    <row r="88" spans="1:10" x14ac:dyDescent="0.3">
      <c r="A88" s="1">
        <v>43055</v>
      </c>
      <c r="B88">
        <v>2.34572049230337E-2</v>
      </c>
      <c r="C88">
        <v>4.5119568705558701E-2</v>
      </c>
      <c r="D88">
        <v>332.45</v>
      </c>
      <c r="E88" s="2">
        <f t="shared" si="4"/>
        <v>1</v>
      </c>
      <c r="F88" s="1">
        <v>43062</v>
      </c>
      <c r="G88">
        <f t="shared" si="5"/>
        <v>332.52798347776661</v>
      </c>
      <c r="H88">
        <f t="shared" si="6"/>
        <v>332.60000000616162</v>
      </c>
      <c r="J88">
        <f t="shared" si="7"/>
        <v>0.15000000616163334</v>
      </c>
    </row>
    <row r="89" spans="1:10" x14ac:dyDescent="0.3">
      <c r="A89" s="1">
        <v>43056</v>
      </c>
      <c r="B89">
        <v>1.8942767381668</v>
      </c>
      <c r="C89">
        <v>0.39144834876060403</v>
      </c>
      <c r="D89">
        <v>332.1</v>
      </c>
      <c r="E89" s="2">
        <f t="shared" si="4"/>
        <v>1</v>
      </c>
      <c r="F89" s="1">
        <v>43063</v>
      </c>
      <c r="G89">
        <f t="shared" si="5"/>
        <v>338.39089304745198</v>
      </c>
      <c r="H89">
        <f t="shared" si="6"/>
        <v>333.39999996623396</v>
      </c>
      <c r="J89">
        <f t="shared" si="7"/>
        <v>1.2999999662339405</v>
      </c>
    </row>
    <row r="90" spans="1:10" x14ac:dyDescent="0.3">
      <c r="A90" s="1">
        <v>43059</v>
      </c>
      <c r="B90">
        <v>1.3214985132217401</v>
      </c>
      <c r="C90">
        <v>-1.0738052129745399</v>
      </c>
      <c r="D90">
        <v>330.6</v>
      </c>
      <c r="E90" s="2">
        <f t="shared" si="4"/>
        <v>0</v>
      </c>
      <c r="F90" s="1">
        <v>43066</v>
      </c>
      <c r="G90">
        <f t="shared" si="5"/>
        <v>334.9688740847111</v>
      </c>
      <c r="H90">
        <f t="shared" si="6"/>
        <v>327.04999996590618</v>
      </c>
      <c r="J90">
        <f t="shared" si="7"/>
        <v>-3.5500000340938414</v>
      </c>
    </row>
    <row r="91" spans="1:10" x14ac:dyDescent="0.3">
      <c r="A91" s="1">
        <v>43060</v>
      </c>
      <c r="B91">
        <v>0.11400693655014001</v>
      </c>
      <c r="C91">
        <v>-0.94879519939422596</v>
      </c>
      <c r="D91">
        <v>332</v>
      </c>
      <c r="E91" s="2">
        <f t="shared" si="4"/>
        <v>0</v>
      </c>
      <c r="F91" s="1">
        <v>43067</v>
      </c>
      <c r="G91">
        <f t="shared" si="5"/>
        <v>332.37850302934646</v>
      </c>
      <c r="H91">
        <f t="shared" si="6"/>
        <v>328.84999993801119</v>
      </c>
      <c r="J91">
        <f t="shared" si="7"/>
        <v>-3.1500000619888056</v>
      </c>
    </row>
    <row r="92" spans="1:10" x14ac:dyDescent="0.3">
      <c r="A92" s="1">
        <v>43061</v>
      </c>
      <c r="B92">
        <v>-8.0487109720706898E-2</v>
      </c>
      <c r="C92">
        <v>-1.4534012079238801</v>
      </c>
      <c r="D92">
        <v>333.7</v>
      </c>
      <c r="E92" s="2">
        <f t="shared" si="4"/>
        <v>1</v>
      </c>
      <c r="F92" s="1">
        <v>43068</v>
      </c>
      <c r="G92">
        <f t="shared" si="5"/>
        <v>333.43141451486201</v>
      </c>
      <c r="H92">
        <f t="shared" si="6"/>
        <v>328.85000016915802</v>
      </c>
      <c r="J92">
        <f t="shared" si="7"/>
        <v>4.8499998308419663</v>
      </c>
    </row>
    <row r="93" spans="1:10" x14ac:dyDescent="0.3">
      <c r="A93" s="1">
        <v>43062</v>
      </c>
      <c r="B93">
        <v>0.40662732720375</v>
      </c>
      <c r="C93">
        <v>-2.7660853862762398</v>
      </c>
      <c r="D93">
        <v>332.6</v>
      </c>
      <c r="E93" s="2">
        <f t="shared" si="4"/>
        <v>0</v>
      </c>
      <c r="F93" s="1">
        <v>43069</v>
      </c>
      <c r="G93">
        <f t="shared" si="5"/>
        <v>333.95244249027968</v>
      </c>
      <c r="H93">
        <f t="shared" si="6"/>
        <v>323.40000000524526</v>
      </c>
      <c r="J93">
        <f t="shared" si="7"/>
        <v>-9.1999999947547622</v>
      </c>
    </row>
    <row r="94" spans="1:10" x14ac:dyDescent="0.3">
      <c r="A94" s="1">
        <v>43063</v>
      </c>
      <c r="B94">
        <v>0.240276798605918</v>
      </c>
      <c r="C94">
        <v>-3.1193761825561501</v>
      </c>
      <c r="D94">
        <v>333.4</v>
      </c>
      <c r="E94" s="2">
        <f t="shared" si="4"/>
        <v>0</v>
      </c>
      <c r="F94" s="1">
        <v>43070</v>
      </c>
      <c r="G94">
        <f t="shared" si="5"/>
        <v>334.20108284655208</v>
      </c>
      <c r="H94">
        <f t="shared" si="6"/>
        <v>322.99999980735777</v>
      </c>
      <c r="J94">
        <f t="shared" si="7"/>
        <v>-10.40000019264221</v>
      </c>
    </row>
    <row r="95" spans="1:10" x14ac:dyDescent="0.3">
      <c r="A95" s="1">
        <v>43066</v>
      </c>
      <c r="B95">
        <v>2.0827052593231201</v>
      </c>
      <c r="C95">
        <v>-0.27518728375434798</v>
      </c>
      <c r="D95">
        <v>327.05</v>
      </c>
      <c r="E95" s="2">
        <f t="shared" si="4"/>
        <v>0</v>
      </c>
      <c r="F95" s="1">
        <v>43073</v>
      </c>
      <c r="G95">
        <f t="shared" si="5"/>
        <v>333.86148755061629</v>
      </c>
      <c r="H95">
        <f t="shared" si="6"/>
        <v>326.1499999884814</v>
      </c>
      <c r="J95">
        <f t="shared" si="7"/>
        <v>-0.90000001151861397</v>
      </c>
    </row>
    <row r="96" spans="1:10" x14ac:dyDescent="0.3">
      <c r="A96" s="1">
        <v>43067</v>
      </c>
      <c r="B96">
        <v>0.798997282981872</v>
      </c>
      <c r="C96">
        <v>-0.33449900150299</v>
      </c>
      <c r="D96">
        <v>328.85</v>
      </c>
      <c r="E96" s="2">
        <f t="shared" si="4"/>
        <v>0</v>
      </c>
      <c r="F96" s="1">
        <v>43074</v>
      </c>
      <c r="G96">
        <f t="shared" si="5"/>
        <v>331.4775025650859</v>
      </c>
      <c r="H96">
        <f t="shared" si="6"/>
        <v>327.75000003355746</v>
      </c>
      <c r="J96">
        <f t="shared" si="7"/>
        <v>-1.0999999664425673</v>
      </c>
    </row>
    <row r="97" spans="1:10" x14ac:dyDescent="0.3">
      <c r="A97" s="1">
        <v>43068</v>
      </c>
      <c r="B97">
        <v>1.1249697208404501</v>
      </c>
      <c r="C97">
        <v>-1.83974456787109</v>
      </c>
      <c r="D97">
        <v>328.85</v>
      </c>
      <c r="E97" s="2">
        <f t="shared" si="4"/>
        <v>0</v>
      </c>
      <c r="F97" s="1">
        <v>43075</v>
      </c>
      <c r="G97">
        <f t="shared" si="5"/>
        <v>332.54946292698384</v>
      </c>
      <c r="H97">
        <f t="shared" si="6"/>
        <v>322.79999998855595</v>
      </c>
      <c r="J97">
        <f t="shared" si="7"/>
        <v>-6.0500000114440695</v>
      </c>
    </row>
    <row r="98" spans="1:10" x14ac:dyDescent="0.3">
      <c r="A98" s="1">
        <v>43069</v>
      </c>
      <c r="B98">
        <v>1.77371037006378</v>
      </c>
      <c r="C98">
        <v>-0.479282617568969</v>
      </c>
      <c r="D98">
        <v>323.39999999999998</v>
      </c>
      <c r="E98" s="2">
        <f t="shared" si="4"/>
        <v>0</v>
      </c>
      <c r="F98" s="1">
        <v>43076</v>
      </c>
      <c r="G98">
        <f t="shared" si="5"/>
        <v>329.13617933678626</v>
      </c>
      <c r="H98">
        <f t="shared" si="6"/>
        <v>321.85000001478193</v>
      </c>
      <c r="J98">
        <f t="shared" si="7"/>
        <v>-1.5499999852180508</v>
      </c>
    </row>
    <row r="99" spans="1:10" x14ac:dyDescent="0.3">
      <c r="A99" s="1">
        <v>43070</v>
      </c>
      <c r="B99">
        <v>2.0447406768798801</v>
      </c>
      <c r="C99">
        <v>-0.139318883419036</v>
      </c>
      <c r="D99">
        <v>323</v>
      </c>
      <c r="E99" s="2">
        <f t="shared" si="4"/>
        <v>0</v>
      </c>
      <c r="F99" s="1">
        <v>43077</v>
      </c>
      <c r="G99">
        <f t="shared" si="5"/>
        <v>329.60451238632203</v>
      </c>
      <c r="H99">
        <f t="shared" si="6"/>
        <v>322.5500000065565</v>
      </c>
      <c r="J99">
        <f t="shared" si="7"/>
        <v>-0.44999999344349817</v>
      </c>
    </row>
    <row r="100" spans="1:10" x14ac:dyDescent="0.3">
      <c r="A100" s="1">
        <v>43073</v>
      </c>
      <c r="B100">
        <v>8.3022333681583405E-2</v>
      </c>
      <c r="C100">
        <v>-1.07312583923339</v>
      </c>
      <c r="D100">
        <v>326.14999999999998</v>
      </c>
      <c r="E100" s="2">
        <f t="shared" si="4"/>
        <v>0</v>
      </c>
      <c r="F100" s="1">
        <v>43080</v>
      </c>
      <c r="G100">
        <f t="shared" si="5"/>
        <v>326.42077734130248</v>
      </c>
      <c r="H100">
        <f t="shared" si="6"/>
        <v>322.6500000753403</v>
      </c>
      <c r="J100">
        <f t="shared" si="7"/>
        <v>-3.4999999246596758</v>
      </c>
    </row>
    <row r="101" spans="1:10" x14ac:dyDescent="0.3">
      <c r="A101" s="1">
        <v>43074</v>
      </c>
      <c r="B101">
        <v>-0.18710555136203699</v>
      </c>
      <c r="C101">
        <v>-1.8764301538467401</v>
      </c>
      <c r="D101">
        <v>327.75</v>
      </c>
      <c r="E101" s="2">
        <f t="shared" si="4"/>
        <v>1</v>
      </c>
      <c r="F101" s="1">
        <v>43081</v>
      </c>
      <c r="G101">
        <f t="shared" si="5"/>
        <v>327.13676155541094</v>
      </c>
      <c r="H101">
        <f t="shared" si="6"/>
        <v>321.60000017076732</v>
      </c>
      <c r="J101">
        <f t="shared" si="7"/>
        <v>6.1499998292326836</v>
      </c>
    </row>
    <row r="102" spans="1:10" x14ac:dyDescent="0.3">
      <c r="A102" s="1">
        <v>43075</v>
      </c>
      <c r="B102">
        <v>2.0027441978454501</v>
      </c>
      <c r="C102">
        <v>0.371747225522995</v>
      </c>
      <c r="D102">
        <v>322.8</v>
      </c>
      <c r="E102" s="2">
        <f t="shared" si="4"/>
        <v>1</v>
      </c>
      <c r="F102" s="1">
        <v>43082</v>
      </c>
      <c r="G102">
        <f t="shared" si="5"/>
        <v>329.26485827064511</v>
      </c>
      <c r="H102">
        <f t="shared" si="6"/>
        <v>324.00000004398822</v>
      </c>
      <c r="J102">
        <f t="shared" si="7"/>
        <v>1.2000000439882115</v>
      </c>
    </row>
    <row r="103" spans="1:10" x14ac:dyDescent="0.3">
      <c r="A103" s="1">
        <v>43076</v>
      </c>
      <c r="B103">
        <v>1.61924135684967</v>
      </c>
      <c r="C103">
        <v>1.1185334920883101</v>
      </c>
      <c r="D103">
        <v>321.85000000000002</v>
      </c>
      <c r="E103" s="2">
        <f t="shared" si="4"/>
        <v>1</v>
      </c>
      <c r="F103" s="1">
        <v>43083</v>
      </c>
      <c r="G103">
        <f t="shared" si="5"/>
        <v>327.06152830702069</v>
      </c>
      <c r="H103">
        <f t="shared" si="6"/>
        <v>325.45000004428624</v>
      </c>
      <c r="J103">
        <f t="shared" si="7"/>
        <v>3.6000000442862188</v>
      </c>
    </row>
    <row r="104" spans="1:10" x14ac:dyDescent="0.3">
      <c r="A104" s="1">
        <v>43077</v>
      </c>
      <c r="B104">
        <v>0.60276997089385898</v>
      </c>
      <c r="C104">
        <v>0.41853976249694802</v>
      </c>
      <c r="D104">
        <v>322.55</v>
      </c>
      <c r="E104" s="2">
        <f t="shared" si="4"/>
        <v>1</v>
      </c>
      <c r="F104" s="1">
        <v>43084</v>
      </c>
      <c r="G104">
        <f t="shared" si="5"/>
        <v>324.49423454111815</v>
      </c>
      <c r="H104">
        <f t="shared" si="6"/>
        <v>323.90000000393394</v>
      </c>
      <c r="J104">
        <f t="shared" si="7"/>
        <v>1.3500000039339284</v>
      </c>
    </row>
    <row r="105" spans="1:10" x14ac:dyDescent="0.3">
      <c r="A105" s="1">
        <v>43080</v>
      </c>
      <c r="B105">
        <v>1.4238369464874201</v>
      </c>
      <c r="C105">
        <v>0.82132339477538996</v>
      </c>
      <c r="D105">
        <v>322.64999999999998</v>
      </c>
      <c r="E105" s="2">
        <f t="shared" si="4"/>
        <v>1</v>
      </c>
      <c r="F105" s="1">
        <v>43087</v>
      </c>
      <c r="G105">
        <f t="shared" si="5"/>
        <v>327.24400990784164</v>
      </c>
      <c r="H105">
        <f t="shared" si="6"/>
        <v>325.29999993324276</v>
      </c>
      <c r="J105">
        <f t="shared" si="7"/>
        <v>2.6499999332427819</v>
      </c>
    </row>
    <row r="106" spans="1:10" x14ac:dyDescent="0.3">
      <c r="A106" s="1">
        <v>43081</v>
      </c>
      <c r="B106">
        <v>1.22587502002716</v>
      </c>
      <c r="C106">
        <v>1.0572139024734399</v>
      </c>
      <c r="D106">
        <v>321.60000000000002</v>
      </c>
      <c r="E106" s="2">
        <f t="shared" si="4"/>
        <v>1</v>
      </c>
      <c r="F106" s="1">
        <v>43088</v>
      </c>
      <c r="G106">
        <f t="shared" si="5"/>
        <v>325.54241406440735</v>
      </c>
      <c r="H106">
        <f t="shared" si="6"/>
        <v>324.99999991035463</v>
      </c>
      <c r="J106">
        <f t="shared" si="7"/>
        <v>3.3999999103546088</v>
      </c>
    </row>
    <row r="107" spans="1:10" x14ac:dyDescent="0.3">
      <c r="A107" s="1">
        <v>43082</v>
      </c>
      <c r="B107">
        <v>0.16923911869525901</v>
      </c>
      <c r="C107">
        <v>0.21604938805103299</v>
      </c>
      <c r="D107">
        <v>324</v>
      </c>
      <c r="E107" s="2">
        <f t="shared" si="4"/>
        <v>1</v>
      </c>
      <c r="F107" s="1">
        <v>43089</v>
      </c>
      <c r="G107">
        <f t="shared" si="5"/>
        <v>324.54833474457263</v>
      </c>
      <c r="H107">
        <f t="shared" si="6"/>
        <v>324.70000001728533</v>
      </c>
      <c r="J107">
        <f t="shared" si="7"/>
        <v>0.70000001728533334</v>
      </c>
    </row>
    <row r="108" spans="1:10" x14ac:dyDescent="0.3">
      <c r="A108" s="1">
        <v>43083</v>
      </c>
      <c r="B108">
        <v>0.83102202415466297</v>
      </c>
      <c r="C108">
        <v>-2.2891380786895699</v>
      </c>
      <c r="D108">
        <v>325.45</v>
      </c>
      <c r="E108" s="2">
        <f t="shared" si="4"/>
        <v>0</v>
      </c>
      <c r="F108" s="1">
        <v>43090</v>
      </c>
      <c r="G108">
        <f t="shared" si="5"/>
        <v>328.15456117761136</v>
      </c>
      <c r="H108">
        <f t="shared" si="6"/>
        <v>318.00000012290479</v>
      </c>
      <c r="J108">
        <f t="shared" si="7"/>
        <v>-7.4499998770951947</v>
      </c>
    </row>
    <row r="109" spans="1:10" x14ac:dyDescent="0.3">
      <c r="A109" s="1">
        <v>43084</v>
      </c>
      <c r="B109">
        <v>0.81464338302612305</v>
      </c>
      <c r="C109">
        <v>-1.31213343143463</v>
      </c>
      <c r="D109">
        <v>323.89999999999998</v>
      </c>
      <c r="E109" s="2">
        <f t="shared" si="4"/>
        <v>0</v>
      </c>
      <c r="F109" s="1">
        <v>43091</v>
      </c>
      <c r="G109">
        <f t="shared" si="5"/>
        <v>326.53862991762156</v>
      </c>
      <c r="H109">
        <f t="shared" si="6"/>
        <v>319.64999981558321</v>
      </c>
      <c r="J109">
        <f t="shared" si="7"/>
        <v>-4.2500001844167627</v>
      </c>
    </row>
    <row r="110" spans="1:10" x14ac:dyDescent="0.3">
      <c r="A110" s="1">
        <v>43087</v>
      </c>
      <c r="B110">
        <v>0.94714844226837103</v>
      </c>
      <c r="C110">
        <v>-2.05963730812072</v>
      </c>
      <c r="D110">
        <v>325.3</v>
      </c>
      <c r="E110" s="2">
        <f t="shared" si="4"/>
        <v>0</v>
      </c>
      <c r="F110" s="1">
        <v>43095</v>
      </c>
      <c r="G110">
        <f t="shared" si="5"/>
        <v>328.38107388269901</v>
      </c>
      <c r="H110">
        <f t="shared" si="6"/>
        <v>318.59999983668331</v>
      </c>
      <c r="J110">
        <f t="shared" si="7"/>
        <v>-6.7000001633167017</v>
      </c>
    </row>
    <row r="111" spans="1:10" x14ac:dyDescent="0.3">
      <c r="A111" s="1">
        <v>43088</v>
      </c>
      <c r="B111">
        <v>0.90889102220535201</v>
      </c>
      <c r="C111">
        <v>-0.81538462638854903</v>
      </c>
      <c r="D111">
        <v>325</v>
      </c>
      <c r="E111" s="2">
        <f t="shared" si="4"/>
        <v>0</v>
      </c>
      <c r="F111" s="1">
        <v>43096</v>
      </c>
      <c r="G111">
        <f t="shared" si="5"/>
        <v>327.9538958221674</v>
      </c>
      <c r="H111">
        <f t="shared" si="6"/>
        <v>322.34999996423721</v>
      </c>
      <c r="J111">
        <f t="shared" si="7"/>
        <v>-2.6500000357627869</v>
      </c>
    </row>
    <row r="112" spans="1:10" x14ac:dyDescent="0.3">
      <c r="A112" s="1">
        <v>43089</v>
      </c>
      <c r="B112">
        <v>0.453030794858932</v>
      </c>
      <c r="C112">
        <v>0.64675086736678999</v>
      </c>
      <c r="D112">
        <v>324.7</v>
      </c>
      <c r="E112" s="2">
        <f t="shared" si="4"/>
        <v>1</v>
      </c>
      <c r="F112" s="1">
        <v>43097</v>
      </c>
      <c r="G112">
        <f t="shared" si="5"/>
        <v>326.17099099090694</v>
      </c>
      <c r="H112">
        <f t="shared" si="6"/>
        <v>326.80000006633998</v>
      </c>
      <c r="J112">
        <f t="shared" si="7"/>
        <v>2.1000000663399874</v>
      </c>
    </row>
    <row r="113" spans="1:10" x14ac:dyDescent="0.3">
      <c r="A113" s="1">
        <v>43090</v>
      </c>
      <c r="B113">
        <v>3.2839860916137602</v>
      </c>
      <c r="C113">
        <v>3.03459119796752</v>
      </c>
      <c r="D113">
        <v>318</v>
      </c>
      <c r="E113" s="2">
        <f t="shared" si="4"/>
        <v>1</v>
      </c>
      <c r="F113" s="1">
        <v>43102</v>
      </c>
      <c r="G113">
        <f t="shared" si="5"/>
        <v>328.44307577133173</v>
      </c>
      <c r="H113">
        <f t="shared" si="6"/>
        <v>327.65000000953671</v>
      </c>
      <c r="J113">
        <f t="shared" si="7"/>
        <v>9.6500000095367113</v>
      </c>
    </row>
    <row r="114" spans="1:10" x14ac:dyDescent="0.3">
      <c r="A114" s="1">
        <v>43091</v>
      </c>
      <c r="B114">
        <v>2.14205002784729</v>
      </c>
      <c r="C114">
        <v>2.8781480789184499</v>
      </c>
      <c r="D114">
        <v>319.64999999999998</v>
      </c>
      <c r="E114" s="2">
        <f t="shared" si="4"/>
        <v>1</v>
      </c>
      <c r="F114" s="1">
        <v>43103</v>
      </c>
      <c r="G114">
        <f t="shared" si="5"/>
        <v>326.49706291401384</v>
      </c>
      <c r="H114">
        <f t="shared" si="6"/>
        <v>328.8500003342628</v>
      </c>
      <c r="J114">
        <f t="shared" si="7"/>
        <v>9.2000003342628247</v>
      </c>
    </row>
    <row r="115" spans="1:10" x14ac:dyDescent="0.3">
      <c r="A115" s="1">
        <v>43095</v>
      </c>
      <c r="B115">
        <v>0.82635480165481501</v>
      </c>
      <c r="C115">
        <v>2.3697426319122301</v>
      </c>
      <c r="D115">
        <v>318.60000000000002</v>
      </c>
      <c r="E115" s="2">
        <f t="shared" si="4"/>
        <v>1</v>
      </c>
      <c r="F115" s="1">
        <v>43104</v>
      </c>
      <c r="G115">
        <f t="shared" si="5"/>
        <v>321.23276639807227</v>
      </c>
      <c r="H115">
        <f t="shared" si="6"/>
        <v>326.15000002527239</v>
      </c>
      <c r="J115">
        <f t="shared" si="7"/>
        <v>7.550000025272368</v>
      </c>
    </row>
    <row r="116" spans="1:10" x14ac:dyDescent="0.3">
      <c r="A116" s="1">
        <v>43096</v>
      </c>
      <c r="B116">
        <v>2.2457919120788499</v>
      </c>
      <c r="C116">
        <v>2.4042189121246298</v>
      </c>
      <c r="D116">
        <v>322.35000000000002</v>
      </c>
      <c r="E116" s="2">
        <f t="shared" si="4"/>
        <v>1</v>
      </c>
      <c r="F116" s="1">
        <v>43105</v>
      </c>
      <c r="G116">
        <f t="shared" si="5"/>
        <v>329.58931022858621</v>
      </c>
      <c r="H116">
        <f t="shared" si="6"/>
        <v>330.09999966323375</v>
      </c>
      <c r="J116">
        <f t="shared" si="7"/>
        <v>7.7499996632337229</v>
      </c>
    </row>
    <row r="117" spans="1:10" x14ac:dyDescent="0.3">
      <c r="A117" s="1">
        <v>43097</v>
      </c>
      <c r="B117">
        <v>9.0760968625545502E-2</v>
      </c>
      <c r="C117">
        <v>1.7135863304138099</v>
      </c>
      <c r="D117">
        <v>326.8</v>
      </c>
      <c r="E117" s="2">
        <f t="shared" si="4"/>
        <v>1</v>
      </c>
      <c r="F117" s="1">
        <v>43108</v>
      </c>
      <c r="G117">
        <f t="shared" si="5"/>
        <v>327.09660684546827</v>
      </c>
      <c r="H117">
        <f t="shared" si="6"/>
        <v>332.40000012779234</v>
      </c>
      <c r="J117">
        <f t="shared" si="7"/>
        <v>5.6000001277923275</v>
      </c>
    </row>
    <row r="118" spans="1:10" x14ac:dyDescent="0.3">
      <c r="A118" s="1">
        <v>43102</v>
      </c>
      <c r="B118">
        <v>5.8750607073307003E-2</v>
      </c>
      <c r="C118">
        <v>1.20555472373962</v>
      </c>
      <c r="D118">
        <v>327.64999999999998</v>
      </c>
      <c r="E118" s="2">
        <f t="shared" si="4"/>
        <v>1</v>
      </c>
      <c r="F118" s="1">
        <v>43109</v>
      </c>
      <c r="G118">
        <f t="shared" si="5"/>
        <v>327.84249636407566</v>
      </c>
      <c r="H118">
        <f t="shared" si="6"/>
        <v>331.60000005233286</v>
      </c>
      <c r="J118">
        <f t="shared" si="7"/>
        <v>3.9500000523328822</v>
      </c>
    </row>
    <row r="119" spans="1:10" x14ac:dyDescent="0.3">
      <c r="A119" s="1">
        <v>43103</v>
      </c>
      <c r="B119">
        <v>-1.3976689577102599</v>
      </c>
      <c r="C119">
        <v>4.5613501220941502E-2</v>
      </c>
      <c r="D119">
        <v>328.85</v>
      </c>
      <c r="E119" s="2">
        <f t="shared" si="4"/>
        <v>0</v>
      </c>
      <c r="F119" s="1">
        <v>43110</v>
      </c>
      <c r="G119">
        <f t="shared" si="5"/>
        <v>324.25376563256981</v>
      </c>
      <c r="H119">
        <f t="shared" si="6"/>
        <v>328.99999999876508</v>
      </c>
      <c r="J119">
        <f t="shared" si="7"/>
        <v>-0.14999999876505399</v>
      </c>
    </row>
    <row r="120" spans="1:10" x14ac:dyDescent="0.3">
      <c r="A120" s="1">
        <v>43104</v>
      </c>
      <c r="B120">
        <v>0.13638056814670499</v>
      </c>
      <c r="C120">
        <v>0.459911078214645</v>
      </c>
      <c r="D120">
        <v>326.14999999999998</v>
      </c>
      <c r="E120" s="2">
        <f t="shared" si="4"/>
        <v>1</v>
      </c>
      <c r="F120" s="1">
        <v>43111</v>
      </c>
      <c r="G120">
        <f t="shared" si="5"/>
        <v>326.59480522301044</v>
      </c>
      <c r="H120">
        <f t="shared" si="6"/>
        <v>327.64999998159703</v>
      </c>
      <c r="J120">
        <f t="shared" si="7"/>
        <v>1.4999999815970568</v>
      </c>
    </row>
    <row r="121" spans="1:10" x14ac:dyDescent="0.3">
      <c r="A121" s="1">
        <v>43105</v>
      </c>
      <c r="B121">
        <v>-0.43740510940551702</v>
      </c>
      <c r="C121">
        <v>-0.63617086410522405</v>
      </c>
      <c r="D121">
        <v>330.1</v>
      </c>
      <c r="E121" s="2">
        <f t="shared" si="4"/>
        <v>1</v>
      </c>
      <c r="F121" s="1">
        <v>43112</v>
      </c>
      <c r="G121">
        <f t="shared" si="5"/>
        <v>328.65612573385243</v>
      </c>
      <c r="H121">
        <f t="shared" si="6"/>
        <v>327.99999997758869</v>
      </c>
      <c r="J121">
        <f t="shared" si="7"/>
        <v>2.1000000224113364</v>
      </c>
    </row>
    <row r="122" spans="1:10" x14ac:dyDescent="0.3">
      <c r="A122" s="1">
        <v>43108</v>
      </c>
      <c r="B122">
        <v>-0.84757244586944502</v>
      </c>
      <c r="C122">
        <v>-1.18832731246948</v>
      </c>
      <c r="D122">
        <v>332.4</v>
      </c>
      <c r="E122" s="2">
        <f t="shared" si="4"/>
        <v>1</v>
      </c>
      <c r="F122" s="1">
        <v>43115</v>
      </c>
      <c r="G122">
        <f t="shared" si="5"/>
        <v>329.58266918992996</v>
      </c>
      <c r="H122">
        <f t="shared" si="6"/>
        <v>328.45000001335143</v>
      </c>
      <c r="J122">
        <f t="shared" si="7"/>
        <v>3.9499999866485496</v>
      </c>
    </row>
    <row r="123" spans="1:10" x14ac:dyDescent="0.3">
      <c r="A123" s="1">
        <v>43109</v>
      </c>
      <c r="B123">
        <v>-0.61393439769744795</v>
      </c>
      <c r="C123">
        <v>1.50784077122807E-2</v>
      </c>
      <c r="D123">
        <v>331.6</v>
      </c>
      <c r="E123" s="2">
        <f t="shared" si="4"/>
        <v>0</v>
      </c>
      <c r="F123" s="1">
        <v>43116</v>
      </c>
      <c r="G123">
        <f t="shared" si="5"/>
        <v>329.56419353723527</v>
      </c>
      <c r="H123">
        <f t="shared" si="6"/>
        <v>331.64999999997394</v>
      </c>
      <c r="J123">
        <f t="shared" si="7"/>
        <v>-4.9999999973920239E-2</v>
      </c>
    </row>
    <row r="124" spans="1:10" x14ac:dyDescent="0.3">
      <c r="A124" s="1">
        <v>43110</v>
      </c>
      <c r="B124">
        <v>1.43912601470947</v>
      </c>
      <c r="C124">
        <v>0.41033434867858798</v>
      </c>
      <c r="D124">
        <v>329</v>
      </c>
      <c r="E124" s="2">
        <f t="shared" si="4"/>
        <v>1</v>
      </c>
      <c r="F124" s="1">
        <v>43117</v>
      </c>
      <c r="G124">
        <f t="shared" si="5"/>
        <v>333.73472458839416</v>
      </c>
      <c r="H124">
        <f t="shared" si="6"/>
        <v>330.35000000715257</v>
      </c>
      <c r="J124">
        <f t="shared" si="7"/>
        <v>1.3500000071525733</v>
      </c>
    </row>
    <row r="125" spans="1:10" x14ac:dyDescent="0.3">
      <c r="A125" s="1">
        <v>43111</v>
      </c>
      <c r="B125">
        <v>2.16164922714233</v>
      </c>
      <c r="C125">
        <v>0.88509076833724898</v>
      </c>
      <c r="D125">
        <v>327.64999999999998</v>
      </c>
      <c r="E125" s="2">
        <f t="shared" si="4"/>
        <v>1</v>
      </c>
      <c r="F125" s="1">
        <v>43118</v>
      </c>
      <c r="G125">
        <f t="shared" si="5"/>
        <v>334.73264369273181</v>
      </c>
      <c r="H125">
        <f t="shared" si="6"/>
        <v>330.54999990245699</v>
      </c>
      <c r="J125">
        <f t="shared" si="7"/>
        <v>2.8999999024570116</v>
      </c>
    </row>
    <row r="126" spans="1:10" x14ac:dyDescent="0.3">
      <c r="A126" s="1">
        <v>43112</v>
      </c>
      <c r="B126">
        <v>0.59580653905868497</v>
      </c>
      <c r="C126">
        <v>0.83841460943222001</v>
      </c>
      <c r="D126">
        <v>328</v>
      </c>
      <c r="E126" s="2">
        <f t="shared" si="4"/>
        <v>1</v>
      </c>
      <c r="F126" s="1">
        <v>43119</v>
      </c>
      <c r="G126">
        <f t="shared" si="5"/>
        <v>329.95424544811249</v>
      </c>
      <c r="H126">
        <f t="shared" si="6"/>
        <v>330.7499999189377</v>
      </c>
      <c r="J126">
        <f t="shared" si="7"/>
        <v>2.7499999189377036</v>
      </c>
    </row>
    <row r="127" spans="1:10" x14ac:dyDescent="0.3">
      <c r="A127" s="1">
        <v>43115</v>
      </c>
      <c r="B127">
        <v>1.2423222064971899</v>
      </c>
      <c r="C127">
        <v>-0.31968337297439497</v>
      </c>
      <c r="D127">
        <v>328.45</v>
      </c>
      <c r="E127" s="2">
        <f t="shared" si="4"/>
        <v>0</v>
      </c>
      <c r="F127" s="1">
        <v>43122</v>
      </c>
      <c r="G127">
        <f t="shared" si="5"/>
        <v>332.53040728724</v>
      </c>
      <c r="H127">
        <f t="shared" si="6"/>
        <v>327.3999999614656</v>
      </c>
      <c r="J127">
        <f t="shared" si="7"/>
        <v>-1.0500000385343924</v>
      </c>
    </row>
    <row r="128" spans="1:10" x14ac:dyDescent="0.3">
      <c r="A128" s="1">
        <v>43116</v>
      </c>
      <c r="B128">
        <v>0.99019455909729004</v>
      </c>
      <c r="C128">
        <v>0.22614201903343201</v>
      </c>
      <c r="D128">
        <v>331.65</v>
      </c>
      <c r="E128" s="2">
        <f t="shared" si="4"/>
        <v>1</v>
      </c>
      <c r="F128" s="1">
        <v>43123</v>
      </c>
      <c r="G128">
        <f t="shared" si="5"/>
        <v>334.93398025524613</v>
      </c>
      <c r="H128">
        <f t="shared" si="6"/>
        <v>332.40000000612434</v>
      </c>
      <c r="J128">
        <f t="shared" si="7"/>
        <v>0.75000000612436679</v>
      </c>
    </row>
    <row r="129" spans="1:10" x14ac:dyDescent="0.3">
      <c r="A129" s="1">
        <v>43117</v>
      </c>
      <c r="B129">
        <v>1.7290276288986199</v>
      </c>
      <c r="C129">
        <v>0.72650218009948697</v>
      </c>
      <c r="D129">
        <v>330.35</v>
      </c>
      <c r="E129" s="2">
        <f t="shared" si="4"/>
        <v>1</v>
      </c>
      <c r="F129" s="1">
        <v>43124</v>
      </c>
      <c r="G129">
        <f t="shared" si="5"/>
        <v>336.0618427720666</v>
      </c>
      <c r="H129">
        <f t="shared" si="6"/>
        <v>332.74999995195867</v>
      </c>
      <c r="J129">
        <f t="shared" si="7"/>
        <v>2.3999999519586481</v>
      </c>
    </row>
    <row r="130" spans="1:10" x14ac:dyDescent="0.3">
      <c r="A130" s="1">
        <v>43118</v>
      </c>
      <c r="B130">
        <v>1.688694357872</v>
      </c>
      <c r="C130">
        <v>1.48237788677215</v>
      </c>
      <c r="D130">
        <v>330.55</v>
      </c>
      <c r="E130" s="2">
        <f t="shared" si="4"/>
        <v>1</v>
      </c>
      <c r="F130" s="1">
        <v>43125</v>
      </c>
      <c r="G130">
        <f t="shared" si="5"/>
        <v>336.13197919994593</v>
      </c>
      <c r="H130">
        <f t="shared" si="6"/>
        <v>335.45000010472535</v>
      </c>
      <c r="J130">
        <f t="shared" si="7"/>
        <v>4.9000001047253363</v>
      </c>
    </row>
    <row r="131" spans="1:10" x14ac:dyDescent="0.3">
      <c r="A131" s="1">
        <v>43119</v>
      </c>
      <c r="B131">
        <v>0.83770859241485596</v>
      </c>
      <c r="C131">
        <v>1.9198790788650499</v>
      </c>
      <c r="D131">
        <v>330.75</v>
      </c>
      <c r="E131" s="2">
        <f t="shared" ref="E131:E194" si="8">IF(B131*C131&gt;0,1,0)</f>
        <v>1</v>
      </c>
      <c r="F131" s="1">
        <v>43126</v>
      </c>
      <c r="G131">
        <f t="shared" ref="G131:G194" si="9">B131*D131/100 + D131</f>
        <v>333.52072116941213</v>
      </c>
      <c r="H131">
        <f t="shared" ref="H131:H194" si="10">C131*D131/100 + D131</f>
        <v>337.10000005334615</v>
      </c>
      <c r="J131">
        <f t="shared" ref="J131:J194" si="11">IF(E131=1,ABS(D131-H131),-ABS(D131-H131))</f>
        <v>6.3500000533461503</v>
      </c>
    </row>
    <row r="132" spans="1:10" x14ac:dyDescent="0.3">
      <c r="A132" s="1">
        <v>43122</v>
      </c>
      <c r="B132">
        <v>0.99554282426834095</v>
      </c>
      <c r="C132">
        <v>3.7416005134582502</v>
      </c>
      <c r="D132">
        <v>327.39999999999998</v>
      </c>
      <c r="E132" s="2">
        <f t="shared" si="8"/>
        <v>1</v>
      </c>
      <c r="F132" s="1">
        <v>43129</v>
      </c>
      <c r="G132">
        <f t="shared" si="9"/>
        <v>330.65940720665452</v>
      </c>
      <c r="H132">
        <f t="shared" si="10"/>
        <v>339.65000008106227</v>
      </c>
      <c r="J132">
        <f t="shared" si="11"/>
        <v>12.250000081062296</v>
      </c>
    </row>
    <row r="133" spans="1:10" x14ac:dyDescent="0.3">
      <c r="A133" s="1">
        <v>43123</v>
      </c>
      <c r="B133">
        <v>0.48980367183685303</v>
      </c>
      <c r="C133">
        <v>0.79723227024078303</v>
      </c>
      <c r="D133">
        <v>332.4</v>
      </c>
      <c r="E133" s="2">
        <f t="shared" si="8"/>
        <v>1</v>
      </c>
      <c r="F133" s="1">
        <v>43130</v>
      </c>
      <c r="G133">
        <f t="shared" si="9"/>
        <v>334.02810740518566</v>
      </c>
      <c r="H133">
        <f t="shared" si="10"/>
        <v>335.05000006628035</v>
      </c>
      <c r="J133">
        <f t="shared" si="11"/>
        <v>2.65000006628037</v>
      </c>
    </row>
    <row r="134" spans="1:10" x14ac:dyDescent="0.3">
      <c r="A134" s="1">
        <v>43124</v>
      </c>
      <c r="B134">
        <v>0.43311640620231601</v>
      </c>
      <c r="C134">
        <v>0.85649889707565297</v>
      </c>
      <c r="D134">
        <v>332.75</v>
      </c>
      <c r="E134" s="2">
        <f t="shared" si="8"/>
        <v>1</v>
      </c>
      <c r="F134" s="1">
        <v>43131</v>
      </c>
      <c r="G134">
        <f t="shared" si="9"/>
        <v>334.19119484163821</v>
      </c>
      <c r="H134">
        <f t="shared" si="10"/>
        <v>335.60000008001924</v>
      </c>
      <c r="J134">
        <f t="shared" si="11"/>
        <v>2.8500000800192424</v>
      </c>
    </row>
    <row r="135" spans="1:10" x14ac:dyDescent="0.3">
      <c r="A135" s="1">
        <v>43125</v>
      </c>
      <c r="B135">
        <v>-0.30364093184471103</v>
      </c>
      <c r="C135">
        <v>-0.19376955926418299</v>
      </c>
      <c r="D135">
        <v>335.45</v>
      </c>
      <c r="E135" s="2">
        <f t="shared" si="8"/>
        <v>1</v>
      </c>
      <c r="F135" s="1">
        <v>43132</v>
      </c>
      <c r="G135">
        <f t="shared" si="9"/>
        <v>334.4314364941269</v>
      </c>
      <c r="H135">
        <f t="shared" si="10"/>
        <v>334.80000001344831</v>
      </c>
      <c r="J135">
        <f t="shared" si="11"/>
        <v>0.64999998655167701</v>
      </c>
    </row>
    <row r="136" spans="1:10" x14ac:dyDescent="0.3">
      <c r="A136" s="1">
        <v>43126</v>
      </c>
      <c r="B136">
        <v>-1.37117111682891</v>
      </c>
      <c r="C136">
        <v>-2.5363392829895002</v>
      </c>
      <c r="D136">
        <v>337.1</v>
      </c>
      <c r="E136" s="2">
        <f t="shared" si="8"/>
        <v>1</v>
      </c>
      <c r="F136" s="1">
        <v>43133</v>
      </c>
      <c r="G136">
        <f t="shared" si="9"/>
        <v>332.47778216516974</v>
      </c>
      <c r="H136">
        <f t="shared" si="10"/>
        <v>328.55000027704244</v>
      </c>
      <c r="J136">
        <f t="shared" si="11"/>
        <v>8.5499997229575797</v>
      </c>
    </row>
    <row r="137" spans="1:10" x14ac:dyDescent="0.3">
      <c r="A137" s="1">
        <v>43129</v>
      </c>
      <c r="B137">
        <v>-2.8955421447753902</v>
      </c>
      <c r="C137">
        <v>-4.5635213851928702</v>
      </c>
      <c r="D137">
        <v>339.65</v>
      </c>
      <c r="E137" s="2">
        <f t="shared" si="8"/>
        <v>1</v>
      </c>
      <c r="F137" s="1">
        <v>43136</v>
      </c>
      <c r="G137">
        <f t="shared" si="9"/>
        <v>329.81529110527038</v>
      </c>
      <c r="H137">
        <f t="shared" si="10"/>
        <v>324.14999961519237</v>
      </c>
      <c r="J137">
        <f t="shared" si="11"/>
        <v>15.500000384807606</v>
      </c>
    </row>
    <row r="138" spans="1:10" x14ac:dyDescent="0.3">
      <c r="A138" s="1">
        <v>43130</v>
      </c>
      <c r="B138">
        <v>-0.139577597379684</v>
      </c>
      <c r="C138">
        <v>-4.8500223159790004</v>
      </c>
      <c r="D138">
        <v>335.05</v>
      </c>
      <c r="E138" s="2">
        <f t="shared" si="8"/>
        <v>1</v>
      </c>
      <c r="F138" s="1">
        <v>43137</v>
      </c>
      <c r="G138">
        <f t="shared" si="9"/>
        <v>334.58234525997938</v>
      </c>
      <c r="H138">
        <f t="shared" si="10"/>
        <v>318.80000023031238</v>
      </c>
      <c r="J138">
        <f t="shared" si="11"/>
        <v>16.249999769687633</v>
      </c>
    </row>
    <row r="139" spans="1:10" x14ac:dyDescent="0.3">
      <c r="A139" s="1">
        <v>43131</v>
      </c>
      <c r="B139">
        <v>0.75400418043136597</v>
      </c>
      <c r="C139">
        <v>-7.4344458580017001</v>
      </c>
      <c r="D139">
        <v>335.6</v>
      </c>
      <c r="E139" s="2">
        <f t="shared" si="8"/>
        <v>0</v>
      </c>
      <c r="F139" s="1">
        <v>43138</v>
      </c>
      <c r="G139">
        <f t="shared" si="9"/>
        <v>338.13043802952768</v>
      </c>
      <c r="H139">
        <f t="shared" si="10"/>
        <v>310.64999970054629</v>
      </c>
      <c r="J139">
        <f t="shared" si="11"/>
        <v>-24.950000299453734</v>
      </c>
    </row>
    <row r="140" spans="1:10" x14ac:dyDescent="0.3">
      <c r="A140" s="1">
        <v>43132</v>
      </c>
      <c r="B140">
        <v>0.70981752872466997</v>
      </c>
      <c r="C140">
        <v>-6.3172044754028303</v>
      </c>
      <c r="D140">
        <v>334.8</v>
      </c>
      <c r="E140" s="2">
        <f t="shared" si="8"/>
        <v>0</v>
      </c>
      <c r="F140" s="1">
        <v>43139</v>
      </c>
      <c r="G140">
        <f t="shared" si="9"/>
        <v>337.17646908617019</v>
      </c>
      <c r="H140">
        <f t="shared" si="10"/>
        <v>313.64999941635131</v>
      </c>
      <c r="J140">
        <f t="shared" si="11"/>
        <v>-21.150000583648705</v>
      </c>
    </row>
    <row r="141" spans="1:10" x14ac:dyDescent="0.3">
      <c r="A141" s="1">
        <v>43133</v>
      </c>
      <c r="B141">
        <v>1.18082439899444</v>
      </c>
      <c r="C141">
        <v>-7.1678586006164497</v>
      </c>
      <c r="D141">
        <v>328.55</v>
      </c>
      <c r="E141" s="2">
        <f t="shared" si="8"/>
        <v>0</v>
      </c>
      <c r="F141" s="1">
        <v>43140</v>
      </c>
      <c r="G141">
        <f t="shared" si="9"/>
        <v>332.42959856289622</v>
      </c>
      <c r="H141">
        <f t="shared" si="10"/>
        <v>305.00000056767465</v>
      </c>
      <c r="J141">
        <f t="shared" si="11"/>
        <v>-23.549999432325365</v>
      </c>
    </row>
    <row r="142" spans="1:10" x14ac:dyDescent="0.3">
      <c r="A142" s="1">
        <v>43136</v>
      </c>
      <c r="B142">
        <v>1.7974117994308401</v>
      </c>
      <c r="C142">
        <v>-4.5966372489929199</v>
      </c>
      <c r="D142">
        <v>324.14999999999998</v>
      </c>
      <c r="E142" s="2">
        <f t="shared" si="8"/>
        <v>0</v>
      </c>
      <c r="F142" s="1">
        <v>43143</v>
      </c>
      <c r="G142">
        <f t="shared" si="9"/>
        <v>329.97631034785502</v>
      </c>
      <c r="H142">
        <f t="shared" si="10"/>
        <v>309.25000035738941</v>
      </c>
      <c r="J142">
        <f t="shared" si="11"/>
        <v>-14.899999642610567</v>
      </c>
    </row>
    <row r="143" spans="1:10" x14ac:dyDescent="0.3">
      <c r="A143" s="1">
        <v>43137</v>
      </c>
      <c r="B143">
        <v>3.2454366683959899</v>
      </c>
      <c r="C143">
        <v>-1.96047675609588</v>
      </c>
      <c r="D143">
        <v>318.8</v>
      </c>
      <c r="E143" s="2">
        <f t="shared" si="8"/>
        <v>0</v>
      </c>
      <c r="F143" s="1">
        <v>43144</v>
      </c>
      <c r="G143">
        <f t="shared" si="9"/>
        <v>329.14645209884645</v>
      </c>
      <c r="H143">
        <f t="shared" si="10"/>
        <v>312.55000010156635</v>
      </c>
      <c r="J143">
        <f t="shared" si="11"/>
        <v>-6.2499998984336571</v>
      </c>
    </row>
    <row r="144" spans="1:10" x14ac:dyDescent="0.3">
      <c r="A144" s="1">
        <v>43138</v>
      </c>
      <c r="B144">
        <v>2.8075931072235099</v>
      </c>
      <c r="C144">
        <v>1.5451472997665401</v>
      </c>
      <c r="D144">
        <v>310.64999999999998</v>
      </c>
      <c r="E144" s="2">
        <f t="shared" si="8"/>
        <v>1</v>
      </c>
      <c r="F144" s="1">
        <v>43145</v>
      </c>
      <c r="G144">
        <f t="shared" si="9"/>
        <v>319.37178798758981</v>
      </c>
      <c r="H144">
        <f t="shared" si="10"/>
        <v>315.45000008672474</v>
      </c>
      <c r="J144">
        <f t="shared" si="11"/>
        <v>4.800000086724765</v>
      </c>
    </row>
    <row r="145" spans="1:10" x14ac:dyDescent="0.3">
      <c r="A145" s="1">
        <v>43139</v>
      </c>
      <c r="B145">
        <v>2.0221788883209202</v>
      </c>
      <c r="C145">
        <v>1.19560015201568</v>
      </c>
      <c r="D145">
        <v>313.64999999999998</v>
      </c>
      <c r="E145" s="2">
        <f t="shared" si="8"/>
        <v>1</v>
      </c>
      <c r="F145" s="1">
        <v>43150</v>
      </c>
      <c r="G145">
        <f t="shared" si="9"/>
        <v>319.99256408321855</v>
      </c>
      <c r="H145">
        <f t="shared" si="10"/>
        <v>317.39999987679715</v>
      </c>
      <c r="J145">
        <f t="shared" si="11"/>
        <v>3.7499998767971761</v>
      </c>
    </row>
    <row r="146" spans="1:10" x14ac:dyDescent="0.3">
      <c r="A146" s="1">
        <v>43140</v>
      </c>
      <c r="B146">
        <v>2.19215631484985</v>
      </c>
      <c r="C146">
        <v>2.6721310615539502</v>
      </c>
      <c r="D146">
        <v>305</v>
      </c>
      <c r="E146" s="2">
        <f t="shared" si="8"/>
        <v>1</v>
      </c>
      <c r="F146" s="1">
        <v>43151</v>
      </c>
      <c r="G146">
        <f t="shared" si="9"/>
        <v>311.68607676029205</v>
      </c>
      <c r="H146">
        <f t="shared" si="10"/>
        <v>313.14999973773956</v>
      </c>
      <c r="J146">
        <f t="shared" si="11"/>
        <v>8.149999737739563</v>
      </c>
    </row>
    <row r="147" spans="1:10" x14ac:dyDescent="0.3">
      <c r="A147" s="1">
        <v>43143</v>
      </c>
      <c r="B147">
        <v>0.66385066509246804</v>
      </c>
      <c r="C147">
        <v>1.9240096807479801</v>
      </c>
      <c r="D147">
        <v>309.25</v>
      </c>
      <c r="E147" s="2">
        <f t="shared" si="8"/>
        <v>1</v>
      </c>
      <c r="F147" s="1">
        <v>43152</v>
      </c>
      <c r="G147">
        <f t="shared" si="9"/>
        <v>311.30295818179843</v>
      </c>
      <c r="H147">
        <f t="shared" si="10"/>
        <v>315.19999993771313</v>
      </c>
      <c r="J147">
        <f t="shared" si="11"/>
        <v>5.9499999377131303</v>
      </c>
    </row>
    <row r="148" spans="1:10" x14ac:dyDescent="0.3">
      <c r="A148" s="1">
        <v>43144</v>
      </c>
      <c r="B148">
        <v>0.45691561698913502</v>
      </c>
      <c r="C148">
        <v>0.14397695660591101</v>
      </c>
      <c r="D148">
        <v>312.55</v>
      </c>
      <c r="E148" s="2">
        <f t="shared" si="8"/>
        <v>1</v>
      </c>
      <c r="F148" s="1">
        <v>43153</v>
      </c>
      <c r="G148">
        <f t="shared" si="9"/>
        <v>313.97808976089954</v>
      </c>
      <c r="H148">
        <f t="shared" si="10"/>
        <v>312.99999997787177</v>
      </c>
      <c r="J148">
        <f t="shared" si="11"/>
        <v>0.44999997787175516</v>
      </c>
    </row>
    <row r="149" spans="1:10" x14ac:dyDescent="0.3">
      <c r="A149" s="1">
        <v>43145</v>
      </c>
      <c r="B149">
        <v>0.31861004233360202</v>
      </c>
      <c r="C149">
        <v>0.84006977081298795</v>
      </c>
      <c r="D149">
        <v>315.45</v>
      </c>
      <c r="E149" s="2">
        <f t="shared" si="8"/>
        <v>1</v>
      </c>
      <c r="F149" s="1">
        <v>43154</v>
      </c>
      <c r="G149">
        <f t="shared" si="9"/>
        <v>316.45505537854132</v>
      </c>
      <c r="H149">
        <f t="shared" si="10"/>
        <v>318.10000009202957</v>
      </c>
      <c r="J149">
        <f t="shared" si="11"/>
        <v>2.6500000920295861</v>
      </c>
    </row>
    <row r="150" spans="1:10" x14ac:dyDescent="0.3">
      <c r="A150" s="1">
        <v>43150</v>
      </c>
      <c r="B150">
        <v>0.88294064998626698</v>
      </c>
      <c r="C150">
        <v>0.26780086755752502</v>
      </c>
      <c r="D150">
        <v>317.39999999999998</v>
      </c>
      <c r="E150" s="2">
        <f t="shared" si="8"/>
        <v>1</v>
      </c>
      <c r="F150" s="1">
        <v>43157</v>
      </c>
      <c r="G150">
        <f t="shared" si="9"/>
        <v>320.20245362305639</v>
      </c>
      <c r="H150">
        <f t="shared" si="10"/>
        <v>318.24999995362754</v>
      </c>
      <c r="J150">
        <f t="shared" si="11"/>
        <v>0.84999995362755953</v>
      </c>
    </row>
    <row r="151" spans="1:10" x14ac:dyDescent="0.3">
      <c r="A151" s="1">
        <v>43151</v>
      </c>
      <c r="B151">
        <v>2.49890780448913</v>
      </c>
      <c r="C151">
        <v>1.19750916957855</v>
      </c>
      <c r="D151">
        <v>313.14999999999998</v>
      </c>
      <c r="E151" s="2">
        <f t="shared" si="8"/>
        <v>1</v>
      </c>
      <c r="F151" s="1">
        <v>43158</v>
      </c>
      <c r="G151">
        <f t="shared" si="9"/>
        <v>320.97532978975767</v>
      </c>
      <c r="H151">
        <f t="shared" si="10"/>
        <v>316.8999999645352</v>
      </c>
      <c r="J151">
        <f t="shared" si="11"/>
        <v>3.7499999645352204</v>
      </c>
    </row>
    <row r="152" spans="1:10" x14ac:dyDescent="0.3">
      <c r="A152" s="1">
        <v>43152</v>
      </c>
      <c r="B152">
        <v>1.49371826648712</v>
      </c>
      <c r="C152">
        <v>-0.50761419534683205</v>
      </c>
      <c r="D152">
        <v>315.2</v>
      </c>
      <c r="E152" s="2">
        <f t="shared" si="8"/>
        <v>0</v>
      </c>
      <c r="F152" s="1">
        <v>43159</v>
      </c>
      <c r="G152">
        <f t="shared" si="9"/>
        <v>319.90819997596736</v>
      </c>
      <c r="H152">
        <f t="shared" si="10"/>
        <v>313.60000005626677</v>
      </c>
      <c r="J152">
        <f t="shared" si="11"/>
        <v>-1.5999999437332235</v>
      </c>
    </row>
    <row r="153" spans="1:10" x14ac:dyDescent="0.3">
      <c r="A153" s="1">
        <v>43153</v>
      </c>
      <c r="B153">
        <v>2.3345460891723602</v>
      </c>
      <c r="C153">
        <v>-1.1821086406707699</v>
      </c>
      <c r="D153">
        <v>313</v>
      </c>
      <c r="E153" s="2">
        <f t="shared" si="8"/>
        <v>0</v>
      </c>
      <c r="F153" s="1">
        <v>43161</v>
      </c>
      <c r="G153">
        <f t="shared" si="9"/>
        <v>320.3071292591095</v>
      </c>
      <c r="H153">
        <f t="shared" si="10"/>
        <v>309.29999995470047</v>
      </c>
      <c r="J153">
        <f t="shared" si="11"/>
        <v>-3.7000000452995323</v>
      </c>
    </row>
    <row r="154" spans="1:10" x14ac:dyDescent="0.3">
      <c r="A154" s="1">
        <v>43154</v>
      </c>
      <c r="B154">
        <v>0.66473037004470803</v>
      </c>
      <c r="C154">
        <v>-4.1182017326354901</v>
      </c>
      <c r="D154">
        <v>318.10000000000002</v>
      </c>
      <c r="E154" s="2">
        <f t="shared" si="8"/>
        <v>0</v>
      </c>
      <c r="F154" s="1">
        <v>43164</v>
      </c>
      <c r="G154">
        <f t="shared" si="9"/>
        <v>320.21450730711223</v>
      </c>
      <c r="H154">
        <f t="shared" si="10"/>
        <v>305.00000028848655</v>
      </c>
      <c r="J154">
        <f t="shared" si="11"/>
        <v>-13.099999711513476</v>
      </c>
    </row>
    <row r="155" spans="1:10" x14ac:dyDescent="0.3">
      <c r="A155" s="1">
        <v>43157</v>
      </c>
      <c r="B155">
        <v>0.72364252805709794</v>
      </c>
      <c r="C155">
        <v>-2.13668489456176</v>
      </c>
      <c r="D155">
        <v>318.25</v>
      </c>
      <c r="E155" s="2">
        <f t="shared" si="8"/>
        <v>0</v>
      </c>
      <c r="F155" s="1">
        <v>43165</v>
      </c>
      <c r="G155">
        <f t="shared" si="9"/>
        <v>320.55299234554172</v>
      </c>
      <c r="H155">
        <f t="shared" si="10"/>
        <v>311.45000032305722</v>
      </c>
      <c r="J155">
        <f t="shared" si="11"/>
        <v>-6.7999996769427753</v>
      </c>
    </row>
    <row r="156" spans="1:10" x14ac:dyDescent="0.3">
      <c r="A156" s="1">
        <v>43158</v>
      </c>
      <c r="B156">
        <v>0.55097430944442705</v>
      </c>
      <c r="C156">
        <v>-1.67245185375213</v>
      </c>
      <c r="D156">
        <v>316.89999999999998</v>
      </c>
      <c r="E156" s="2">
        <f t="shared" si="8"/>
        <v>0</v>
      </c>
      <c r="F156" s="1">
        <v>43166</v>
      </c>
      <c r="G156">
        <f t="shared" si="9"/>
        <v>318.64603758662935</v>
      </c>
      <c r="H156">
        <f t="shared" si="10"/>
        <v>311.60000007545949</v>
      </c>
      <c r="J156">
        <f t="shared" si="11"/>
        <v>-5.2999999245404865</v>
      </c>
    </row>
    <row r="157" spans="1:10" x14ac:dyDescent="0.3">
      <c r="A157" s="1">
        <v>43159</v>
      </c>
      <c r="B157">
        <v>2.2474367618560702</v>
      </c>
      <c r="C157">
        <v>0.36670917272567699</v>
      </c>
      <c r="D157">
        <v>313.60000000000002</v>
      </c>
      <c r="E157" s="2">
        <f t="shared" si="8"/>
        <v>1</v>
      </c>
      <c r="F157" s="1">
        <v>43167</v>
      </c>
      <c r="G157">
        <f t="shared" si="9"/>
        <v>320.64796168518063</v>
      </c>
      <c r="H157">
        <f t="shared" si="10"/>
        <v>314.74999996566777</v>
      </c>
      <c r="J157">
        <f t="shared" si="11"/>
        <v>1.149999965667746</v>
      </c>
    </row>
    <row r="158" spans="1:10" x14ac:dyDescent="0.3">
      <c r="A158" s="1">
        <v>43161</v>
      </c>
      <c r="B158">
        <v>0.94243723154067904</v>
      </c>
      <c r="C158">
        <v>2.8936307430267298</v>
      </c>
      <c r="D158">
        <v>309.3</v>
      </c>
      <c r="E158" s="2">
        <f t="shared" si="8"/>
        <v>1</v>
      </c>
      <c r="F158" s="1">
        <v>43168</v>
      </c>
      <c r="G158">
        <f t="shared" si="9"/>
        <v>312.21495835715535</v>
      </c>
      <c r="H158">
        <f t="shared" si="10"/>
        <v>318.24999988818166</v>
      </c>
      <c r="J158">
        <f t="shared" si="11"/>
        <v>8.9499998881816509</v>
      </c>
    </row>
    <row r="159" spans="1:10" x14ac:dyDescent="0.3">
      <c r="A159" s="1">
        <v>43164</v>
      </c>
      <c r="B159">
        <v>2.58364629745483</v>
      </c>
      <c r="C159">
        <v>5.3278689384460396</v>
      </c>
      <c r="D159">
        <v>305</v>
      </c>
      <c r="E159" s="2">
        <f t="shared" si="8"/>
        <v>1</v>
      </c>
      <c r="F159" s="1">
        <v>43171</v>
      </c>
      <c r="G159">
        <f t="shared" si="9"/>
        <v>312.88012120723721</v>
      </c>
      <c r="H159">
        <f t="shared" si="10"/>
        <v>321.25000026226041</v>
      </c>
      <c r="J159">
        <f t="shared" si="11"/>
        <v>16.250000262260414</v>
      </c>
    </row>
    <row r="160" spans="1:10" x14ac:dyDescent="0.3">
      <c r="A160" s="1">
        <v>43165</v>
      </c>
      <c r="B160">
        <v>0.77880752086639404</v>
      </c>
      <c r="C160">
        <v>3.5960829257964999</v>
      </c>
      <c r="D160">
        <v>311.45</v>
      </c>
      <c r="E160" s="2">
        <f t="shared" si="8"/>
        <v>1</v>
      </c>
      <c r="F160" s="1">
        <v>43172</v>
      </c>
      <c r="G160">
        <f t="shared" si="9"/>
        <v>313.87559602373835</v>
      </c>
      <c r="H160">
        <f t="shared" si="10"/>
        <v>322.65000027239319</v>
      </c>
      <c r="J160">
        <f t="shared" si="11"/>
        <v>11.200000272393197</v>
      </c>
    </row>
    <row r="161" spans="1:10" x14ac:dyDescent="0.3">
      <c r="A161" s="1">
        <v>43166</v>
      </c>
      <c r="B161">
        <v>1.9280800819396899</v>
      </c>
      <c r="C161">
        <v>3.5622591972350999</v>
      </c>
      <c r="D161">
        <v>311.60000000000002</v>
      </c>
      <c r="E161" s="2">
        <f t="shared" si="8"/>
        <v>1</v>
      </c>
      <c r="F161" s="1">
        <v>43173</v>
      </c>
      <c r="G161">
        <f t="shared" si="9"/>
        <v>317.60789753532407</v>
      </c>
      <c r="H161">
        <f t="shared" si="10"/>
        <v>322.6999996585846</v>
      </c>
      <c r="J161">
        <f t="shared" si="11"/>
        <v>11.099999658584579</v>
      </c>
    </row>
    <row r="162" spans="1:10" x14ac:dyDescent="0.3">
      <c r="A162" s="1">
        <v>43167</v>
      </c>
      <c r="B162">
        <v>1.010103225708</v>
      </c>
      <c r="C162">
        <v>2.9388403892517001</v>
      </c>
      <c r="D162">
        <v>314.75</v>
      </c>
      <c r="E162" s="2">
        <f t="shared" si="8"/>
        <v>1</v>
      </c>
      <c r="F162" s="1">
        <v>43174</v>
      </c>
      <c r="G162">
        <f t="shared" si="9"/>
        <v>317.92929990291594</v>
      </c>
      <c r="H162">
        <f t="shared" si="10"/>
        <v>324.00000012516972</v>
      </c>
      <c r="J162">
        <f t="shared" si="11"/>
        <v>9.2500001251697199</v>
      </c>
    </row>
    <row r="163" spans="1:10" x14ac:dyDescent="0.3">
      <c r="A163" s="1">
        <v>43168</v>
      </c>
      <c r="B163">
        <v>0.87491697072982699</v>
      </c>
      <c r="C163">
        <v>1.5396701097488401</v>
      </c>
      <c r="D163">
        <v>318.25</v>
      </c>
      <c r="E163" s="2">
        <f t="shared" si="8"/>
        <v>1</v>
      </c>
      <c r="F163" s="1">
        <v>43175</v>
      </c>
      <c r="G163">
        <f t="shared" si="9"/>
        <v>321.03442325934765</v>
      </c>
      <c r="H163">
        <f t="shared" si="10"/>
        <v>323.15000012427566</v>
      </c>
      <c r="J163">
        <f t="shared" si="11"/>
        <v>4.9000001242756639</v>
      </c>
    </row>
    <row r="164" spans="1:10" x14ac:dyDescent="0.3">
      <c r="A164" s="1">
        <v>43171</v>
      </c>
      <c r="B164">
        <v>-0.54403311014175404</v>
      </c>
      <c r="C164">
        <v>-7.7821008861064897E-2</v>
      </c>
      <c r="D164">
        <v>321.25</v>
      </c>
      <c r="E164" s="2">
        <f t="shared" si="8"/>
        <v>1</v>
      </c>
      <c r="F164" s="1">
        <v>43178</v>
      </c>
      <c r="G164">
        <f t="shared" si="9"/>
        <v>319.50229363366964</v>
      </c>
      <c r="H164">
        <f t="shared" si="10"/>
        <v>321.00000000903384</v>
      </c>
      <c r="J164">
        <f t="shared" si="11"/>
        <v>0.24999999096615966</v>
      </c>
    </row>
    <row r="165" spans="1:10" x14ac:dyDescent="0.3">
      <c r="A165" s="1">
        <v>43172</v>
      </c>
      <c r="B165">
        <v>0.15698160231113401</v>
      </c>
      <c r="C165">
        <v>-6.1986673623323399E-2</v>
      </c>
      <c r="D165">
        <v>322.64999999999998</v>
      </c>
      <c r="E165" s="2">
        <f t="shared" si="8"/>
        <v>0</v>
      </c>
      <c r="F165" s="1">
        <v>43179</v>
      </c>
      <c r="G165">
        <f t="shared" si="9"/>
        <v>323.15650113985686</v>
      </c>
      <c r="H165">
        <f t="shared" si="10"/>
        <v>322.4499999975543</v>
      </c>
      <c r="J165">
        <f t="shared" si="11"/>
        <v>-0.20000000244567673</v>
      </c>
    </row>
    <row r="166" spans="1:10" x14ac:dyDescent="0.3">
      <c r="A166" s="1">
        <v>43173</v>
      </c>
      <c r="B166">
        <v>-1.7549034357070901</v>
      </c>
      <c r="C166">
        <v>1.54942674562335E-2</v>
      </c>
      <c r="D166">
        <v>322.7</v>
      </c>
      <c r="E166" s="2">
        <f t="shared" si="8"/>
        <v>0</v>
      </c>
      <c r="F166" s="1">
        <v>43180</v>
      </c>
      <c r="G166">
        <f t="shared" si="9"/>
        <v>317.03692661297322</v>
      </c>
      <c r="H166">
        <f t="shared" si="10"/>
        <v>322.75000000108128</v>
      </c>
      <c r="J166">
        <f t="shared" si="11"/>
        <v>-5.0000001081286882E-2</v>
      </c>
    </row>
    <row r="167" spans="1:10" x14ac:dyDescent="0.3">
      <c r="A167" s="1">
        <v>43174</v>
      </c>
      <c r="B167">
        <v>0.220356985926628</v>
      </c>
      <c r="C167">
        <v>-0.231481477618217</v>
      </c>
      <c r="D167">
        <v>324</v>
      </c>
      <c r="E167" s="2">
        <f t="shared" si="8"/>
        <v>0</v>
      </c>
      <c r="F167" s="1">
        <v>43181</v>
      </c>
      <c r="G167">
        <f t="shared" si="9"/>
        <v>324.71395663440228</v>
      </c>
      <c r="H167">
        <f t="shared" si="10"/>
        <v>323.25000001251698</v>
      </c>
      <c r="J167">
        <f t="shared" si="11"/>
        <v>-0.74999998748302232</v>
      </c>
    </row>
    <row r="168" spans="1:10" x14ac:dyDescent="0.3">
      <c r="A168" s="1">
        <v>43175</v>
      </c>
      <c r="B168">
        <v>0.722758948802948</v>
      </c>
      <c r="C168">
        <v>-3.2492649555206299</v>
      </c>
      <c r="D168">
        <v>323.14999999999998</v>
      </c>
      <c r="E168" s="2">
        <f t="shared" si="8"/>
        <v>0</v>
      </c>
      <c r="F168" s="1">
        <v>43182</v>
      </c>
      <c r="G168">
        <f t="shared" si="9"/>
        <v>325.48559554305672</v>
      </c>
      <c r="H168">
        <f t="shared" si="10"/>
        <v>312.65000029623508</v>
      </c>
      <c r="J168">
        <f t="shared" si="11"/>
        <v>-10.4999997037649</v>
      </c>
    </row>
    <row r="169" spans="1:10" x14ac:dyDescent="0.3">
      <c r="A169" s="1">
        <v>43178</v>
      </c>
      <c r="B169">
        <v>-6.2695898115634904E-2</v>
      </c>
      <c r="C169">
        <v>-1.6666666269302299</v>
      </c>
      <c r="D169">
        <v>321</v>
      </c>
      <c r="E169" s="2">
        <f t="shared" si="8"/>
        <v>1</v>
      </c>
      <c r="F169" s="1">
        <v>43185</v>
      </c>
      <c r="G169">
        <f t="shared" si="9"/>
        <v>320.79874616704882</v>
      </c>
      <c r="H169">
        <f t="shared" si="10"/>
        <v>315.65000012755394</v>
      </c>
      <c r="J169">
        <f t="shared" si="11"/>
        <v>5.3499998724460625</v>
      </c>
    </row>
    <row r="170" spans="1:10" x14ac:dyDescent="0.3">
      <c r="A170" s="1">
        <v>43179</v>
      </c>
      <c r="B170">
        <v>0.40069094300269997</v>
      </c>
      <c r="C170">
        <v>-1.9072724580764699</v>
      </c>
      <c r="D170">
        <v>322.45</v>
      </c>
      <c r="E170" s="2">
        <f t="shared" si="8"/>
        <v>0</v>
      </c>
      <c r="F170" s="1">
        <v>43186</v>
      </c>
      <c r="G170">
        <f t="shared" si="9"/>
        <v>323.74202794571221</v>
      </c>
      <c r="H170">
        <f t="shared" si="10"/>
        <v>316.2999999589324</v>
      </c>
      <c r="J170">
        <f t="shared" si="11"/>
        <v>-6.1500000410675852</v>
      </c>
    </row>
    <row r="171" spans="1:10" x14ac:dyDescent="0.3">
      <c r="A171" s="1">
        <v>43180</v>
      </c>
      <c r="B171">
        <v>0.84571635723114003</v>
      </c>
      <c r="C171">
        <v>-3.3927187919616699</v>
      </c>
      <c r="D171">
        <v>322.75</v>
      </c>
      <c r="E171" s="2">
        <f t="shared" si="8"/>
        <v>0</v>
      </c>
      <c r="F171" s="1">
        <v>43187</v>
      </c>
      <c r="G171">
        <f t="shared" si="9"/>
        <v>325.47954954296353</v>
      </c>
      <c r="H171">
        <f t="shared" si="10"/>
        <v>311.80000009894371</v>
      </c>
      <c r="J171">
        <f t="shared" si="11"/>
        <v>-10.949999901056287</v>
      </c>
    </row>
    <row r="172" spans="1:10" x14ac:dyDescent="0.3">
      <c r="A172" s="1">
        <v>43181</v>
      </c>
      <c r="B172">
        <v>-0.482919782400131</v>
      </c>
      <c r="C172">
        <v>-2.3665893077850302</v>
      </c>
      <c r="D172">
        <v>323.25</v>
      </c>
      <c r="E172" s="2">
        <f t="shared" si="8"/>
        <v>1</v>
      </c>
      <c r="F172" s="1">
        <v>43188</v>
      </c>
      <c r="G172">
        <f t="shared" si="9"/>
        <v>321.68896180339158</v>
      </c>
      <c r="H172">
        <f t="shared" si="10"/>
        <v>315.60000006258491</v>
      </c>
      <c r="J172">
        <f t="shared" si="11"/>
        <v>7.6499999374150889</v>
      </c>
    </row>
    <row r="173" spans="1:10" x14ac:dyDescent="0.3">
      <c r="A173" s="1">
        <v>43182</v>
      </c>
      <c r="B173">
        <v>1.50836718082427</v>
      </c>
      <c r="C173">
        <v>0.97553175687789895</v>
      </c>
      <c r="D173">
        <v>312.64999999999998</v>
      </c>
      <c r="E173" s="2">
        <f t="shared" si="8"/>
        <v>1</v>
      </c>
      <c r="F173" s="1">
        <v>43189</v>
      </c>
      <c r="G173">
        <f t="shared" si="9"/>
        <v>317.36590999084706</v>
      </c>
      <c r="H173">
        <f t="shared" si="10"/>
        <v>315.70000003787874</v>
      </c>
      <c r="J173">
        <f t="shared" si="11"/>
        <v>3.0500000378787604</v>
      </c>
    </row>
    <row r="174" spans="1:10" x14ac:dyDescent="0.3">
      <c r="A174" s="1">
        <v>43185</v>
      </c>
      <c r="B174">
        <v>1.0451794862747099</v>
      </c>
      <c r="C174">
        <v>-0.33264690637588501</v>
      </c>
      <c r="D174">
        <v>315.64999999999998</v>
      </c>
      <c r="E174" s="2">
        <f t="shared" si="8"/>
        <v>0</v>
      </c>
      <c r="F174" s="1">
        <v>43192</v>
      </c>
      <c r="G174">
        <f t="shared" si="9"/>
        <v>318.94910904842612</v>
      </c>
      <c r="H174">
        <f t="shared" si="10"/>
        <v>314.6000000400245</v>
      </c>
      <c r="J174">
        <f t="shared" si="11"/>
        <v>-1.0499999599754801</v>
      </c>
    </row>
    <row r="175" spans="1:10" x14ac:dyDescent="0.3">
      <c r="A175" s="1">
        <v>43186</v>
      </c>
      <c r="B175">
        <v>8.4878079593181596E-2</v>
      </c>
      <c r="C175">
        <v>-0.74296551942825295</v>
      </c>
      <c r="D175">
        <v>316.3</v>
      </c>
      <c r="E175" s="2">
        <f t="shared" si="8"/>
        <v>0</v>
      </c>
      <c r="F175" s="1">
        <v>43193</v>
      </c>
      <c r="G175">
        <f t="shared" si="9"/>
        <v>316.56846936575323</v>
      </c>
      <c r="H175">
        <f t="shared" si="10"/>
        <v>313.95000006204845</v>
      </c>
      <c r="J175">
        <f t="shared" si="11"/>
        <v>-2.3499999379515657</v>
      </c>
    </row>
    <row r="176" spans="1:10" x14ac:dyDescent="0.3">
      <c r="A176" s="1">
        <v>43187</v>
      </c>
      <c r="B176">
        <v>1.49120652675628</v>
      </c>
      <c r="C176">
        <v>-0.99422705173492398</v>
      </c>
      <c r="D176">
        <v>311.8</v>
      </c>
      <c r="E176" s="2">
        <f t="shared" si="8"/>
        <v>0</v>
      </c>
      <c r="F176" s="1">
        <v>43194</v>
      </c>
      <c r="G176">
        <f t="shared" si="9"/>
        <v>316.44958195042608</v>
      </c>
      <c r="H176">
        <f t="shared" si="10"/>
        <v>308.70000005269054</v>
      </c>
      <c r="J176">
        <f t="shared" si="11"/>
        <v>-3.0999999473094704</v>
      </c>
    </row>
    <row r="177" spans="1:10" x14ac:dyDescent="0.3">
      <c r="A177" s="1">
        <v>43188</v>
      </c>
      <c r="B177">
        <v>1.1197530031204199</v>
      </c>
      <c r="C177">
        <v>-0.47528517246246299</v>
      </c>
      <c r="D177">
        <v>315.60000000000002</v>
      </c>
      <c r="E177" s="2">
        <f t="shared" si="8"/>
        <v>0</v>
      </c>
      <c r="F177" s="1">
        <v>43195</v>
      </c>
      <c r="G177">
        <f t="shared" si="9"/>
        <v>319.13394047784806</v>
      </c>
      <c r="H177">
        <f t="shared" si="10"/>
        <v>314.09999999570852</v>
      </c>
      <c r="J177">
        <f t="shared" si="11"/>
        <v>-1.5000000042915076</v>
      </c>
    </row>
    <row r="178" spans="1:10" x14ac:dyDescent="0.3">
      <c r="A178" s="1">
        <v>43189</v>
      </c>
      <c r="B178">
        <v>0.31842494010925199</v>
      </c>
      <c r="C178">
        <v>-1.06113398075103</v>
      </c>
      <c r="D178">
        <v>315.7</v>
      </c>
      <c r="E178" s="2">
        <f t="shared" si="8"/>
        <v>0</v>
      </c>
      <c r="F178" s="1">
        <v>43196</v>
      </c>
      <c r="G178">
        <f t="shared" si="9"/>
        <v>316.70526753592492</v>
      </c>
      <c r="H178">
        <f t="shared" si="10"/>
        <v>312.350000022769</v>
      </c>
      <c r="J178">
        <f t="shared" si="11"/>
        <v>-3.3499999772309934</v>
      </c>
    </row>
    <row r="179" spans="1:10" x14ac:dyDescent="0.3">
      <c r="A179" s="1">
        <v>43192</v>
      </c>
      <c r="B179">
        <v>0.87784481048583896</v>
      </c>
      <c r="C179">
        <v>-0.158931970596313</v>
      </c>
      <c r="D179">
        <v>314.60000000000002</v>
      </c>
      <c r="E179" s="2">
        <f t="shared" si="8"/>
        <v>0</v>
      </c>
      <c r="F179" s="1">
        <v>43199</v>
      </c>
      <c r="G179">
        <f t="shared" si="9"/>
        <v>317.36169977378847</v>
      </c>
      <c r="H179">
        <f t="shared" si="10"/>
        <v>314.10000002050401</v>
      </c>
      <c r="J179">
        <f t="shared" si="11"/>
        <v>-0.49999997949601038</v>
      </c>
    </row>
    <row r="180" spans="1:10" x14ac:dyDescent="0.3">
      <c r="A180" s="1">
        <v>43193</v>
      </c>
      <c r="B180">
        <v>0.67327851057052601</v>
      </c>
      <c r="C180">
        <v>0.20703934133052801</v>
      </c>
      <c r="D180">
        <v>313.95</v>
      </c>
      <c r="E180" s="2">
        <f t="shared" si="8"/>
        <v>1</v>
      </c>
      <c r="F180" s="1">
        <v>43200</v>
      </c>
      <c r="G180">
        <f t="shared" si="9"/>
        <v>316.06375788393615</v>
      </c>
      <c r="H180">
        <f t="shared" si="10"/>
        <v>314.60000001210716</v>
      </c>
      <c r="J180">
        <f t="shared" si="11"/>
        <v>0.65000001210717073</v>
      </c>
    </row>
    <row r="181" spans="1:10" x14ac:dyDescent="0.3">
      <c r="A181" s="1">
        <v>43194</v>
      </c>
      <c r="B181">
        <v>2.1019701957702601</v>
      </c>
      <c r="C181">
        <v>1.58730161190032</v>
      </c>
      <c r="D181">
        <v>308.7</v>
      </c>
      <c r="E181" s="2">
        <f t="shared" si="8"/>
        <v>1</v>
      </c>
      <c r="F181" s="1">
        <v>43201</v>
      </c>
      <c r="G181">
        <f t="shared" si="9"/>
        <v>315.18878199434278</v>
      </c>
      <c r="H181">
        <f t="shared" si="10"/>
        <v>313.60000007593629</v>
      </c>
      <c r="J181">
        <f t="shared" si="11"/>
        <v>4.9000000759363047</v>
      </c>
    </row>
    <row r="182" spans="1:10" x14ac:dyDescent="0.3">
      <c r="A182" s="1">
        <v>43195</v>
      </c>
      <c r="B182">
        <v>1.2273546457290601</v>
      </c>
      <c r="C182">
        <v>-0.382043927907943</v>
      </c>
      <c r="D182">
        <v>314.10000000000002</v>
      </c>
      <c r="E182" s="2">
        <f t="shared" si="8"/>
        <v>0</v>
      </c>
      <c r="F182" s="1">
        <v>43202</v>
      </c>
      <c r="G182">
        <f t="shared" si="9"/>
        <v>317.955120942235</v>
      </c>
      <c r="H182">
        <f t="shared" si="10"/>
        <v>312.90000002244119</v>
      </c>
      <c r="J182">
        <f t="shared" si="11"/>
        <v>-1.1999999775588321</v>
      </c>
    </row>
    <row r="183" spans="1:10" x14ac:dyDescent="0.3">
      <c r="A183" s="1">
        <v>43196</v>
      </c>
      <c r="B183">
        <v>1.0454272031784</v>
      </c>
      <c r="C183">
        <v>1.04049944877624</v>
      </c>
      <c r="D183">
        <v>312.35000000000002</v>
      </c>
      <c r="E183" s="2">
        <f t="shared" si="8"/>
        <v>1</v>
      </c>
      <c r="F183" s="1">
        <v>43203</v>
      </c>
      <c r="G183">
        <f t="shared" si="9"/>
        <v>315.61539186912773</v>
      </c>
      <c r="H183">
        <f t="shared" si="10"/>
        <v>315.60000002825262</v>
      </c>
      <c r="J183">
        <f t="shared" si="11"/>
        <v>3.2500000282526003</v>
      </c>
    </row>
    <row r="184" spans="1:10" x14ac:dyDescent="0.3">
      <c r="A184" s="1">
        <v>43199</v>
      </c>
      <c r="B184">
        <v>0.52279400825500399</v>
      </c>
      <c r="C184">
        <v>0.42979943752288802</v>
      </c>
      <c r="D184">
        <v>314.10000000000002</v>
      </c>
      <c r="E184" s="2">
        <f t="shared" si="8"/>
        <v>1</v>
      </c>
      <c r="F184" s="1">
        <v>43206</v>
      </c>
      <c r="G184">
        <f t="shared" si="9"/>
        <v>315.74209597992899</v>
      </c>
      <c r="H184">
        <f t="shared" si="10"/>
        <v>315.45000003325941</v>
      </c>
      <c r="J184">
        <f t="shared" si="11"/>
        <v>1.3500000332593913</v>
      </c>
    </row>
    <row r="185" spans="1:10" x14ac:dyDescent="0.3">
      <c r="A185" s="1">
        <v>43200</v>
      </c>
      <c r="B185">
        <v>-0.20566478371620101</v>
      </c>
      <c r="C185">
        <v>0.30197075009346003</v>
      </c>
      <c r="D185">
        <v>314.60000000000002</v>
      </c>
      <c r="E185" s="2">
        <f t="shared" si="8"/>
        <v>0</v>
      </c>
      <c r="F185" s="1">
        <v>43207</v>
      </c>
      <c r="G185">
        <f t="shared" si="9"/>
        <v>313.95297859042887</v>
      </c>
      <c r="H185">
        <f t="shared" si="10"/>
        <v>315.54999997979405</v>
      </c>
      <c r="J185">
        <f t="shared" si="11"/>
        <v>-0.94999997979402906</v>
      </c>
    </row>
    <row r="186" spans="1:10" x14ac:dyDescent="0.3">
      <c r="A186" s="1">
        <v>43201</v>
      </c>
      <c r="B186">
        <v>2.3505680561065598</v>
      </c>
      <c r="C186">
        <v>1.6422194242477399</v>
      </c>
      <c r="D186">
        <v>313.60000000000002</v>
      </c>
      <c r="E186" s="2">
        <f t="shared" si="8"/>
        <v>1</v>
      </c>
      <c r="F186" s="1">
        <v>43208</v>
      </c>
      <c r="G186">
        <f t="shared" si="9"/>
        <v>320.97138142395022</v>
      </c>
      <c r="H186">
        <f t="shared" si="10"/>
        <v>318.75000011444092</v>
      </c>
      <c r="J186">
        <f t="shared" si="11"/>
        <v>5.1500001144408998</v>
      </c>
    </row>
    <row r="187" spans="1:10" x14ac:dyDescent="0.3">
      <c r="A187" s="1">
        <v>43202</v>
      </c>
      <c r="B187">
        <v>0.590878665447235</v>
      </c>
      <c r="C187">
        <v>2.31703424453735</v>
      </c>
      <c r="D187">
        <v>312.89999999999998</v>
      </c>
      <c r="E187" s="2">
        <f t="shared" si="8"/>
        <v>1</v>
      </c>
      <c r="F187" s="1">
        <v>43209</v>
      </c>
      <c r="G187">
        <f t="shared" si="9"/>
        <v>314.74885934418438</v>
      </c>
      <c r="H187">
        <f t="shared" si="10"/>
        <v>320.15000015115737</v>
      </c>
      <c r="J187">
        <f t="shared" si="11"/>
        <v>7.2500001511573942</v>
      </c>
    </row>
    <row r="188" spans="1:10" x14ac:dyDescent="0.3">
      <c r="A188" s="1">
        <v>43203</v>
      </c>
      <c r="B188">
        <v>-0.202553510665893</v>
      </c>
      <c r="C188">
        <v>0.77629911899566595</v>
      </c>
      <c r="D188">
        <v>315.60000000000002</v>
      </c>
      <c r="E188" s="2">
        <f t="shared" si="8"/>
        <v>0</v>
      </c>
      <c r="F188" s="1">
        <v>43210</v>
      </c>
      <c r="G188">
        <f t="shared" si="9"/>
        <v>314.96074112033847</v>
      </c>
      <c r="H188">
        <f t="shared" si="10"/>
        <v>318.05000001955034</v>
      </c>
      <c r="J188">
        <f t="shared" si="11"/>
        <v>-2.4500000195503162</v>
      </c>
    </row>
    <row r="189" spans="1:10" x14ac:dyDescent="0.3">
      <c r="A189" s="1">
        <v>43206</v>
      </c>
      <c r="B189">
        <v>0.28690484166145303</v>
      </c>
      <c r="C189">
        <v>0.88762086629867498</v>
      </c>
      <c r="D189">
        <v>315.45</v>
      </c>
      <c r="E189" s="2">
        <f t="shared" si="8"/>
        <v>1</v>
      </c>
      <c r="F189" s="1">
        <v>43213</v>
      </c>
      <c r="G189">
        <f t="shared" si="9"/>
        <v>316.35504132302106</v>
      </c>
      <c r="H189">
        <f t="shared" si="10"/>
        <v>318.25000002273919</v>
      </c>
      <c r="J189">
        <f t="shared" si="11"/>
        <v>2.8000000227391979</v>
      </c>
    </row>
    <row r="190" spans="1:10" x14ac:dyDescent="0.3">
      <c r="A190" s="1">
        <v>43207</v>
      </c>
      <c r="B190">
        <v>9.1711558401584597E-2</v>
      </c>
      <c r="C190">
        <v>0.30106163024902299</v>
      </c>
      <c r="D190">
        <v>315.55</v>
      </c>
      <c r="E190" s="2">
        <f t="shared" si="8"/>
        <v>1</v>
      </c>
      <c r="F190" s="1">
        <v>43214</v>
      </c>
      <c r="G190">
        <f t="shared" si="9"/>
        <v>315.83939582253623</v>
      </c>
      <c r="H190">
        <f t="shared" si="10"/>
        <v>316.49999997425078</v>
      </c>
      <c r="J190">
        <f t="shared" si="11"/>
        <v>0.94999997425077254</v>
      </c>
    </row>
    <row r="191" spans="1:10" x14ac:dyDescent="0.3">
      <c r="A191" s="1">
        <v>43208</v>
      </c>
      <c r="B191">
        <v>0.67125880718231201</v>
      </c>
      <c r="C191">
        <v>-1.45882356166839</v>
      </c>
      <c r="D191">
        <v>318.75</v>
      </c>
      <c r="E191" s="2">
        <f t="shared" si="8"/>
        <v>0</v>
      </c>
      <c r="F191" s="1">
        <v>43215</v>
      </c>
      <c r="G191">
        <f t="shared" si="9"/>
        <v>320.88963744789362</v>
      </c>
      <c r="H191">
        <f t="shared" si="10"/>
        <v>314.09999989718199</v>
      </c>
      <c r="J191">
        <f t="shared" si="11"/>
        <v>-4.6500001028180122</v>
      </c>
    </row>
    <row r="192" spans="1:10" x14ac:dyDescent="0.3">
      <c r="A192" s="1">
        <v>43209</v>
      </c>
      <c r="B192">
        <v>-0.959081590175628</v>
      </c>
      <c r="C192">
        <v>-0.48414805531501698</v>
      </c>
      <c r="D192">
        <v>320.14999999999998</v>
      </c>
      <c r="E192" s="2">
        <f t="shared" si="8"/>
        <v>1</v>
      </c>
      <c r="F192" s="1">
        <v>43216</v>
      </c>
      <c r="G192">
        <f t="shared" si="9"/>
        <v>317.0795002890527</v>
      </c>
      <c r="H192">
        <f t="shared" si="10"/>
        <v>318.60000000090895</v>
      </c>
      <c r="J192">
        <f t="shared" si="11"/>
        <v>1.5499999990910283</v>
      </c>
    </row>
    <row r="193" spans="1:10" x14ac:dyDescent="0.3">
      <c r="A193" s="1">
        <v>43210</v>
      </c>
      <c r="B193">
        <v>-0.32763728499412498</v>
      </c>
      <c r="C193">
        <v>1.02185189723968</v>
      </c>
      <c r="D193">
        <v>318.05</v>
      </c>
      <c r="E193" s="2">
        <f t="shared" si="8"/>
        <v>0</v>
      </c>
      <c r="F193" s="1">
        <v>43217</v>
      </c>
      <c r="G193">
        <f t="shared" si="9"/>
        <v>317.0079496150762</v>
      </c>
      <c r="H193">
        <f t="shared" si="10"/>
        <v>321.2999999591708</v>
      </c>
      <c r="J193">
        <f t="shared" si="11"/>
        <v>-3.2499999591707933</v>
      </c>
    </row>
    <row r="194" spans="1:10" x14ac:dyDescent="0.3">
      <c r="A194" s="1">
        <v>43213</v>
      </c>
      <c r="B194">
        <v>0.12412144988775201</v>
      </c>
      <c r="C194">
        <v>1.42969357967376</v>
      </c>
      <c r="D194">
        <v>318.25</v>
      </c>
      <c r="E194" s="2">
        <f t="shared" si="8"/>
        <v>1</v>
      </c>
      <c r="F194" s="1">
        <v>43220</v>
      </c>
      <c r="G194">
        <f t="shared" si="9"/>
        <v>318.64501651426775</v>
      </c>
      <c r="H194">
        <f t="shared" si="10"/>
        <v>322.79999981731174</v>
      </c>
      <c r="J194">
        <f t="shared" si="11"/>
        <v>4.5499998173117433</v>
      </c>
    </row>
    <row r="195" spans="1:10" x14ac:dyDescent="0.3">
      <c r="A195" s="1">
        <v>43214</v>
      </c>
      <c r="B195">
        <v>0.50481176376342696</v>
      </c>
      <c r="C195">
        <v>1.3902053833007799</v>
      </c>
      <c r="D195">
        <v>316.5</v>
      </c>
      <c r="E195" s="2">
        <f t="shared" ref="E195:E197" si="12">IF(B195*C195&gt;0,1,0)</f>
        <v>1</v>
      </c>
      <c r="F195" s="1">
        <v>43222</v>
      </c>
      <c r="G195">
        <f t="shared" ref="G195:G197" si="13">B195*D195/100 + D195</f>
        <v>318.09772923231122</v>
      </c>
      <c r="H195">
        <f t="shared" ref="H195:H197" si="14">C195*D195/100 + D195</f>
        <v>320.90000003814697</v>
      </c>
      <c r="J195">
        <f t="shared" ref="J195:J197" si="15">IF(E195=1,ABS(D195-H195),-ABS(D195-H195))</f>
        <v>4.4000000381469704</v>
      </c>
    </row>
    <row r="196" spans="1:10" x14ac:dyDescent="0.3">
      <c r="A196" s="1">
        <v>43215</v>
      </c>
      <c r="B196">
        <v>2.1992928981781001</v>
      </c>
      <c r="C196">
        <v>1.6077681779861399</v>
      </c>
      <c r="D196">
        <v>314.10000000000002</v>
      </c>
      <c r="E196" s="2">
        <f t="shared" si="12"/>
        <v>1</v>
      </c>
      <c r="F196" s="1">
        <v>43223</v>
      </c>
      <c r="G196">
        <f t="shared" si="13"/>
        <v>321.00797899317746</v>
      </c>
      <c r="H196">
        <f t="shared" si="14"/>
        <v>319.14999984705452</v>
      </c>
      <c r="J196">
        <f t="shared" si="15"/>
        <v>5.0499998470544938</v>
      </c>
    </row>
    <row r="197" spans="1:10" x14ac:dyDescent="0.3">
      <c r="A197" s="1">
        <v>43216</v>
      </c>
      <c r="B197">
        <v>2.2157428264617902</v>
      </c>
      <c r="C197">
        <v>-0.313873201608657</v>
      </c>
      <c r="D197">
        <v>318.60000000000002</v>
      </c>
      <c r="E197" s="2">
        <f t="shared" si="12"/>
        <v>0</v>
      </c>
      <c r="F197" s="1">
        <v>43224</v>
      </c>
      <c r="G197">
        <f t="shared" si="13"/>
        <v>325.65935664510727</v>
      </c>
      <c r="H197">
        <f t="shared" si="14"/>
        <v>317.59999997967486</v>
      </c>
      <c r="J197">
        <f t="shared" si="15"/>
        <v>-1.0000000203251602</v>
      </c>
    </row>
    <row r="198" spans="1:10" x14ac:dyDescent="0.3">
      <c r="E198" s="2">
        <f>SUM(E2:E197)/196</f>
        <v>0.59183673469387754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5_1_100_0.001_200_1_2018-07-022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2018-07-02T13:40:01Z</dcterms:created>
  <dcterms:modified xsi:type="dcterms:W3CDTF">2018-07-02T13:40:01Z</dcterms:modified>
</cp:coreProperties>
</file>