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epMoney\results_vdiff_65\"/>
    </mc:Choice>
  </mc:AlternateContent>
  <bookViews>
    <workbookView xWindow="0" yWindow="0" windowWidth="28800" windowHeight="12390"/>
  </bookViews>
  <sheets>
    <sheet name="vdiff_65_65_10_20_0.001_500_20_" sheetId="1" r:id="rId1"/>
  </sheets>
  <calcPr calcId="0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P14" i="1" s="1"/>
  <c r="T14" i="1" s="1"/>
  <c r="O15" i="1"/>
  <c r="O16" i="1"/>
  <c r="O17" i="1"/>
  <c r="O18" i="1"/>
  <c r="P18" i="1" s="1"/>
  <c r="T18" i="1" s="1"/>
  <c r="O19" i="1"/>
  <c r="O20" i="1"/>
  <c r="O21" i="1"/>
  <c r="O22" i="1"/>
  <c r="P22" i="1" s="1"/>
  <c r="T22" i="1" s="1"/>
  <c r="O23" i="1"/>
  <c r="O24" i="1"/>
  <c r="O25" i="1"/>
  <c r="O26" i="1"/>
  <c r="P26" i="1" s="1"/>
  <c r="T26" i="1" s="1"/>
  <c r="O27" i="1"/>
  <c r="O28" i="1"/>
  <c r="O29" i="1"/>
  <c r="O30" i="1"/>
  <c r="O31" i="1"/>
  <c r="O32" i="1"/>
  <c r="O33" i="1"/>
  <c r="O34" i="1"/>
  <c r="P34" i="1" s="1"/>
  <c r="T34" i="1" s="1"/>
  <c r="O35" i="1"/>
  <c r="O36" i="1"/>
  <c r="O37" i="1"/>
  <c r="O38" i="1"/>
  <c r="P38" i="1" s="1"/>
  <c r="T38" i="1" s="1"/>
  <c r="O39" i="1"/>
  <c r="O40" i="1"/>
  <c r="O41" i="1"/>
  <c r="O42" i="1"/>
  <c r="P42" i="1" s="1"/>
  <c r="T42" i="1" s="1"/>
  <c r="O43" i="1"/>
  <c r="O44" i="1"/>
  <c r="O45" i="1"/>
  <c r="O46" i="1"/>
  <c r="P46" i="1" s="1"/>
  <c r="T46" i="1" s="1"/>
  <c r="O47" i="1"/>
  <c r="O48" i="1"/>
  <c r="O49" i="1"/>
  <c r="O50" i="1"/>
  <c r="P50" i="1" s="1"/>
  <c r="T50" i="1" s="1"/>
  <c r="O51" i="1"/>
  <c r="O52" i="1"/>
  <c r="O53" i="1"/>
  <c r="O54" i="1"/>
  <c r="P54" i="1" s="1"/>
  <c r="T54" i="1" s="1"/>
  <c r="O55" i="1"/>
  <c r="O56" i="1"/>
  <c r="O57" i="1"/>
  <c r="O58" i="1"/>
  <c r="P58" i="1" s="1"/>
  <c r="T58" i="1" s="1"/>
  <c r="O59" i="1"/>
  <c r="O60" i="1"/>
  <c r="O61" i="1"/>
  <c r="O62" i="1"/>
  <c r="P62" i="1" s="1"/>
  <c r="T62" i="1" s="1"/>
  <c r="O63" i="1"/>
  <c r="O64" i="1"/>
  <c r="O65" i="1"/>
  <c r="O66" i="1"/>
  <c r="P66" i="1" s="1"/>
  <c r="T66" i="1" s="1"/>
  <c r="O67" i="1"/>
  <c r="O68" i="1"/>
  <c r="O69" i="1"/>
  <c r="O70" i="1"/>
  <c r="P70" i="1" s="1"/>
  <c r="T70" i="1" s="1"/>
  <c r="O71" i="1"/>
  <c r="O72" i="1"/>
  <c r="O73" i="1"/>
  <c r="O74" i="1"/>
  <c r="P74" i="1" s="1"/>
  <c r="T74" i="1" s="1"/>
  <c r="O75" i="1"/>
  <c r="O76" i="1"/>
  <c r="O77" i="1"/>
  <c r="O78" i="1"/>
  <c r="P78" i="1" s="1"/>
  <c r="T78" i="1" s="1"/>
  <c r="O79" i="1"/>
  <c r="O80" i="1"/>
  <c r="O81" i="1"/>
  <c r="O82" i="1"/>
  <c r="P82" i="1" s="1"/>
  <c r="T82" i="1" s="1"/>
  <c r="O83" i="1"/>
  <c r="O84" i="1"/>
  <c r="O85" i="1"/>
  <c r="O86" i="1"/>
  <c r="P86" i="1" s="1"/>
  <c r="T86" i="1" s="1"/>
  <c r="O87" i="1"/>
  <c r="O88" i="1"/>
  <c r="O89" i="1"/>
  <c r="O90" i="1"/>
  <c r="P90" i="1" s="1"/>
  <c r="T90" i="1" s="1"/>
  <c r="O91" i="1"/>
  <c r="O92" i="1"/>
  <c r="O93" i="1"/>
  <c r="O94" i="1"/>
  <c r="P94" i="1" s="1"/>
  <c r="T94" i="1" s="1"/>
  <c r="O95" i="1"/>
  <c r="O96" i="1"/>
  <c r="O97" i="1"/>
  <c r="O98" i="1"/>
  <c r="P98" i="1" s="1"/>
  <c r="T98" i="1" s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" i="1"/>
  <c r="T19" i="1"/>
  <c r="T35" i="1"/>
  <c r="T51" i="1"/>
  <c r="T67" i="1"/>
  <c r="T83" i="1"/>
  <c r="T99" i="1"/>
  <c r="T115" i="1"/>
  <c r="T131" i="1"/>
  <c r="T147" i="1"/>
  <c r="T163" i="1"/>
  <c r="T179" i="1"/>
  <c r="T195" i="1"/>
  <c r="T211" i="1"/>
  <c r="T227" i="1"/>
  <c r="T243" i="1"/>
  <c r="T259" i="1"/>
  <c r="T275" i="1"/>
  <c r="P35" i="1"/>
  <c r="P36" i="1"/>
  <c r="T36" i="1" s="1"/>
  <c r="P37" i="1"/>
  <c r="T37" i="1" s="1"/>
  <c r="P39" i="1"/>
  <c r="T39" i="1" s="1"/>
  <c r="P40" i="1"/>
  <c r="T40" i="1" s="1"/>
  <c r="P41" i="1"/>
  <c r="T41" i="1" s="1"/>
  <c r="P43" i="1"/>
  <c r="T43" i="1" s="1"/>
  <c r="P44" i="1"/>
  <c r="T44" i="1" s="1"/>
  <c r="P45" i="1"/>
  <c r="T45" i="1" s="1"/>
  <c r="P47" i="1"/>
  <c r="T47" i="1" s="1"/>
  <c r="P48" i="1"/>
  <c r="T48" i="1" s="1"/>
  <c r="P49" i="1"/>
  <c r="T49" i="1" s="1"/>
  <c r="P51" i="1"/>
  <c r="P52" i="1"/>
  <c r="T52" i="1" s="1"/>
  <c r="P53" i="1"/>
  <c r="T53" i="1" s="1"/>
  <c r="P55" i="1"/>
  <c r="T55" i="1" s="1"/>
  <c r="P56" i="1"/>
  <c r="T56" i="1" s="1"/>
  <c r="P57" i="1"/>
  <c r="T57" i="1" s="1"/>
  <c r="P59" i="1"/>
  <c r="T59" i="1" s="1"/>
  <c r="P60" i="1"/>
  <c r="T60" i="1" s="1"/>
  <c r="P61" i="1"/>
  <c r="T61" i="1" s="1"/>
  <c r="P63" i="1"/>
  <c r="T63" i="1" s="1"/>
  <c r="P64" i="1"/>
  <c r="T64" i="1" s="1"/>
  <c r="P65" i="1"/>
  <c r="T65" i="1" s="1"/>
  <c r="P67" i="1"/>
  <c r="P68" i="1"/>
  <c r="T68" i="1" s="1"/>
  <c r="P69" i="1"/>
  <c r="T69" i="1" s="1"/>
  <c r="P71" i="1"/>
  <c r="T71" i="1" s="1"/>
  <c r="P72" i="1"/>
  <c r="T72" i="1" s="1"/>
  <c r="P73" i="1"/>
  <c r="T73" i="1" s="1"/>
  <c r="P75" i="1"/>
  <c r="T75" i="1" s="1"/>
  <c r="P76" i="1"/>
  <c r="T76" i="1" s="1"/>
  <c r="P77" i="1"/>
  <c r="T77" i="1" s="1"/>
  <c r="P79" i="1"/>
  <c r="T79" i="1" s="1"/>
  <c r="P80" i="1"/>
  <c r="T80" i="1" s="1"/>
  <c r="P81" i="1"/>
  <c r="T81" i="1" s="1"/>
  <c r="P83" i="1"/>
  <c r="P84" i="1"/>
  <c r="T84" i="1" s="1"/>
  <c r="P85" i="1"/>
  <c r="T85" i="1" s="1"/>
  <c r="P87" i="1"/>
  <c r="T87" i="1" s="1"/>
  <c r="P88" i="1"/>
  <c r="T88" i="1" s="1"/>
  <c r="P89" i="1"/>
  <c r="T89" i="1" s="1"/>
  <c r="P91" i="1"/>
  <c r="T91" i="1" s="1"/>
  <c r="P92" i="1"/>
  <c r="T92" i="1" s="1"/>
  <c r="P93" i="1"/>
  <c r="T93" i="1" s="1"/>
  <c r="P95" i="1"/>
  <c r="T95" i="1" s="1"/>
  <c r="P96" i="1"/>
  <c r="T96" i="1" s="1"/>
  <c r="P97" i="1"/>
  <c r="T97" i="1" s="1"/>
  <c r="P99" i="1"/>
  <c r="P100" i="1"/>
  <c r="T100" i="1" s="1"/>
  <c r="P101" i="1"/>
  <c r="T101" i="1" s="1"/>
  <c r="P102" i="1"/>
  <c r="T102" i="1" s="1"/>
  <c r="P103" i="1"/>
  <c r="T103" i="1" s="1"/>
  <c r="P104" i="1"/>
  <c r="T104" i="1" s="1"/>
  <c r="P105" i="1"/>
  <c r="T105" i="1" s="1"/>
  <c r="P106" i="1"/>
  <c r="T106" i="1" s="1"/>
  <c r="P107" i="1"/>
  <c r="T107" i="1" s="1"/>
  <c r="P108" i="1"/>
  <c r="T108" i="1" s="1"/>
  <c r="P109" i="1"/>
  <c r="T109" i="1" s="1"/>
  <c r="P110" i="1"/>
  <c r="T110" i="1" s="1"/>
  <c r="P111" i="1"/>
  <c r="T111" i="1" s="1"/>
  <c r="P112" i="1"/>
  <c r="T112" i="1" s="1"/>
  <c r="P113" i="1"/>
  <c r="T113" i="1" s="1"/>
  <c r="P114" i="1"/>
  <c r="T114" i="1" s="1"/>
  <c r="P115" i="1"/>
  <c r="P116" i="1"/>
  <c r="T116" i="1" s="1"/>
  <c r="P117" i="1"/>
  <c r="T117" i="1" s="1"/>
  <c r="P118" i="1"/>
  <c r="T118" i="1" s="1"/>
  <c r="P119" i="1"/>
  <c r="T119" i="1" s="1"/>
  <c r="P120" i="1"/>
  <c r="T120" i="1" s="1"/>
  <c r="P121" i="1"/>
  <c r="T121" i="1" s="1"/>
  <c r="P122" i="1"/>
  <c r="T122" i="1" s="1"/>
  <c r="P123" i="1"/>
  <c r="T123" i="1" s="1"/>
  <c r="P124" i="1"/>
  <c r="T124" i="1" s="1"/>
  <c r="P125" i="1"/>
  <c r="T125" i="1" s="1"/>
  <c r="P126" i="1"/>
  <c r="T126" i="1" s="1"/>
  <c r="P127" i="1"/>
  <c r="T127" i="1" s="1"/>
  <c r="P128" i="1"/>
  <c r="T128" i="1" s="1"/>
  <c r="P129" i="1"/>
  <c r="T129" i="1" s="1"/>
  <c r="P130" i="1"/>
  <c r="T130" i="1" s="1"/>
  <c r="P131" i="1"/>
  <c r="P132" i="1"/>
  <c r="T132" i="1" s="1"/>
  <c r="P133" i="1"/>
  <c r="T133" i="1" s="1"/>
  <c r="P134" i="1"/>
  <c r="T134" i="1" s="1"/>
  <c r="P135" i="1"/>
  <c r="T135" i="1" s="1"/>
  <c r="P136" i="1"/>
  <c r="T136" i="1" s="1"/>
  <c r="P137" i="1"/>
  <c r="T137" i="1" s="1"/>
  <c r="P138" i="1"/>
  <c r="T138" i="1" s="1"/>
  <c r="P139" i="1"/>
  <c r="T139" i="1" s="1"/>
  <c r="P140" i="1"/>
  <c r="T140" i="1" s="1"/>
  <c r="P141" i="1"/>
  <c r="T141" i="1" s="1"/>
  <c r="P142" i="1"/>
  <c r="T142" i="1" s="1"/>
  <c r="P143" i="1"/>
  <c r="T143" i="1" s="1"/>
  <c r="P144" i="1"/>
  <c r="T144" i="1" s="1"/>
  <c r="P145" i="1"/>
  <c r="T145" i="1" s="1"/>
  <c r="P146" i="1"/>
  <c r="T146" i="1" s="1"/>
  <c r="P147" i="1"/>
  <c r="P148" i="1"/>
  <c r="T148" i="1" s="1"/>
  <c r="P149" i="1"/>
  <c r="T149" i="1" s="1"/>
  <c r="P150" i="1"/>
  <c r="T150" i="1" s="1"/>
  <c r="P151" i="1"/>
  <c r="T151" i="1" s="1"/>
  <c r="P152" i="1"/>
  <c r="T152" i="1" s="1"/>
  <c r="P153" i="1"/>
  <c r="T153" i="1" s="1"/>
  <c r="P154" i="1"/>
  <c r="T154" i="1" s="1"/>
  <c r="P155" i="1"/>
  <c r="T155" i="1" s="1"/>
  <c r="P156" i="1"/>
  <c r="T156" i="1" s="1"/>
  <c r="P157" i="1"/>
  <c r="T157" i="1" s="1"/>
  <c r="P158" i="1"/>
  <c r="T158" i="1" s="1"/>
  <c r="P159" i="1"/>
  <c r="T159" i="1" s="1"/>
  <c r="P160" i="1"/>
  <c r="T160" i="1" s="1"/>
  <c r="P161" i="1"/>
  <c r="T161" i="1" s="1"/>
  <c r="P162" i="1"/>
  <c r="T162" i="1" s="1"/>
  <c r="P163" i="1"/>
  <c r="P164" i="1"/>
  <c r="T164" i="1" s="1"/>
  <c r="P165" i="1"/>
  <c r="T165" i="1" s="1"/>
  <c r="P166" i="1"/>
  <c r="T166" i="1" s="1"/>
  <c r="P167" i="1"/>
  <c r="T167" i="1" s="1"/>
  <c r="P168" i="1"/>
  <c r="T168" i="1" s="1"/>
  <c r="P169" i="1"/>
  <c r="T169" i="1" s="1"/>
  <c r="P170" i="1"/>
  <c r="T170" i="1" s="1"/>
  <c r="P171" i="1"/>
  <c r="T171" i="1" s="1"/>
  <c r="P172" i="1"/>
  <c r="T172" i="1" s="1"/>
  <c r="P173" i="1"/>
  <c r="T173" i="1" s="1"/>
  <c r="P174" i="1"/>
  <c r="T174" i="1" s="1"/>
  <c r="P175" i="1"/>
  <c r="T175" i="1" s="1"/>
  <c r="P176" i="1"/>
  <c r="T176" i="1" s="1"/>
  <c r="P177" i="1"/>
  <c r="T177" i="1" s="1"/>
  <c r="P178" i="1"/>
  <c r="T178" i="1" s="1"/>
  <c r="P179" i="1"/>
  <c r="P180" i="1"/>
  <c r="T180" i="1" s="1"/>
  <c r="P181" i="1"/>
  <c r="T181" i="1" s="1"/>
  <c r="P182" i="1"/>
  <c r="T182" i="1" s="1"/>
  <c r="P183" i="1"/>
  <c r="T183" i="1" s="1"/>
  <c r="P184" i="1"/>
  <c r="T184" i="1" s="1"/>
  <c r="P185" i="1"/>
  <c r="T185" i="1" s="1"/>
  <c r="P186" i="1"/>
  <c r="T186" i="1" s="1"/>
  <c r="P187" i="1"/>
  <c r="T187" i="1" s="1"/>
  <c r="P188" i="1"/>
  <c r="T188" i="1" s="1"/>
  <c r="P189" i="1"/>
  <c r="T189" i="1" s="1"/>
  <c r="P190" i="1"/>
  <c r="T190" i="1" s="1"/>
  <c r="P191" i="1"/>
  <c r="T191" i="1" s="1"/>
  <c r="P192" i="1"/>
  <c r="T192" i="1" s="1"/>
  <c r="P193" i="1"/>
  <c r="T193" i="1" s="1"/>
  <c r="P194" i="1"/>
  <c r="T194" i="1" s="1"/>
  <c r="P195" i="1"/>
  <c r="P196" i="1"/>
  <c r="T196" i="1" s="1"/>
  <c r="P197" i="1"/>
  <c r="T197" i="1" s="1"/>
  <c r="P198" i="1"/>
  <c r="T198" i="1" s="1"/>
  <c r="P199" i="1"/>
  <c r="T199" i="1" s="1"/>
  <c r="P200" i="1"/>
  <c r="T200" i="1" s="1"/>
  <c r="P201" i="1"/>
  <c r="T201" i="1" s="1"/>
  <c r="P202" i="1"/>
  <c r="T202" i="1" s="1"/>
  <c r="P203" i="1"/>
  <c r="T203" i="1" s="1"/>
  <c r="P204" i="1"/>
  <c r="T204" i="1" s="1"/>
  <c r="P205" i="1"/>
  <c r="T205" i="1" s="1"/>
  <c r="P206" i="1"/>
  <c r="T206" i="1" s="1"/>
  <c r="P207" i="1"/>
  <c r="T207" i="1" s="1"/>
  <c r="P208" i="1"/>
  <c r="T208" i="1" s="1"/>
  <c r="P209" i="1"/>
  <c r="T209" i="1" s="1"/>
  <c r="P210" i="1"/>
  <c r="T210" i="1" s="1"/>
  <c r="P211" i="1"/>
  <c r="P212" i="1"/>
  <c r="T212" i="1" s="1"/>
  <c r="P213" i="1"/>
  <c r="T213" i="1" s="1"/>
  <c r="P214" i="1"/>
  <c r="T214" i="1" s="1"/>
  <c r="P215" i="1"/>
  <c r="T215" i="1" s="1"/>
  <c r="P216" i="1"/>
  <c r="T216" i="1" s="1"/>
  <c r="P217" i="1"/>
  <c r="T217" i="1" s="1"/>
  <c r="P218" i="1"/>
  <c r="T218" i="1" s="1"/>
  <c r="P219" i="1"/>
  <c r="T219" i="1" s="1"/>
  <c r="P220" i="1"/>
  <c r="T220" i="1" s="1"/>
  <c r="P221" i="1"/>
  <c r="T221" i="1" s="1"/>
  <c r="P222" i="1"/>
  <c r="T222" i="1" s="1"/>
  <c r="P223" i="1"/>
  <c r="T223" i="1" s="1"/>
  <c r="P224" i="1"/>
  <c r="T224" i="1" s="1"/>
  <c r="P225" i="1"/>
  <c r="T225" i="1" s="1"/>
  <c r="P226" i="1"/>
  <c r="T226" i="1" s="1"/>
  <c r="P227" i="1"/>
  <c r="P228" i="1"/>
  <c r="T228" i="1" s="1"/>
  <c r="P229" i="1"/>
  <c r="T229" i="1" s="1"/>
  <c r="P230" i="1"/>
  <c r="T230" i="1" s="1"/>
  <c r="P231" i="1"/>
  <c r="T231" i="1" s="1"/>
  <c r="P232" i="1"/>
  <c r="T232" i="1" s="1"/>
  <c r="P233" i="1"/>
  <c r="T233" i="1" s="1"/>
  <c r="P234" i="1"/>
  <c r="T234" i="1" s="1"/>
  <c r="P235" i="1"/>
  <c r="T235" i="1" s="1"/>
  <c r="P236" i="1"/>
  <c r="T236" i="1" s="1"/>
  <c r="P237" i="1"/>
  <c r="T237" i="1" s="1"/>
  <c r="P238" i="1"/>
  <c r="T238" i="1" s="1"/>
  <c r="P239" i="1"/>
  <c r="T239" i="1" s="1"/>
  <c r="P240" i="1"/>
  <c r="T240" i="1" s="1"/>
  <c r="P241" i="1"/>
  <c r="T241" i="1" s="1"/>
  <c r="P242" i="1"/>
  <c r="T242" i="1" s="1"/>
  <c r="P243" i="1"/>
  <c r="P244" i="1"/>
  <c r="T244" i="1" s="1"/>
  <c r="P245" i="1"/>
  <c r="T245" i="1" s="1"/>
  <c r="P246" i="1"/>
  <c r="T246" i="1" s="1"/>
  <c r="P247" i="1"/>
  <c r="T247" i="1" s="1"/>
  <c r="P248" i="1"/>
  <c r="T248" i="1" s="1"/>
  <c r="P249" i="1"/>
  <c r="T249" i="1" s="1"/>
  <c r="P250" i="1"/>
  <c r="T250" i="1" s="1"/>
  <c r="P251" i="1"/>
  <c r="T251" i="1" s="1"/>
  <c r="P252" i="1"/>
  <c r="T252" i="1" s="1"/>
  <c r="P253" i="1"/>
  <c r="T253" i="1" s="1"/>
  <c r="P254" i="1"/>
  <c r="T254" i="1" s="1"/>
  <c r="P255" i="1"/>
  <c r="T255" i="1" s="1"/>
  <c r="P256" i="1"/>
  <c r="T256" i="1" s="1"/>
  <c r="P257" i="1"/>
  <c r="T257" i="1" s="1"/>
  <c r="P258" i="1"/>
  <c r="T258" i="1" s="1"/>
  <c r="P259" i="1"/>
  <c r="P260" i="1"/>
  <c r="T260" i="1" s="1"/>
  <c r="P261" i="1"/>
  <c r="T261" i="1" s="1"/>
  <c r="P262" i="1"/>
  <c r="T262" i="1" s="1"/>
  <c r="P263" i="1"/>
  <c r="T263" i="1" s="1"/>
  <c r="P264" i="1"/>
  <c r="T264" i="1" s="1"/>
  <c r="P265" i="1"/>
  <c r="T265" i="1" s="1"/>
  <c r="P266" i="1"/>
  <c r="T266" i="1" s="1"/>
  <c r="P267" i="1"/>
  <c r="T267" i="1" s="1"/>
  <c r="P268" i="1"/>
  <c r="T268" i="1" s="1"/>
  <c r="P269" i="1"/>
  <c r="T269" i="1" s="1"/>
  <c r="P270" i="1"/>
  <c r="T270" i="1" s="1"/>
  <c r="P271" i="1"/>
  <c r="T271" i="1" s="1"/>
  <c r="P272" i="1"/>
  <c r="T272" i="1" s="1"/>
  <c r="P273" i="1"/>
  <c r="T273" i="1" s="1"/>
  <c r="P274" i="1"/>
  <c r="T274" i="1" s="1"/>
  <c r="P275" i="1"/>
  <c r="P276" i="1"/>
  <c r="T276" i="1" s="1"/>
  <c r="P29" i="1"/>
  <c r="T29" i="1" s="1"/>
  <c r="P30" i="1"/>
  <c r="T30" i="1" s="1"/>
  <c r="P31" i="1"/>
  <c r="T31" i="1" s="1"/>
  <c r="P32" i="1"/>
  <c r="T32" i="1" s="1"/>
  <c r="P33" i="1"/>
  <c r="T33" i="1" s="1"/>
  <c r="P13" i="1"/>
  <c r="T13" i="1" s="1"/>
  <c r="P15" i="1"/>
  <c r="T15" i="1" s="1"/>
  <c r="P16" i="1"/>
  <c r="T16" i="1" s="1"/>
  <c r="P17" i="1"/>
  <c r="T17" i="1" s="1"/>
  <c r="P19" i="1"/>
  <c r="P20" i="1"/>
  <c r="T20" i="1" s="1"/>
  <c r="P21" i="1"/>
  <c r="T21" i="1" s="1"/>
  <c r="P23" i="1"/>
  <c r="T23" i="1" s="1"/>
  <c r="P24" i="1"/>
  <c r="T24" i="1" s="1"/>
  <c r="P25" i="1"/>
  <c r="T25" i="1" s="1"/>
  <c r="P27" i="1"/>
  <c r="T27" i="1" s="1"/>
  <c r="P28" i="1"/>
  <c r="T28" i="1" s="1"/>
  <c r="P3" i="1"/>
  <c r="P4" i="1"/>
  <c r="T4" i="1" s="1"/>
  <c r="P5" i="1"/>
  <c r="T5" i="1" s="1"/>
  <c r="P6" i="1"/>
  <c r="T6" i="1" s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2" i="1"/>
  <c r="T2" i="1" s="1"/>
  <c r="P277" i="1" l="1"/>
  <c r="T3" i="1"/>
  <c r="T277" i="1"/>
</calcChain>
</file>

<file path=xl/sharedStrings.xml><?xml version="1.0" encoding="utf-8"?>
<sst xmlns="http://schemas.openxmlformats.org/spreadsheetml/2006/main" count="21" uniqueCount="16">
  <si>
    <t>date_base</t>
  </si>
  <si>
    <t>date_pred</t>
  </si>
  <si>
    <t>index_pred</t>
  </si>
  <si>
    <t>index_real</t>
  </si>
  <si>
    <t>index_today</t>
  </si>
  <si>
    <t>loss_profits</t>
  </si>
  <si>
    <t>prediction</t>
  </si>
  <si>
    <t>real</t>
  </si>
  <si>
    <t>std</t>
  </si>
  <si>
    <t>BT</t>
  </si>
  <si>
    <t>BB</t>
  </si>
  <si>
    <t>구간+방향성 확률</t>
  </si>
  <si>
    <t>accuracy</t>
  </si>
  <si>
    <t xml:space="preserve"> RMSE</t>
  </si>
  <si>
    <t>앙상블</t>
    <phoneticPr fontId="18" type="noConversion"/>
  </si>
  <si>
    <t xml:space="preserve">profit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</si>
</sst>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8"/>
  <sheetViews>
    <sheetView tabSelected="1" workbookViewId="0">
      <selection activeCell="P276" sqref="P276"/>
    </sheetView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14</v>
      </c>
      <c r="P1" t="s">
        <v>15</v>
      </c>
      <c r="Q1" t="s">
        <v>9</v>
      </c>
      <c r="R1" t="s">
        <v>10</v>
      </c>
      <c r="T1" t="s">
        <v>11</v>
      </c>
    </row>
    <row r="2" spans="1:20" x14ac:dyDescent="0.3">
      <c r="A2" s="1">
        <v>42825</v>
      </c>
      <c r="B2" s="1">
        <v>42916</v>
      </c>
      <c r="C2">
        <v>303.9430729</v>
      </c>
      <c r="D2">
        <v>311.55000080000002</v>
      </c>
      <c r="E2">
        <v>281.60000000000002</v>
      </c>
      <c r="F2">
        <v>29.950000760000002</v>
      </c>
      <c r="G2">
        <v>22.343072889999998</v>
      </c>
      <c r="H2">
        <v>29.950000760000002</v>
      </c>
      <c r="I2">
        <v>11.90461505</v>
      </c>
      <c r="J2">
        <v>299.74716148376399</v>
      </c>
      <c r="K2">
        <v>299.55984458923302</v>
      </c>
      <c r="L2">
        <v>295.75252494812003</v>
      </c>
      <c r="M2">
        <v>299.62058410644499</v>
      </c>
      <c r="N2">
        <v>300.92871246337802</v>
      </c>
      <c r="O2">
        <f>AVERAGE(K2:N2)</f>
        <v>298.965416526794</v>
      </c>
      <c r="P2">
        <f>IF((O2-E2)*(D2-E2)&gt;0, ABS(D2-E2), -ABS(D2-E2))</f>
        <v>29.950000799999998</v>
      </c>
      <c r="Q2">
        <v>331.19261560000001</v>
      </c>
      <c r="R2">
        <v>291.90738590000001</v>
      </c>
      <c r="T2">
        <f>IF(AND(P2&gt;0, AND(O2&lt;Q2, O2&gt;R2)), 1, 0)</f>
        <v>1</v>
      </c>
    </row>
    <row r="3" spans="1:20" x14ac:dyDescent="0.3">
      <c r="A3" s="1">
        <v>42828</v>
      </c>
      <c r="B3" s="1">
        <v>42919</v>
      </c>
      <c r="C3">
        <v>303.30341190000001</v>
      </c>
      <c r="D3">
        <v>311.94999919999998</v>
      </c>
      <c r="E3">
        <v>281.89999999999998</v>
      </c>
      <c r="F3">
        <v>30.049999239999998</v>
      </c>
      <c r="G3">
        <v>21.403411869999999</v>
      </c>
      <c r="H3">
        <v>30.049999239999998</v>
      </c>
      <c r="I3">
        <v>11.916593049999999</v>
      </c>
      <c r="J3">
        <v>301.94907608032202</v>
      </c>
      <c r="K3">
        <v>300.30529060363699</v>
      </c>
      <c r="L3">
        <v>295.47884407043398</v>
      </c>
      <c r="M3">
        <v>298.353430175781</v>
      </c>
      <c r="N3">
        <v>298.84760513305599</v>
      </c>
      <c r="O3">
        <f t="shared" ref="O3:O66" si="0">AVERAGE(K3:N3)</f>
        <v>298.246292495727</v>
      </c>
      <c r="P3">
        <f t="shared" ref="P3:P66" si="1">IF((O3-E3)*(D3-E3)&gt;0, ABS(D3-E3), -ABS(D3-E3))</f>
        <v>30.049999200000002</v>
      </c>
      <c r="Q3">
        <v>331.61237779999999</v>
      </c>
      <c r="R3">
        <v>292.28762069999999</v>
      </c>
      <c r="T3">
        <f t="shared" ref="T3:T66" si="2">IF(AND(P3&gt;0, AND(O3&lt;Q3, O3&gt;R3)), 1, 0)</f>
        <v>1</v>
      </c>
    </row>
    <row r="4" spans="1:20" x14ac:dyDescent="0.3">
      <c r="A4" s="1">
        <v>42829</v>
      </c>
      <c r="B4" s="1">
        <v>42920</v>
      </c>
      <c r="C4">
        <v>304.03797680000002</v>
      </c>
      <c r="D4">
        <v>309.64999920000002</v>
      </c>
      <c r="E4">
        <v>281.35000000000002</v>
      </c>
      <c r="F4">
        <v>28.299999239999998</v>
      </c>
      <c r="G4">
        <v>22.687976840000001</v>
      </c>
      <c r="H4">
        <v>28.299999239999998</v>
      </c>
      <c r="I4">
        <v>11.858192150000001</v>
      </c>
      <c r="J4">
        <v>301.60521278381299</v>
      </c>
      <c r="K4">
        <v>299.74972305297803</v>
      </c>
      <c r="L4">
        <v>292.52084980010898</v>
      </c>
      <c r="M4">
        <v>295.77766571044901</v>
      </c>
      <c r="N4">
        <v>299.93366775512698</v>
      </c>
      <c r="O4">
        <f t="shared" si="0"/>
        <v>296.99547657966576</v>
      </c>
      <c r="P4">
        <f t="shared" si="1"/>
        <v>28.299999200000002</v>
      </c>
      <c r="Q4">
        <v>329.21601629999998</v>
      </c>
      <c r="R4">
        <v>290.08398219999998</v>
      </c>
      <c r="T4">
        <f t="shared" si="2"/>
        <v>1</v>
      </c>
    </row>
    <row r="5" spans="1:20" x14ac:dyDescent="0.3">
      <c r="A5" s="1">
        <v>42830</v>
      </c>
      <c r="B5" s="1">
        <v>42921</v>
      </c>
      <c r="C5">
        <v>303.70790060000002</v>
      </c>
      <c r="D5">
        <v>311.10000000000002</v>
      </c>
      <c r="E5">
        <v>280.85000000000002</v>
      </c>
      <c r="F5">
        <v>30.25</v>
      </c>
      <c r="G5">
        <v>22.857900619999999</v>
      </c>
      <c r="H5">
        <v>30.25</v>
      </c>
      <c r="I5">
        <v>11.79643377</v>
      </c>
      <c r="J5">
        <v>296.35248813629102</v>
      </c>
      <c r="K5">
        <v>297.00037727355902</v>
      </c>
      <c r="L5">
        <v>293.66881523132298</v>
      </c>
      <c r="M5">
        <v>296.342523193359</v>
      </c>
      <c r="N5">
        <v>296.92420921325601</v>
      </c>
      <c r="O5">
        <f t="shared" si="0"/>
        <v>295.98398122787427</v>
      </c>
      <c r="P5">
        <f t="shared" si="1"/>
        <v>30.25</v>
      </c>
      <c r="Q5">
        <v>330.5641157</v>
      </c>
      <c r="R5">
        <v>291.63588429999999</v>
      </c>
      <c r="T5">
        <f t="shared" si="2"/>
        <v>1</v>
      </c>
    </row>
    <row r="6" spans="1:20" x14ac:dyDescent="0.3">
      <c r="A6" s="1">
        <v>42831</v>
      </c>
      <c r="B6" s="1">
        <v>42922</v>
      </c>
      <c r="C6">
        <v>305.84441800000002</v>
      </c>
      <c r="D6">
        <v>311.10000079999998</v>
      </c>
      <c r="E6">
        <v>279.89999999999998</v>
      </c>
      <c r="F6">
        <v>31.200000760000002</v>
      </c>
      <c r="G6">
        <v>25.944417949999998</v>
      </c>
      <c r="H6">
        <v>31.200000760000002</v>
      </c>
      <c r="I6">
        <v>11.69295086</v>
      </c>
      <c r="J6">
        <v>299.47311248779198</v>
      </c>
      <c r="K6">
        <v>295.657835388183</v>
      </c>
      <c r="L6">
        <v>293.74768486022901</v>
      </c>
      <c r="M6">
        <v>292.899544143676</v>
      </c>
      <c r="N6">
        <v>297.85038604736297</v>
      </c>
      <c r="O6">
        <f t="shared" si="0"/>
        <v>295.03886260986275</v>
      </c>
      <c r="P6">
        <f t="shared" si="1"/>
        <v>31.200000799999998</v>
      </c>
      <c r="Q6">
        <v>330.39336969999999</v>
      </c>
      <c r="R6">
        <v>291.80663179999999</v>
      </c>
      <c r="T6">
        <f t="shared" si="2"/>
        <v>1</v>
      </c>
    </row>
    <row r="7" spans="1:20" x14ac:dyDescent="0.3">
      <c r="A7" s="1">
        <v>42832</v>
      </c>
      <c r="B7" s="1">
        <v>42923</v>
      </c>
      <c r="C7">
        <v>301.98288150000002</v>
      </c>
      <c r="D7">
        <v>310.25</v>
      </c>
      <c r="E7">
        <v>279.25</v>
      </c>
      <c r="F7">
        <v>31</v>
      </c>
      <c r="G7">
        <v>22.732881549999998</v>
      </c>
      <c r="H7">
        <v>31</v>
      </c>
      <c r="I7">
        <v>11.537757989999999</v>
      </c>
      <c r="J7">
        <v>299.22590827941798</v>
      </c>
      <c r="K7">
        <v>291.932565689086</v>
      </c>
      <c r="L7">
        <v>292.85050296783402</v>
      </c>
      <c r="M7">
        <v>292.96463775634697</v>
      </c>
      <c r="N7">
        <v>297.152446746826</v>
      </c>
      <c r="O7">
        <f t="shared" si="0"/>
        <v>293.72503829002324</v>
      </c>
      <c r="P7">
        <f t="shared" si="1"/>
        <v>31</v>
      </c>
      <c r="Q7">
        <v>329.2873007</v>
      </c>
      <c r="R7">
        <v>291.2126993</v>
      </c>
      <c r="T7">
        <f t="shared" si="2"/>
        <v>1</v>
      </c>
    </row>
    <row r="8" spans="1:20" x14ac:dyDescent="0.3">
      <c r="A8" s="1">
        <v>42835</v>
      </c>
      <c r="B8" s="1">
        <v>42926</v>
      </c>
      <c r="C8">
        <v>300.33547249999998</v>
      </c>
      <c r="D8">
        <v>310.80000150000001</v>
      </c>
      <c r="E8">
        <v>277.64999999999998</v>
      </c>
      <c r="F8">
        <v>33.150001529999997</v>
      </c>
      <c r="G8">
        <v>22.685472489999999</v>
      </c>
      <c r="H8">
        <v>33.150001529999997</v>
      </c>
      <c r="I8">
        <v>11.32296408</v>
      </c>
      <c r="J8">
        <v>301.22372283935499</v>
      </c>
      <c r="K8">
        <v>295.09429206848102</v>
      </c>
      <c r="L8">
        <v>295.83540191650297</v>
      </c>
      <c r="M8">
        <v>293.33004894256499</v>
      </c>
      <c r="N8">
        <v>297.09761848449699</v>
      </c>
      <c r="O8">
        <f t="shared" si="0"/>
        <v>295.33934035301149</v>
      </c>
      <c r="P8">
        <f t="shared" si="1"/>
        <v>33.15000150000003</v>
      </c>
      <c r="Q8">
        <v>329.4828923</v>
      </c>
      <c r="R8">
        <v>292.11711079999998</v>
      </c>
      <c r="T8">
        <f t="shared" si="2"/>
        <v>1</v>
      </c>
    </row>
    <row r="9" spans="1:20" x14ac:dyDescent="0.3">
      <c r="A9" s="1">
        <v>42836</v>
      </c>
      <c r="B9" s="1">
        <v>42927</v>
      </c>
      <c r="C9">
        <v>299.35459370000001</v>
      </c>
      <c r="D9">
        <v>312.69999919999998</v>
      </c>
      <c r="E9">
        <v>275.89999999999998</v>
      </c>
      <c r="F9">
        <v>36.799999239999998</v>
      </c>
      <c r="G9">
        <v>23.45459366</v>
      </c>
      <c r="H9">
        <v>36.799999239999998</v>
      </c>
      <c r="I9">
        <v>11.05558579</v>
      </c>
      <c r="J9">
        <v>299.37128295898401</v>
      </c>
      <c r="K9">
        <v>291.52930297851498</v>
      </c>
      <c r="L9">
        <v>292.84481086730898</v>
      </c>
      <c r="M9">
        <v>292.629372024536</v>
      </c>
      <c r="N9">
        <v>295.34382286071701</v>
      </c>
      <c r="O9">
        <f t="shared" si="0"/>
        <v>293.08682718276924</v>
      </c>
      <c r="P9">
        <f t="shared" si="1"/>
        <v>36.799999200000002</v>
      </c>
      <c r="Q9">
        <v>330.9417158</v>
      </c>
      <c r="R9">
        <v>294.45828269999998</v>
      </c>
      <c r="T9">
        <f t="shared" si="2"/>
        <v>0</v>
      </c>
    </row>
    <row r="10" spans="1:20" x14ac:dyDescent="0.3">
      <c r="A10" s="1">
        <v>42837</v>
      </c>
      <c r="B10" s="1">
        <v>42928</v>
      </c>
      <c r="C10">
        <v>297.03641429999999</v>
      </c>
      <c r="D10">
        <v>312.60000150000002</v>
      </c>
      <c r="E10">
        <v>276.95</v>
      </c>
      <c r="F10">
        <v>35.650001529999997</v>
      </c>
      <c r="G10">
        <v>20.086414340000001</v>
      </c>
      <c r="H10">
        <v>35.650001529999997</v>
      </c>
      <c r="I10">
        <v>10.785996859999999</v>
      </c>
      <c r="J10">
        <v>298.648347091674</v>
      </c>
      <c r="K10">
        <v>288.854404640197</v>
      </c>
      <c r="L10">
        <v>291.14947624206502</v>
      </c>
      <c r="M10">
        <v>292.33640880584699</v>
      </c>
      <c r="N10">
        <v>295.02840347289998</v>
      </c>
      <c r="O10">
        <f t="shared" si="0"/>
        <v>291.84217329025228</v>
      </c>
      <c r="P10">
        <f t="shared" si="1"/>
        <v>35.65000150000003</v>
      </c>
      <c r="Q10">
        <v>330.39689629999998</v>
      </c>
      <c r="R10">
        <v>294.8031067</v>
      </c>
      <c r="T10">
        <f t="shared" si="2"/>
        <v>0</v>
      </c>
    </row>
    <row r="11" spans="1:20" x14ac:dyDescent="0.3">
      <c r="A11" s="1">
        <v>42838</v>
      </c>
      <c r="B11" s="1">
        <v>42929</v>
      </c>
      <c r="C11">
        <v>297.18690720000001</v>
      </c>
      <c r="D11">
        <v>316.55000150000001</v>
      </c>
      <c r="E11">
        <v>279.14999999999998</v>
      </c>
      <c r="F11">
        <v>37.400001529999997</v>
      </c>
      <c r="G11">
        <v>18.036907200000002</v>
      </c>
      <c r="H11">
        <v>37.400001529999997</v>
      </c>
      <c r="I11">
        <v>10.63473525</v>
      </c>
      <c r="J11">
        <v>292.644868278503</v>
      </c>
      <c r="K11">
        <v>285.35267152786201</v>
      </c>
      <c r="L11">
        <v>289.78480567932098</v>
      </c>
      <c r="M11">
        <v>290.84232559204099</v>
      </c>
      <c r="N11">
        <v>293.51701297760002</v>
      </c>
      <c r="O11">
        <f t="shared" si="0"/>
        <v>289.87420394420599</v>
      </c>
      <c r="P11">
        <f t="shared" si="1"/>
        <v>37.40000150000003</v>
      </c>
      <c r="Q11">
        <v>334.09731470000003</v>
      </c>
      <c r="R11">
        <v>299.00268840000001</v>
      </c>
      <c r="T11">
        <f t="shared" si="2"/>
        <v>0</v>
      </c>
    </row>
    <row r="12" spans="1:20" x14ac:dyDescent="0.3">
      <c r="A12" s="1">
        <v>42839</v>
      </c>
      <c r="B12" s="1">
        <v>42930</v>
      </c>
      <c r="C12">
        <v>292.57967780000001</v>
      </c>
      <c r="D12">
        <v>316.7</v>
      </c>
      <c r="E12">
        <v>277.7</v>
      </c>
      <c r="F12">
        <v>39</v>
      </c>
      <c r="G12">
        <v>14.879677770000001</v>
      </c>
      <c r="H12">
        <v>39</v>
      </c>
      <c r="I12">
        <v>10.4024231</v>
      </c>
      <c r="J12">
        <v>289.35751075744599</v>
      </c>
      <c r="K12">
        <v>283.30239791870099</v>
      </c>
      <c r="L12">
        <v>283.26375789642299</v>
      </c>
      <c r="M12">
        <v>284.63528747558502</v>
      </c>
      <c r="N12">
        <v>287.41360206604003</v>
      </c>
      <c r="O12">
        <f t="shared" si="0"/>
        <v>284.65376133918727</v>
      </c>
      <c r="P12">
        <f t="shared" si="1"/>
        <v>39</v>
      </c>
      <c r="Q12">
        <v>333.8639981</v>
      </c>
      <c r="R12">
        <v>299.53600189999997</v>
      </c>
      <c r="T12">
        <f t="shared" si="2"/>
        <v>0</v>
      </c>
    </row>
    <row r="13" spans="1:20" x14ac:dyDescent="0.3">
      <c r="A13" s="1">
        <v>42842</v>
      </c>
      <c r="B13" s="1">
        <v>42933</v>
      </c>
      <c r="C13">
        <v>293.85371909999998</v>
      </c>
      <c r="D13">
        <v>317.4999985</v>
      </c>
      <c r="E13">
        <v>278.64999999999998</v>
      </c>
      <c r="F13">
        <v>38.849998470000003</v>
      </c>
      <c r="G13">
        <v>15.20371914</v>
      </c>
      <c r="H13">
        <v>38.849998470000003</v>
      </c>
      <c r="I13">
        <v>10.182204260000001</v>
      </c>
      <c r="J13">
        <v>288.157513046264</v>
      </c>
      <c r="K13">
        <v>287.32349815368599</v>
      </c>
      <c r="L13">
        <v>282.32105126380901</v>
      </c>
      <c r="M13">
        <v>286.832662010192</v>
      </c>
      <c r="N13">
        <v>285.58558502197201</v>
      </c>
      <c r="O13">
        <f t="shared" si="0"/>
        <v>285.51569911241478</v>
      </c>
      <c r="P13">
        <f t="shared" si="1"/>
        <v>38.849998500000027</v>
      </c>
      <c r="Q13">
        <v>334.3006355</v>
      </c>
      <c r="R13">
        <v>300.69936139999999</v>
      </c>
      <c r="T13">
        <f t="shared" si="2"/>
        <v>0</v>
      </c>
    </row>
    <row r="14" spans="1:20" x14ac:dyDescent="0.3">
      <c r="A14" s="1">
        <v>42843</v>
      </c>
      <c r="B14" s="1">
        <v>42934</v>
      </c>
      <c r="C14">
        <v>294.60214389999999</v>
      </c>
      <c r="D14">
        <v>318.05000080000002</v>
      </c>
      <c r="E14">
        <v>278.35000000000002</v>
      </c>
      <c r="F14">
        <v>39.700000760000002</v>
      </c>
      <c r="G14">
        <v>16.25214386</v>
      </c>
      <c r="H14">
        <v>39.700000760000002</v>
      </c>
      <c r="I14">
        <v>9.9222192630000006</v>
      </c>
      <c r="J14">
        <v>287.58576450347903</v>
      </c>
      <c r="K14">
        <v>282.513565635681</v>
      </c>
      <c r="L14">
        <v>284.52224359512297</v>
      </c>
      <c r="M14">
        <v>284.76205883026103</v>
      </c>
      <c r="N14">
        <v>287.242015457153</v>
      </c>
      <c r="O14">
        <f t="shared" si="0"/>
        <v>284.75997087955454</v>
      </c>
      <c r="P14">
        <f t="shared" si="1"/>
        <v>39.700000799999998</v>
      </c>
      <c r="Q14">
        <v>334.42166250000002</v>
      </c>
      <c r="R14">
        <v>301.67833899999999</v>
      </c>
      <c r="T14">
        <f t="shared" si="2"/>
        <v>0</v>
      </c>
    </row>
    <row r="15" spans="1:20" x14ac:dyDescent="0.3">
      <c r="A15" s="1">
        <v>42844</v>
      </c>
      <c r="B15" s="1">
        <v>42935</v>
      </c>
      <c r="C15">
        <v>296.39309079999998</v>
      </c>
      <c r="D15">
        <v>318.69999849999999</v>
      </c>
      <c r="E15">
        <v>276.85000000000002</v>
      </c>
      <c r="F15">
        <v>41.849998470000003</v>
      </c>
      <c r="G15">
        <v>19.54309082</v>
      </c>
      <c r="H15">
        <v>41.849998470000003</v>
      </c>
      <c r="I15">
        <v>9.5689236219999998</v>
      </c>
      <c r="J15">
        <v>283.79063901901202</v>
      </c>
      <c r="K15">
        <v>280.43740997314399</v>
      </c>
      <c r="L15">
        <v>282.14887390136698</v>
      </c>
      <c r="M15">
        <v>284.70552978515599</v>
      </c>
      <c r="N15">
        <v>285.01289710998498</v>
      </c>
      <c r="O15">
        <f t="shared" si="0"/>
        <v>283.07617769241301</v>
      </c>
      <c r="P15">
        <f t="shared" si="1"/>
        <v>41.84999849999997</v>
      </c>
      <c r="Q15">
        <v>334.48872249999999</v>
      </c>
      <c r="R15">
        <v>302.91127449999999</v>
      </c>
      <c r="T15">
        <f t="shared" si="2"/>
        <v>0</v>
      </c>
    </row>
    <row r="16" spans="1:20" x14ac:dyDescent="0.3">
      <c r="A16" s="1">
        <v>42845</v>
      </c>
      <c r="B16" s="1">
        <v>42936</v>
      </c>
      <c r="C16">
        <v>296.30213359999999</v>
      </c>
      <c r="D16">
        <v>319.59999850000003</v>
      </c>
      <c r="E16">
        <v>278.25</v>
      </c>
      <c r="F16">
        <v>41.349998470000003</v>
      </c>
      <c r="G16">
        <v>18.052133560000001</v>
      </c>
      <c r="H16">
        <v>41.349998470000003</v>
      </c>
      <c r="I16">
        <v>9.2422643719999993</v>
      </c>
      <c r="J16">
        <v>277.67403507232598</v>
      </c>
      <c r="K16">
        <v>277.34763360023499</v>
      </c>
      <c r="L16">
        <v>279.03160613775202</v>
      </c>
      <c r="M16">
        <v>281.63125205039898</v>
      </c>
      <c r="N16">
        <v>279.17899000644599</v>
      </c>
      <c r="O16">
        <f t="shared" si="0"/>
        <v>279.29737044870802</v>
      </c>
      <c r="P16">
        <f t="shared" si="1"/>
        <v>41.349998500000027</v>
      </c>
      <c r="Q16">
        <v>334.8497347</v>
      </c>
      <c r="R16">
        <v>304.3502623</v>
      </c>
      <c r="T16">
        <f t="shared" si="2"/>
        <v>0</v>
      </c>
    </row>
    <row r="17" spans="1:20" x14ac:dyDescent="0.3">
      <c r="A17" s="1">
        <v>42846</v>
      </c>
      <c r="B17" s="1">
        <v>42937</v>
      </c>
      <c r="C17">
        <v>293.54566399999999</v>
      </c>
      <c r="D17">
        <v>321.10000150000002</v>
      </c>
      <c r="E17">
        <v>280.7</v>
      </c>
      <c r="F17">
        <v>40.400001529999997</v>
      </c>
      <c r="G17">
        <v>12.845664019999999</v>
      </c>
      <c r="H17">
        <v>40.400001529999997</v>
      </c>
      <c r="I17">
        <v>9.0064031040000003</v>
      </c>
      <c r="J17">
        <v>278.07944316864001</v>
      </c>
      <c r="K17">
        <v>277.639177274703</v>
      </c>
      <c r="L17">
        <v>282.25006670951802</v>
      </c>
      <c r="M17">
        <v>282.75643367767299</v>
      </c>
      <c r="N17">
        <v>279.81714684963202</v>
      </c>
      <c r="O17">
        <f t="shared" si="0"/>
        <v>280.61570612788154</v>
      </c>
      <c r="P17">
        <f t="shared" si="1"/>
        <v>-40.40000150000003</v>
      </c>
      <c r="Q17">
        <v>335.96056659999999</v>
      </c>
      <c r="R17">
        <v>306.23943639999999</v>
      </c>
      <c r="T17">
        <f t="shared" si="2"/>
        <v>0</v>
      </c>
    </row>
    <row r="18" spans="1:20" x14ac:dyDescent="0.3">
      <c r="A18" s="1">
        <v>42849</v>
      </c>
      <c r="B18" s="1">
        <v>42940</v>
      </c>
      <c r="C18">
        <v>296.34621870000001</v>
      </c>
      <c r="D18">
        <v>321.2500015</v>
      </c>
      <c r="E18">
        <v>281.85000000000002</v>
      </c>
      <c r="F18">
        <v>39.400001529999997</v>
      </c>
      <c r="G18">
        <v>14.49621868</v>
      </c>
      <c r="H18">
        <v>39.400001529999997</v>
      </c>
      <c r="I18">
        <v>8.7728100349999991</v>
      </c>
      <c r="J18">
        <v>290.88479003906201</v>
      </c>
      <c r="K18">
        <v>286.556521987915</v>
      </c>
      <c r="L18">
        <v>291.12638816833498</v>
      </c>
      <c r="M18">
        <v>284.26842961311303</v>
      </c>
      <c r="N18">
        <v>284.660217618942</v>
      </c>
      <c r="O18">
        <f t="shared" si="0"/>
        <v>286.65288934707627</v>
      </c>
      <c r="P18">
        <f t="shared" si="1"/>
        <v>39.400001499999973</v>
      </c>
      <c r="Q18">
        <v>335.72513809999998</v>
      </c>
      <c r="R18">
        <v>306.77486499999998</v>
      </c>
      <c r="T18">
        <f t="shared" si="2"/>
        <v>0</v>
      </c>
    </row>
    <row r="19" spans="1:20" x14ac:dyDescent="0.3">
      <c r="A19" s="1">
        <v>42850</v>
      </c>
      <c r="B19" s="1">
        <v>42941</v>
      </c>
      <c r="C19">
        <v>297.23242299999998</v>
      </c>
      <c r="D19">
        <v>319.65000079999999</v>
      </c>
      <c r="E19">
        <v>285.2</v>
      </c>
      <c r="F19">
        <v>34.450000760000002</v>
      </c>
      <c r="G19">
        <v>12.03242302</v>
      </c>
      <c r="H19">
        <v>34.450000760000002</v>
      </c>
      <c r="I19">
        <v>8.5826155489999998</v>
      </c>
      <c r="J19">
        <v>292.16770191192597</v>
      </c>
      <c r="K19">
        <v>290.37603302001901</v>
      </c>
      <c r="L19">
        <v>291.06698436737003</v>
      </c>
      <c r="M19">
        <v>285.36271966695699</v>
      </c>
      <c r="N19">
        <v>289.04239363670303</v>
      </c>
      <c r="O19">
        <f t="shared" si="0"/>
        <v>288.96203267276229</v>
      </c>
      <c r="P19">
        <f t="shared" si="1"/>
        <v>34.450000799999998</v>
      </c>
      <c r="Q19">
        <v>333.81131640000001</v>
      </c>
      <c r="R19">
        <v>305.4886851</v>
      </c>
      <c r="T19">
        <f t="shared" si="2"/>
        <v>0</v>
      </c>
    </row>
    <row r="20" spans="1:20" x14ac:dyDescent="0.3">
      <c r="A20" s="1">
        <v>42851</v>
      </c>
      <c r="B20" s="1">
        <v>42942</v>
      </c>
      <c r="C20">
        <v>294.87368980000002</v>
      </c>
      <c r="D20">
        <v>318.95</v>
      </c>
      <c r="E20">
        <v>286.45</v>
      </c>
      <c r="F20">
        <v>32.5</v>
      </c>
      <c r="G20">
        <v>8.4236898419999999</v>
      </c>
      <c r="H20">
        <v>32.5</v>
      </c>
      <c r="I20">
        <v>8.3847168799999992</v>
      </c>
      <c r="J20">
        <v>295.15005321502599</v>
      </c>
      <c r="K20">
        <v>284.17914576530399</v>
      </c>
      <c r="L20">
        <v>289.25859160423198</v>
      </c>
      <c r="M20">
        <v>284.31680626869201</v>
      </c>
      <c r="N20">
        <v>289.84960527419997</v>
      </c>
      <c r="O20">
        <f t="shared" si="0"/>
        <v>286.90103722810699</v>
      </c>
      <c r="P20">
        <f t="shared" si="1"/>
        <v>32.5</v>
      </c>
      <c r="Q20">
        <v>332.78478289999998</v>
      </c>
      <c r="R20">
        <v>305.1152171</v>
      </c>
      <c r="T20">
        <f t="shared" si="2"/>
        <v>0</v>
      </c>
    </row>
    <row r="21" spans="1:20" x14ac:dyDescent="0.3">
      <c r="A21" s="1">
        <v>42852</v>
      </c>
      <c r="B21" s="1">
        <v>42943</v>
      </c>
      <c r="C21">
        <v>300.59338630000002</v>
      </c>
      <c r="D21">
        <v>319.85000000000002</v>
      </c>
      <c r="E21">
        <v>287.35000000000002</v>
      </c>
      <c r="F21">
        <v>32.5</v>
      </c>
      <c r="G21">
        <v>13.24338627</v>
      </c>
      <c r="H21">
        <v>32.5</v>
      </c>
      <c r="I21">
        <v>8.2068212280000008</v>
      </c>
      <c r="J21">
        <v>293.11865959167397</v>
      </c>
      <c r="K21">
        <v>287.065559244155</v>
      </c>
      <c r="L21">
        <v>289.70047698020898</v>
      </c>
      <c r="M21">
        <v>290.18487892150802</v>
      </c>
      <c r="N21">
        <v>290.05063877105698</v>
      </c>
      <c r="O21">
        <f t="shared" si="0"/>
        <v>289.25038847923224</v>
      </c>
      <c r="P21">
        <f t="shared" si="1"/>
        <v>32.5</v>
      </c>
      <c r="Q21">
        <v>333.391255</v>
      </c>
      <c r="R21">
        <v>306.30874499999999</v>
      </c>
      <c r="T21">
        <f t="shared" si="2"/>
        <v>0</v>
      </c>
    </row>
    <row r="22" spans="1:20" x14ac:dyDescent="0.3">
      <c r="A22" s="1">
        <v>42853</v>
      </c>
      <c r="B22" s="1">
        <v>42944</v>
      </c>
      <c r="C22">
        <v>298.59242519999998</v>
      </c>
      <c r="D22">
        <v>312.55</v>
      </c>
      <c r="E22">
        <v>287.8</v>
      </c>
      <c r="F22">
        <v>24.75</v>
      </c>
      <c r="G22">
        <v>10.792425160000001</v>
      </c>
      <c r="H22">
        <v>24.75</v>
      </c>
      <c r="I22">
        <v>7.881278633</v>
      </c>
      <c r="J22">
        <v>290.867778348922</v>
      </c>
      <c r="K22">
        <v>286.34257237911203</v>
      </c>
      <c r="L22">
        <v>290.43816308975198</v>
      </c>
      <c r="M22">
        <v>290.60122065544101</v>
      </c>
      <c r="N22">
        <v>287.01521610021501</v>
      </c>
      <c r="O22">
        <f t="shared" si="0"/>
        <v>288.59929305613002</v>
      </c>
      <c r="P22">
        <f t="shared" si="1"/>
        <v>24.75</v>
      </c>
      <c r="Q22">
        <v>325.55410970000003</v>
      </c>
      <c r="R22">
        <v>299.5458903</v>
      </c>
      <c r="T22">
        <f t="shared" si="2"/>
        <v>0</v>
      </c>
    </row>
    <row r="23" spans="1:20" x14ac:dyDescent="0.3">
      <c r="A23" s="1">
        <v>42856</v>
      </c>
      <c r="B23" s="1">
        <v>42947</v>
      </c>
      <c r="C23">
        <v>295.50374540000001</v>
      </c>
      <c r="D23">
        <v>313.55</v>
      </c>
      <c r="E23">
        <v>287.8</v>
      </c>
      <c r="F23">
        <v>25.75</v>
      </c>
      <c r="G23">
        <v>7.7037453649999996</v>
      </c>
      <c r="H23">
        <v>25.75</v>
      </c>
      <c r="I23">
        <v>7.5336136170000003</v>
      </c>
      <c r="J23">
        <v>291.99886541366499</v>
      </c>
      <c r="K23">
        <v>287.461231428384</v>
      </c>
      <c r="L23">
        <v>289.41389577388702</v>
      </c>
      <c r="M23">
        <v>296.92977123260499</v>
      </c>
      <c r="N23">
        <v>297.321402359008</v>
      </c>
      <c r="O23">
        <f t="shared" si="0"/>
        <v>292.78157519847099</v>
      </c>
      <c r="P23">
        <f t="shared" si="1"/>
        <v>25.75</v>
      </c>
      <c r="Q23">
        <v>325.98046249999999</v>
      </c>
      <c r="R23">
        <v>301.11953749999998</v>
      </c>
      <c r="T23">
        <f t="shared" si="2"/>
        <v>0</v>
      </c>
    </row>
    <row r="24" spans="1:20" x14ac:dyDescent="0.3">
      <c r="A24" s="1">
        <v>42857</v>
      </c>
      <c r="B24" s="1">
        <v>42948</v>
      </c>
      <c r="C24">
        <v>296.01878190000002</v>
      </c>
      <c r="D24">
        <v>316.55</v>
      </c>
      <c r="E24">
        <v>290.05</v>
      </c>
      <c r="F24">
        <v>26.5</v>
      </c>
      <c r="G24">
        <v>5.9687819480000002</v>
      </c>
      <c r="H24">
        <v>26.5</v>
      </c>
      <c r="I24">
        <v>7.2856713629999996</v>
      </c>
      <c r="J24">
        <v>291.214336323738</v>
      </c>
      <c r="K24">
        <v>286.272911596298</v>
      </c>
      <c r="L24">
        <v>290.23108369409999</v>
      </c>
      <c r="M24">
        <v>294.56183891296303</v>
      </c>
      <c r="N24">
        <v>295.16864614486599</v>
      </c>
      <c r="O24">
        <f t="shared" si="0"/>
        <v>291.55862008705674</v>
      </c>
      <c r="P24">
        <f t="shared" si="1"/>
        <v>26.5</v>
      </c>
      <c r="Q24">
        <v>328.57135770000002</v>
      </c>
      <c r="R24">
        <v>304.5286423</v>
      </c>
      <c r="T24">
        <f t="shared" si="2"/>
        <v>0</v>
      </c>
    </row>
    <row r="25" spans="1:20" x14ac:dyDescent="0.3">
      <c r="A25" s="1">
        <v>42858</v>
      </c>
      <c r="B25" s="1">
        <v>42949</v>
      </c>
      <c r="C25">
        <v>296.07857689999997</v>
      </c>
      <c r="D25">
        <v>317.15000040000001</v>
      </c>
      <c r="E25">
        <v>290.05</v>
      </c>
      <c r="F25">
        <v>27.100000380000001</v>
      </c>
      <c r="G25">
        <v>6.0285768510000004</v>
      </c>
      <c r="H25">
        <v>27.100000380000001</v>
      </c>
      <c r="I25">
        <v>7.0162937080000001</v>
      </c>
      <c r="J25">
        <v>288.30827038288101</v>
      </c>
      <c r="K25">
        <v>284.41710834503101</v>
      </c>
      <c r="L25">
        <v>288.92835562229101</v>
      </c>
      <c r="M25">
        <v>293.479370880126</v>
      </c>
      <c r="N25">
        <v>294.19760971069297</v>
      </c>
      <c r="O25">
        <f t="shared" si="0"/>
        <v>290.25561113953529</v>
      </c>
      <c r="P25">
        <f t="shared" si="1"/>
        <v>27.100000399999999</v>
      </c>
      <c r="Q25">
        <v>328.72688499999998</v>
      </c>
      <c r="R25">
        <v>305.57311579999998</v>
      </c>
      <c r="T25">
        <f t="shared" si="2"/>
        <v>0</v>
      </c>
    </row>
    <row r="26" spans="1:20" x14ac:dyDescent="0.3">
      <c r="A26" s="1">
        <v>42859</v>
      </c>
      <c r="B26" s="1">
        <v>42950</v>
      </c>
      <c r="C26">
        <v>297.0954342</v>
      </c>
      <c r="D26">
        <v>311.6499996</v>
      </c>
      <c r="E26">
        <v>292.75</v>
      </c>
      <c r="F26">
        <v>18.899999619999999</v>
      </c>
      <c r="G26">
        <v>4.3454341889999997</v>
      </c>
      <c r="H26">
        <v>18.899999619999999</v>
      </c>
      <c r="I26">
        <v>6.7457855430000002</v>
      </c>
      <c r="J26">
        <v>286.173840522766</v>
      </c>
      <c r="K26">
        <v>286.81988811492897</v>
      </c>
      <c r="L26">
        <v>288.46117401123001</v>
      </c>
      <c r="M26">
        <v>291.94627517461703</v>
      </c>
      <c r="N26">
        <v>288.46681118011401</v>
      </c>
      <c r="O26">
        <f t="shared" si="0"/>
        <v>288.92353712022253</v>
      </c>
      <c r="P26">
        <f t="shared" si="1"/>
        <v>-18.899999600000001</v>
      </c>
      <c r="Q26">
        <v>322.78054580000003</v>
      </c>
      <c r="R26">
        <v>300.5194535</v>
      </c>
      <c r="T26">
        <f t="shared" si="2"/>
        <v>0</v>
      </c>
    </row>
    <row r="27" spans="1:20" x14ac:dyDescent="0.3">
      <c r="A27" s="1">
        <v>42860</v>
      </c>
      <c r="B27" s="1">
        <v>42951</v>
      </c>
      <c r="C27">
        <v>297.12878080000002</v>
      </c>
      <c r="D27">
        <v>312.8500004</v>
      </c>
      <c r="E27">
        <v>292.75</v>
      </c>
      <c r="F27">
        <v>20.100000380000001</v>
      </c>
      <c r="G27">
        <v>4.3787808420000003</v>
      </c>
      <c r="H27">
        <v>20.100000380000001</v>
      </c>
      <c r="I27">
        <v>6.4602585010000002</v>
      </c>
      <c r="J27">
        <v>286.28456640243502</v>
      </c>
      <c r="K27">
        <v>286.36701583862299</v>
      </c>
      <c r="L27">
        <v>289.71988320350601</v>
      </c>
      <c r="M27">
        <v>293.71055161952899</v>
      </c>
      <c r="N27">
        <v>288.93616247177101</v>
      </c>
      <c r="O27">
        <f t="shared" si="0"/>
        <v>289.68340328335728</v>
      </c>
      <c r="P27">
        <f t="shared" si="1"/>
        <v>-20.100000399999999</v>
      </c>
      <c r="Q27">
        <v>323.50942689999999</v>
      </c>
      <c r="R27">
        <v>302.1905739</v>
      </c>
      <c r="T27">
        <f t="shared" si="2"/>
        <v>0</v>
      </c>
    </row>
    <row r="28" spans="1:20" x14ac:dyDescent="0.3">
      <c r="A28" s="1">
        <v>42863</v>
      </c>
      <c r="B28" s="1">
        <v>42954</v>
      </c>
      <c r="C28">
        <v>302.04929700000002</v>
      </c>
      <c r="D28">
        <v>312.89999979999999</v>
      </c>
      <c r="E28">
        <v>300.7</v>
      </c>
      <c r="F28">
        <v>12.19999981</v>
      </c>
      <c r="G28">
        <v>1.3492970470000001</v>
      </c>
      <c r="H28">
        <v>12.19999981</v>
      </c>
      <c r="I28">
        <v>6.3934764299999998</v>
      </c>
      <c r="J28">
        <v>297.36801929473802</v>
      </c>
      <c r="K28">
        <v>291.301182937622</v>
      </c>
      <c r="L28">
        <v>296.25753087997401</v>
      </c>
      <c r="M28">
        <v>294.46700592040997</v>
      </c>
      <c r="N28">
        <v>294.29167242050102</v>
      </c>
      <c r="O28">
        <f t="shared" si="0"/>
        <v>294.07934803962678</v>
      </c>
      <c r="P28">
        <f t="shared" si="1"/>
        <v>-12.199999800000001</v>
      </c>
      <c r="Q28">
        <v>323.44923590000002</v>
      </c>
      <c r="R28">
        <v>302.35076370000002</v>
      </c>
      <c r="T28">
        <f t="shared" si="2"/>
        <v>0</v>
      </c>
    </row>
    <row r="29" spans="1:20" x14ac:dyDescent="0.3">
      <c r="A29" s="1">
        <v>42864</v>
      </c>
      <c r="B29" s="1">
        <v>42955</v>
      </c>
      <c r="C29">
        <v>303.79707400000001</v>
      </c>
      <c r="D29">
        <v>312.84999959999999</v>
      </c>
      <c r="E29">
        <v>300.7</v>
      </c>
      <c r="F29">
        <v>12.149999619999999</v>
      </c>
      <c r="G29">
        <v>3.0970740320000001</v>
      </c>
      <c r="H29">
        <v>12.149999619999999</v>
      </c>
      <c r="I29">
        <v>6.3198931380000003</v>
      </c>
      <c r="J29">
        <v>299.18943078517901</v>
      </c>
      <c r="K29">
        <v>292.706474018096</v>
      </c>
      <c r="L29">
        <v>296.329590988159</v>
      </c>
      <c r="M29">
        <v>296.51848144531198</v>
      </c>
      <c r="N29">
        <v>297.59686465263297</v>
      </c>
      <c r="O29">
        <f t="shared" si="0"/>
        <v>295.78785277604999</v>
      </c>
      <c r="P29">
        <f>IF((O29-E29)*(D29-E29)&gt;0, ABS(D29-E29), -ABS(D29-E29))</f>
        <v>-12.149999600000001</v>
      </c>
      <c r="Q29">
        <v>323.27782330000002</v>
      </c>
      <c r="R29">
        <v>302.42217590000001</v>
      </c>
      <c r="T29">
        <f t="shared" si="2"/>
        <v>0</v>
      </c>
    </row>
    <row r="30" spans="1:20" x14ac:dyDescent="0.3">
      <c r="A30" s="1">
        <v>42865</v>
      </c>
      <c r="B30" s="1">
        <v>42956</v>
      </c>
      <c r="C30">
        <v>305.16188069999998</v>
      </c>
      <c r="D30">
        <v>308.64999979999999</v>
      </c>
      <c r="E30">
        <v>296.45</v>
      </c>
      <c r="F30">
        <v>12.19999981</v>
      </c>
      <c r="G30">
        <v>8.7118806840000005</v>
      </c>
      <c r="H30">
        <v>12.19999981</v>
      </c>
      <c r="I30">
        <v>6.1089700950000001</v>
      </c>
      <c r="J30">
        <v>301.65297098159698</v>
      </c>
      <c r="K30">
        <v>293.784246635437</v>
      </c>
      <c r="L30">
        <v>299.477805805206</v>
      </c>
      <c r="M30">
        <v>296.76950351595798</v>
      </c>
      <c r="N30">
        <v>301.08694143295202</v>
      </c>
      <c r="O30">
        <f t="shared" si="0"/>
        <v>297.77962434738822</v>
      </c>
      <c r="P30">
        <f t="shared" si="1"/>
        <v>12.199999800000001</v>
      </c>
      <c r="Q30">
        <v>318.72980050000001</v>
      </c>
      <c r="R30">
        <v>298.57019919999999</v>
      </c>
      <c r="T30">
        <f t="shared" si="2"/>
        <v>0</v>
      </c>
    </row>
    <row r="31" spans="1:20" x14ac:dyDescent="0.3">
      <c r="A31" s="1">
        <v>42866</v>
      </c>
      <c r="B31" s="1">
        <v>42957</v>
      </c>
      <c r="C31">
        <v>307.75684130000002</v>
      </c>
      <c r="D31">
        <v>307.25000010000002</v>
      </c>
      <c r="E31">
        <v>300.10000000000002</v>
      </c>
      <c r="F31">
        <v>7.1500000950000002</v>
      </c>
      <c r="G31">
        <v>7.6568412779999999</v>
      </c>
      <c r="H31">
        <v>7.1500000950000002</v>
      </c>
      <c r="I31">
        <v>6.0001028639999996</v>
      </c>
      <c r="J31">
        <v>305.07327661514199</v>
      </c>
      <c r="K31">
        <v>298.08597002029398</v>
      </c>
      <c r="L31">
        <v>301.43151543140402</v>
      </c>
      <c r="M31">
        <v>302.260341739654</v>
      </c>
      <c r="N31">
        <v>301.49801645278899</v>
      </c>
      <c r="O31">
        <f t="shared" si="0"/>
        <v>300.81896091103522</v>
      </c>
      <c r="P31">
        <f t="shared" si="1"/>
        <v>7.1500000999999997</v>
      </c>
      <c r="Q31">
        <v>317.15016980000001</v>
      </c>
      <c r="R31">
        <v>297.34983039999997</v>
      </c>
      <c r="T31">
        <f t="shared" si="2"/>
        <v>1</v>
      </c>
    </row>
    <row r="32" spans="1:20" x14ac:dyDescent="0.3">
      <c r="A32" s="1">
        <v>42867</v>
      </c>
      <c r="B32" s="1">
        <v>42958</v>
      </c>
      <c r="C32">
        <v>307.67550130000001</v>
      </c>
      <c r="D32">
        <v>301.49999989999998</v>
      </c>
      <c r="E32">
        <v>298.64999999999998</v>
      </c>
      <c r="F32">
        <v>2.8499999049999998</v>
      </c>
      <c r="G32">
        <v>9.0255012509999997</v>
      </c>
      <c r="H32">
        <v>2.8499999049999998</v>
      </c>
      <c r="I32">
        <v>5.9285993000000001</v>
      </c>
      <c r="J32">
        <v>302.059302711486</v>
      </c>
      <c r="K32">
        <v>294.90707864761299</v>
      </c>
      <c r="L32">
        <v>301.92927589416502</v>
      </c>
      <c r="M32">
        <v>301.46037473678501</v>
      </c>
      <c r="N32">
        <v>300.04705097675298</v>
      </c>
      <c r="O32">
        <f t="shared" si="0"/>
        <v>299.58594506382906</v>
      </c>
      <c r="P32">
        <f t="shared" si="1"/>
        <v>2.8499999000000003</v>
      </c>
      <c r="Q32">
        <v>311.28218870000001</v>
      </c>
      <c r="R32">
        <v>291.71781110000001</v>
      </c>
      <c r="T32">
        <f t="shared" si="2"/>
        <v>1</v>
      </c>
    </row>
    <row r="33" spans="1:20" x14ac:dyDescent="0.3">
      <c r="A33" s="1">
        <v>42870</v>
      </c>
      <c r="B33" s="1">
        <v>42961</v>
      </c>
      <c r="C33">
        <v>305.80155789999998</v>
      </c>
      <c r="D33">
        <v>304.59999979999998</v>
      </c>
      <c r="E33">
        <v>299.64999999999998</v>
      </c>
      <c r="F33">
        <v>4.9499998090000004</v>
      </c>
      <c r="G33">
        <v>6.1515579220000003</v>
      </c>
      <c r="H33">
        <v>4.9499998090000004</v>
      </c>
      <c r="I33">
        <v>5.8287809619999997</v>
      </c>
      <c r="J33">
        <v>300.39678814411099</v>
      </c>
      <c r="K33">
        <v>295.416725540161</v>
      </c>
      <c r="L33">
        <v>300.65761163234703</v>
      </c>
      <c r="M33">
        <v>303.44112529754602</v>
      </c>
      <c r="N33">
        <v>303.67309417724601</v>
      </c>
      <c r="O33">
        <f t="shared" si="0"/>
        <v>300.79713916182499</v>
      </c>
      <c r="P33">
        <f t="shared" si="1"/>
        <v>4.9499998000000005</v>
      </c>
      <c r="Q33">
        <v>314.21748839999998</v>
      </c>
      <c r="R33">
        <v>294.98251119999998</v>
      </c>
      <c r="T33">
        <f t="shared" si="2"/>
        <v>1</v>
      </c>
    </row>
    <row r="34" spans="1:20" x14ac:dyDescent="0.3">
      <c r="A34" s="1">
        <v>42871</v>
      </c>
      <c r="B34" s="1">
        <v>42962</v>
      </c>
      <c r="C34">
        <v>308.25276280000003</v>
      </c>
      <c r="D34">
        <v>304.5999999</v>
      </c>
      <c r="E34">
        <v>299.25</v>
      </c>
      <c r="F34">
        <v>5.3499999049999998</v>
      </c>
      <c r="G34">
        <v>9.0027627940000006</v>
      </c>
      <c r="H34">
        <v>5.3499999049999998</v>
      </c>
      <c r="I34">
        <v>5.7148547580000004</v>
      </c>
      <c r="J34">
        <v>301.25335407257</v>
      </c>
      <c r="K34">
        <v>292.94790315628001</v>
      </c>
      <c r="L34">
        <v>300.00680059194502</v>
      </c>
      <c r="M34">
        <v>301.22463560104302</v>
      </c>
      <c r="N34">
        <v>305.32942247390702</v>
      </c>
      <c r="O34">
        <f t="shared" si="0"/>
        <v>299.87719045579377</v>
      </c>
      <c r="P34">
        <f t="shared" si="1"/>
        <v>5.3499999000000003</v>
      </c>
      <c r="Q34">
        <v>314.02951030000003</v>
      </c>
      <c r="R34">
        <v>295.1704896</v>
      </c>
      <c r="T34">
        <f t="shared" si="2"/>
        <v>1</v>
      </c>
    </row>
    <row r="35" spans="1:20" x14ac:dyDescent="0.3">
      <c r="A35" s="1">
        <v>42872</v>
      </c>
      <c r="B35" s="1">
        <v>42963</v>
      </c>
      <c r="C35">
        <v>301.7284775</v>
      </c>
      <c r="D35">
        <v>306.25</v>
      </c>
      <c r="E35">
        <v>299.5</v>
      </c>
      <c r="F35">
        <v>6.75</v>
      </c>
      <c r="G35">
        <v>2.2284774779999998</v>
      </c>
      <c r="H35">
        <v>6.75</v>
      </c>
      <c r="I35">
        <v>5.5839999359999997</v>
      </c>
      <c r="J35">
        <v>291.21252632141102</v>
      </c>
      <c r="K35">
        <v>290.63171005249001</v>
      </c>
      <c r="L35">
        <v>294.00769662856999</v>
      </c>
      <c r="M35">
        <v>300.30075752735098</v>
      </c>
      <c r="N35">
        <v>302.13411331176701</v>
      </c>
      <c r="O35">
        <f t="shared" si="0"/>
        <v>296.76856938004448</v>
      </c>
      <c r="P35">
        <f t="shared" si="1"/>
        <v>-6.75</v>
      </c>
      <c r="Q35">
        <v>315.46359990000002</v>
      </c>
      <c r="R35">
        <v>297.03640009999998</v>
      </c>
      <c r="T35">
        <f t="shared" si="2"/>
        <v>0</v>
      </c>
    </row>
    <row r="36" spans="1:20" x14ac:dyDescent="0.3">
      <c r="A36" s="1">
        <v>42873</v>
      </c>
      <c r="B36" s="1">
        <v>42964</v>
      </c>
      <c r="C36">
        <v>302.3416952</v>
      </c>
      <c r="D36">
        <v>307.89999999999998</v>
      </c>
      <c r="E36">
        <v>298.64999999999998</v>
      </c>
      <c r="F36">
        <v>9.25</v>
      </c>
      <c r="G36">
        <v>3.691695213</v>
      </c>
      <c r="H36">
        <v>9.25</v>
      </c>
      <c r="I36">
        <v>5.4069397629999996</v>
      </c>
      <c r="J36">
        <v>289.29766120910602</v>
      </c>
      <c r="K36">
        <v>289.89043750762897</v>
      </c>
      <c r="L36">
        <v>294.39597835540701</v>
      </c>
      <c r="M36">
        <v>301.73537101745598</v>
      </c>
      <c r="N36">
        <v>299.97486498355801</v>
      </c>
      <c r="O36">
        <f t="shared" si="0"/>
        <v>296.49916296601248</v>
      </c>
      <c r="P36">
        <f t="shared" si="1"/>
        <v>-9.25</v>
      </c>
      <c r="Q36">
        <v>316.82145059999999</v>
      </c>
      <c r="R36">
        <v>298.97854940000002</v>
      </c>
      <c r="T36">
        <f t="shared" si="2"/>
        <v>0</v>
      </c>
    </row>
    <row r="37" spans="1:20" x14ac:dyDescent="0.3">
      <c r="A37" s="1">
        <v>42874</v>
      </c>
      <c r="B37" s="1">
        <v>42965</v>
      </c>
      <c r="C37">
        <v>300.4238987</v>
      </c>
      <c r="D37">
        <v>307.75</v>
      </c>
      <c r="E37">
        <v>298.25</v>
      </c>
      <c r="F37">
        <v>9.5</v>
      </c>
      <c r="G37">
        <v>2.1738986969999998</v>
      </c>
      <c r="H37">
        <v>9.5</v>
      </c>
      <c r="I37">
        <v>5.206907395</v>
      </c>
      <c r="J37">
        <v>290.27977323532099</v>
      </c>
      <c r="K37">
        <v>288.794548988342</v>
      </c>
      <c r="L37">
        <v>295.13918519020001</v>
      </c>
      <c r="M37">
        <v>299.09176599979401</v>
      </c>
      <c r="N37">
        <v>297.37418460845902</v>
      </c>
      <c r="O37">
        <f t="shared" si="0"/>
        <v>295.09992119669874</v>
      </c>
      <c r="P37">
        <f t="shared" si="1"/>
        <v>-9.5</v>
      </c>
      <c r="Q37">
        <v>316.34139720000002</v>
      </c>
      <c r="R37">
        <v>299.15860279999998</v>
      </c>
      <c r="T37">
        <f t="shared" si="2"/>
        <v>0</v>
      </c>
    </row>
    <row r="38" spans="1:20" x14ac:dyDescent="0.3">
      <c r="A38" s="1">
        <v>42877</v>
      </c>
      <c r="B38" s="1">
        <v>42968</v>
      </c>
      <c r="C38">
        <v>305.43324239999998</v>
      </c>
      <c r="D38">
        <v>307.04999980000002</v>
      </c>
      <c r="E38">
        <v>300.60000000000002</v>
      </c>
      <c r="F38">
        <v>6.4499998090000004</v>
      </c>
      <c r="G38">
        <v>4.833242416</v>
      </c>
      <c r="H38">
        <v>6.4499998090000004</v>
      </c>
      <c r="I38">
        <v>5.0805473660000002</v>
      </c>
      <c r="J38">
        <v>299.65453115701598</v>
      </c>
      <c r="K38">
        <v>292.43667659759501</v>
      </c>
      <c r="L38">
        <v>298.14125046729998</v>
      </c>
      <c r="M38">
        <v>299.818604981899</v>
      </c>
      <c r="N38">
        <v>300.74919885993</v>
      </c>
      <c r="O38">
        <f t="shared" si="0"/>
        <v>297.78643272668097</v>
      </c>
      <c r="P38">
        <f t="shared" si="1"/>
        <v>-6.4499998000000005</v>
      </c>
      <c r="Q38">
        <v>315.43290300000001</v>
      </c>
      <c r="R38">
        <v>298.6670967</v>
      </c>
      <c r="T38">
        <f t="shared" si="2"/>
        <v>0</v>
      </c>
    </row>
    <row r="39" spans="1:20" x14ac:dyDescent="0.3">
      <c r="A39" s="1">
        <v>42878</v>
      </c>
      <c r="B39" s="1">
        <v>42969</v>
      </c>
      <c r="C39">
        <v>306.63882380000001</v>
      </c>
      <c r="D39">
        <v>308.70000010000001</v>
      </c>
      <c r="E39">
        <v>301.05</v>
      </c>
      <c r="F39">
        <v>7.6500000950000002</v>
      </c>
      <c r="G39">
        <v>5.5888237949999997</v>
      </c>
      <c r="H39">
        <v>7.6500000950000002</v>
      </c>
      <c r="I39">
        <v>4.9492705370000003</v>
      </c>
      <c r="J39">
        <v>303.33402376174899</v>
      </c>
      <c r="K39">
        <v>295.97571449279701</v>
      </c>
      <c r="L39">
        <v>301.21949981451002</v>
      </c>
      <c r="M39">
        <v>301.90279476642598</v>
      </c>
      <c r="N39">
        <v>304.67578487396202</v>
      </c>
      <c r="O39">
        <f t="shared" si="0"/>
        <v>300.94344848692378</v>
      </c>
      <c r="P39">
        <f t="shared" si="1"/>
        <v>-7.6500000999999997</v>
      </c>
      <c r="Q39">
        <v>316.86629649999998</v>
      </c>
      <c r="R39">
        <v>300.53370369999999</v>
      </c>
      <c r="T39">
        <f t="shared" si="2"/>
        <v>0</v>
      </c>
    </row>
    <row r="40" spans="1:20" x14ac:dyDescent="0.3">
      <c r="A40" s="1">
        <v>42879</v>
      </c>
      <c r="B40" s="1">
        <v>42970</v>
      </c>
      <c r="C40">
        <v>308.43528739999999</v>
      </c>
      <c r="D40">
        <v>308.59999979999998</v>
      </c>
      <c r="E40">
        <v>301.89999999999998</v>
      </c>
      <c r="F40">
        <v>6.6999998090000004</v>
      </c>
      <c r="G40">
        <v>6.5352873799999998</v>
      </c>
      <c r="H40">
        <v>6.6999998090000004</v>
      </c>
      <c r="I40">
        <v>4.8370972300000004</v>
      </c>
      <c r="J40">
        <v>309.064776802062</v>
      </c>
      <c r="K40">
        <v>298.03685941696102</v>
      </c>
      <c r="L40">
        <v>304.26561989784199</v>
      </c>
      <c r="M40">
        <v>302.24363153576797</v>
      </c>
      <c r="N40">
        <v>307.24477281570398</v>
      </c>
      <c r="O40">
        <f t="shared" si="0"/>
        <v>302.94772091656876</v>
      </c>
      <c r="P40">
        <f t="shared" si="1"/>
        <v>6.6999998000000005</v>
      </c>
      <c r="Q40">
        <v>316.58121019999999</v>
      </c>
      <c r="R40">
        <v>300.61878940000003</v>
      </c>
      <c r="T40">
        <f t="shared" si="2"/>
        <v>1</v>
      </c>
    </row>
    <row r="41" spans="1:20" x14ac:dyDescent="0.3">
      <c r="A41" s="1">
        <v>42880</v>
      </c>
      <c r="B41" s="1">
        <v>42971</v>
      </c>
      <c r="C41">
        <v>312.703867</v>
      </c>
      <c r="D41">
        <v>310.0999999</v>
      </c>
      <c r="E41">
        <v>305.5</v>
      </c>
      <c r="F41">
        <v>4.5999999049999998</v>
      </c>
      <c r="G41">
        <v>7.203866959</v>
      </c>
      <c r="H41">
        <v>4.5999999049999998</v>
      </c>
      <c r="I41">
        <v>4.7956109739999997</v>
      </c>
      <c r="J41">
        <v>312.46600198745699</v>
      </c>
      <c r="K41">
        <v>304.332878112792</v>
      </c>
      <c r="L41">
        <v>310.775017738342</v>
      </c>
      <c r="M41">
        <v>311.30065298080399</v>
      </c>
      <c r="N41">
        <v>310.31492042541498</v>
      </c>
      <c r="O41">
        <f t="shared" si="0"/>
        <v>309.18086731433823</v>
      </c>
      <c r="P41">
        <f t="shared" si="1"/>
        <v>4.5999999000000003</v>
      </c>
      <c r="Q41">
        <v>318.01275800000002</v>
      </c>
      <c r="R41">
        <v>302.18724179999998</v>
      </c>
      <c r="T41">
        <f t="shared" si="2"/>
        <v>1</v>
      </c>
    </row>
    <row r="42" spans="1:20" x14ac:dyDescent="0.3">
      <c r="A42" s="1">
        <v>42881</v>
      </c>
      <c r="B42" s="1">
        <v>42972</v>
      </c>
      <c r="C42">
        <v>319.23205239999999</v>
      </c>
      <c r="D42">
        <v>310.25000010000002</v>
      </c>
      <c r="E42">
        <v>307.35000000000002</v>
      </c>
      <c r="F42">
        <v>2.9000000950000002</v>
      </c>
      <c r="G42">
        <v>11.882052420000001</v>
      </c>
      <c r="H42">
        <v>2.9000000950000002</v>
      </c>
      <c r="I42">
        <v>4.7782155399999997</v>
      </c>
      <c r="J42">
        <v>315.04705390930098</v>
      </c>
      <c r="K42">
        <v>308.62888095378798</v>
      </c>
      <c r="L42">
        <v>312.59699020385699</v>
      </c>
      <c r="M42">
        <v>312.35186300277701</v>
      </c>
      <c r="N42">
        <v>311.307451343536</v>
      </c>
      <c r="O42">
        <f t="shared" si="0"/>
        <v>311.22129637598948</v>
      </c>
      <c r="P42">
        <f t="shared" si="1"/>
        <v>2.9000000999999997</v>
      </c>
      <c r="Q42">
        <v>318.13405569999998</v>
      </c>
      <c r="R42">
        <v>302.36594450000001</v>
      </c>
      <c r="T42">
        <f t="shared" si="2"/>
        <v>1</v>
      </c>
    </row>
    <row r="43" spans="1:20" x14ac:dyDescent="0.3">
      <c r="A43" s="1">
        <v>42884</v>
      </c>
      <c r="B43" s="1">
        <v>42975</v>
      </c>
      <c r="C43">
        <v>318.65060499999998</v>
      </c>
      <c r="D43">
        <v>308.2</v>
      </c>
      <c r="E43">
        <v>306.8</v>
      </c>
      <c r="F43">
        <v>1.3999999759999999</v>
      </c>
      <c r="G43">
        <v>11.850605010000001</v>
      </c>
      <c r="H43">
        <v>1.3999999759999999</v>
      </c>
      <c r="I43">
        <v>4.7636774239999999</v>
      </c>
      <c r="J43">
        <v>310.87098197937001</v>
      </c>
      <c r="K43">
        <v>305.30173795223197</v>
      </c>
      <c r="L43">
        <v>308.895874071121</v>
      </c>
      <c r="M43">
        <v>313.04084329605098</v>
      </c>
      <c r="N43">
        <v>313.18922929763698</v>
      </c>
      <c r="O43">
        <f t="shared" si="0"/>
        <v>310.10692115426025</v>
      </c>
      <c r="P43">
        <f t="shared" si="1"/>
        <v>1.3999999999999773</v>
      </c>
      <c r="Q43">
        <v>316.06006769999999</v>
      </c>
      <c r="R43">
        <v>300.33993220000002</v>
      </c>
      <c r="T43">
        <f t="shared" si="2"/>
        <v>1</v>
      </c>
    </row>
    <row r="44" spans="1:20" x14ac:dyDescent="0.3">
      <c r="A44" s="1">
        <v>42885</v>
      </c>
      <c r="B44" s="1">
        <v>42976</v>
      </c>
      <c r="C44">
        <v>317.45594840000001</v>
      </c>
      <c r="D44">
        <v>307.14999999999998</v>
      </c>
      <c r="E44">
        <v>304.35000000000002</v>
      </c>
      <c r="F44">
        <v>2.7999999519999998</v>
      </c>
      <c r="G44">
        <v>13.10594845</v>
      </c>
      <c r="H44">
        <v>2.7999999519999998</v>
      </c>
      <c r="I44">
        <v>4.7179686690000002</v>
      </c>
      <c r="J44">
        <v>312.11753854751498</v>
      </c>
      <c r="K44">
        <v>305.73974153995499</v>
      </c>
      <c r="L44">
        <v>310.97446498870801</v>
      </c>
      <c r="M44">
        <v>309.55059967041001</v>
      </c>
      <c r="N44">
        <v>311.58403453826901</v>
      </c>
      <c r="O44">
        <f t="shared" si="0"/>
        <v>309.4622101843355</v>
      </c>
      <c r="P44">
        <f t="shared" si="1"/>
        <v>2.7999999999999545</v>
      </c>
      <c r="Q44">
        <v>314.93464829999999</v>
      </c>
      <c r="R44">
        <v>299.3653516</v>
      </c>
      <c r="T44">
        <f t="shared" si="2"/>
        <v>1</v>
      </c>
    </row>
    <row r="45" spans="1:20" x14ac:dyDescent="0.3">
      <c r="A45" s="1">
        <v>42886</v>
      </c>
      <c r="B45" s="1">
        <v>42977</v>
      </c>
      <c r="C45">
        <v>313.81686669999999</v>
      </c>
      <c r="D45">
        <v>309</v>
      </c>
      <c r="E45">
        <v>305.05</v>
      </c>
      <c r="F45">
        <v>3.9500000480000002</v>
      </c>
      <c r="G45">
        <v>8.766866684</v>
      </c>
      <c r="H45">
        <v>3.9500000480000002</v>
      </c>
      <c r="I45">
        <v>4.6689191990000003</v>
      </c>
      <c r="J45">
        <v>309.95189170837398</v>
      </c>
      <c r="K45">
        <v>306.276033687591</v>
      </c>
      <c r="L45">
        <v>311.52177124023399</v>
      </c>
      <c r="M45">
        <v>314.78637294769197</v>
      </c>
      <c r="N45">
        <v>310.79798679351802</v>
      </c>
      <c r="O45">
        <f t="shared" si="0"/>
        <v>310.84554116725872</v>
      </c>
      <c r="P45">
        <f t="shared" si="1"/>
        <v>3.9499999999999886</v>
      </c>
      <c r="Q45">
        <v>316.70371669999997</v>
      </c>
      <c r="R45">
        <v>301.29628339999999</v>
      </c>
      <c r="T45">
        <f t="shared" si="2"/>
        <v>1</v>
      </c>
    </row>
    <row r="46" spans="1:20" x14ac:dyDescent="0.3">
      <c r="A46" s="1">
        <v>42887</v>
      </c>
      <c r="B46" s="1">
        <v>42978</v>
      </c>
      <c r="C46">
        <v>313.98780099999999</v>
      </c>
      <c r="D46">
        <v>306.64999999999998</v>
      </c>
      <c r="E46">
        <v>304.14999999999998</v>
      </c>
      <c r="F46">
        <v>2.5</v>
      </c>
      <c r="G46">
        <v>9.8378009800000008</v>
      </c>
      <c r="H46">
        <v>2.5</v>
      </c>
      <c r="I46">
        <v>4.6234803900000001</v>
      </c>
      <c r="J46">
        <v>305.28194286823202</v>
      </c>
      <c r="K46">
        <v>303.07597651481598</v>
      </c>
      <c r="L46">
        <v>310.88323631286602</v>
      </c>
      <c r="M46">
        <v>312.26375999450602</v>
      </c>
      <c r="N46">
        <v>307.20172061920101</v>
      </c>
      <c r="O46">
        <f t="shared" si="0"/>
        <v>308.35617336034727</v>
      </c>
      <c r="P46">
        <f t="shared" si="1"/>
        <v>2.5</v>
      </c>
      <c r="Q46">
        <v>314.27874259999999</v>
      </c>
      <c r="R46">
        <v>299.02125740000002</v>
      </c>
      <c r="T46">
        <f t="shared" si="2"/>
        <v>1</v>
      </c>
    </row>
    <row r="47" spans="1:20" x14ac:dyDescent="0.3">
      <c r="A47" s="1">
        <v>42888</v>
      </c>
      <c r="B47" s="1">
        <v>42979</v>
      </c>
      <c r="C47">
        <v>321.2518187</v>
      </c>
      <c r="D47">
        <v>306.3</v>
      </c>
      <c r="E47">
        <v>307.75</v>
      </c>
      <c r="F47">
        <v>-1.4500000479999999</v>
      </c>
      <c r="G47">
        <v>13.50181866</v>
      </c>
      <c r="H47">
        <v>-1.4500000479999999</v>
      </c>
      <c r="I47">
        <v>4.6420039549999998</v>
      </c>
      <c r="J47">
        <v>311.18429398536603</v>
      </c>
      <c r="K47">
        <v>311.88666343688902</v>
      </c>
      <c r="L47">
        <v>313.25936222076399</v>
      </c>
      <c r="M47">
        <v>315.10171222686699</v>
      </c>
      <c r="N47">
        <v>311.44080424308697</v>
      </c>
      <c r="O47">
        <f t="shared" si="0"/>
        <v>312.92213553190174</v>
      </c>
      <c r="P47">
        <f t="shared" si="1"/>
        <v>-1.4499999999999886</v>
      </c>
      <c r="Q47">
        <v>313.95930650000003</v>
      </c>
      <c r="R47">
        <v>298.64069339999998</v>
      </c>
      <c r="T47">
        <f t="shared" si="2"/>
        <v>0</v>
      </c>
    </row>
    <row r="48" spans="1:20" x14ac:dyDescent="0.3">
      <c r="A48" s="1">
        <v>42891</v>
      </c>
      <c r="B48" s="1">
        <v>42982</v>
      </c>
      <c r="C48">
        <v>317.35444219999999</v>
      </c>
      <c r="D48">
        <v>303.50000010000002</v>
      </c>
      <c r="E48">
        <v>307.60000000000002</v>
      </c>
      <c r="F48">
        <v>-4.0999999049999998</v>
      </c>
      <c r="G48">
        <v>9.7544422149999992</v>
      </c>
      <c r="H48">
        <v>-4.0999999049999998</v>
      </c>
      <c r="I48">
        <v>4.7134926779999997</v>
      </c>
      <c r="J48">
        <v>311.112620925903</v>
      </c>
      <c r="K48">
        <v>307.05253866910903</v>
      </c>
      <c r="L48">
        <v>314.99781951904299</v>
      </c>
      <c r="M48">
        <v>312.47366151809598</v>
      </c>
      <c r="N48">
        <v>312.17303428649899</v>
      </c>
      <c r="O48">
        <f t="shared" si="0"/>
        <v>311.67426349818675</v>
      </c>
      <c r="P48">
        <f t="shared" si="1"/>
        <v>-4.0999999000000003</v>
      </c>
      <c r="Q48">
        <v>311.277263</v>
      </c>
      <c r="R48">
        <v>295.72273719999998</v>
      </c>
      <c r="T48">
        <f t="shared" si="2"/>
        <v>0</v>
      </c>
    </row>
    <row r="49" spans="1:20" x14ac:dyDescent="0.3">
      <c r="A49" s="1">
        <v>42892</v>
      </c>
      <c r="B49" s="1">
        <v>42983</v>
      </c>
      <c r="C49">
        <v>321.21354450000001</v>
      </c>
      <c r="D49">
        <v>302.69999990000002</v>
      </c>
      <c r="E49">
        <v>307.60000000000002</v>
      </c>
      <c r="F49">
        <v>-4.9000000950000002</v>
      </c>
      <c r="G49">
        <v>13.61354446</v>
      </c>
      <c r="H49">
        <v>-4.9000000950000002</v>
      </c>
      <c r="I49">
        <v>4.8028090490000004</v>
      </c>
      <c r="J49">
        <v>317.72923336028998</v>
      </c>
      <c r="K49">
        <v>310.33170614242499</v>
      </c>
      <c r="L49">
        <v>316.469270324707</v>
      </c>
      <c r="M49">
        <v>315.00878057479798</v>
      </c>
      <c r="N49">
        <v>313.352016067504</v>
      </c>
      <c r="O49">
        <f t="shared" si="0"/>
        <v>313.79044327735846</v>
      </c>
      <c r="P49">
        <f t="shared" si="1"/>
        <v>-4.9000000999999997</v>
      </c>
      <c r="Q49">
        <v>310.62463480000002</v>
      </c>
      <c r="R49">
        <v>294.77536500000002</v>
      </c>
      <c r="T49">
        <f t="shared" si="2"/>
        <v>0</v>
      </c>
    </row>
    <row r="50" spans="1:20" x14ac:dyDescent="0.3">
      <c r="A50" s="1">
        <v>42893</v>
      </c>
      <c r="B50" s="1">
        <v>42984</v>
      </c>
      <c r="C50">
        <v>324.37662160000002</v>
      </c>
      <c r="D50">
        <v>302.30000009999998</v>
      </c>
      <c r="E50">
        <v>305.39999999999998</v>
      </c>
      <c r="F50">
        <v>-3.0999999049999998</v>
      </c>
      <c r="G50">
        <v>18.97662163</v>
      </c>
      <c r="H50">
        <v>-3.0999999049999998</v>
      </c>
      <c r="I50">
        <v>4.8707988550000003</v>
      </c>
      <c r="J50">
        <v>320.87978878021198</v>
      </c>
      <c r="K50">
        <v>315.365933799743</v>
      </c>
      <c r="L50">
        <v>315.96945610046299</v>
      </c>
      <c r="M50">
        <v>316.15895690917898</v>
      </c>
      <c r="N50">
        <v>318.247588539123</v>
      </c>
      <c r="O50">
        <f t="shared" si="0"/>
        <v>316.43548383712698</v>
      </c>
      <c r="P50">
        <f t="shared" si="1"/>
        <v>-3.0999999000000003</v>
      </c>
      <c r="Q50">
        <v>310.33681819999998</v>
      </c>
      <c r="R50">
        <v>294.26318199999997</v>
      </c>
      <c r="T50">
        <f t="shared" si="2"/>
        <v>0</v>
      </c>
    </row>
    <row r="51" spans="1:20" x14ac:dyDescent="0.3">
      <c r="A51" s="1">
        <v>42894</v>
      </c>
      <c r="B51" s="1">
        <v>42985</v>
      </c>
      <c r="C51">
        <v>326.07365650000003</v>
      </c>
      <c r="D51">
        <v>306.2</v>
      </c>
      <c r="E51">
        <v>306.64999999999998</v>
      </c>
      <c r="F51">
        <v>-0.44999998800000002</v>
      </c>
      <c r="G51">
        <v>19.42365646</v>
      </c>
      <c r="H51">
        <v>-0.44999998800000002</v>
      </c>
      <c r="I51">
        <v>4.8768391500000003</v>
      </c>
      <c r="J51">
        <v>322.05508174896198</v>
      </c>
      <c r="K51">
        <v>322.21501579284597</v>
      </c>
      <c r="L51">
        <v>320.49944820403999</v>
      </c>
      <c r="M51">
        <v>322.55847301483101</v>
      </c>
      <c r="N51">
        <v>319.05826225280703</v>
      </c>
      <c r="O51">
        <f t="shared" si="0"/>
        <v>321.082799816131</v>
      </c>
      <c r="P51">
        <f t="shared" si="1"/>
        <v>-0.44999999999998863</v>
      </c>
      <c r="Q51">
        <v>314.24678460000001</v>
      </c>
      <c r="R51">
        <v>298.15321540000002</v>
      </c>
      <c r="T51">
        <f t="shared" si="2"/>
        <v>0</v>
      </c>
    </row>
    <row r="52" spans="1:20" x14ac:dyDescent="0.3">
      <c r="A52" s="1">
        <v>42895</v>
      </c>
      <c r="B52" s="1">
        <v>42986</v>
      </c>
      <c r="C52">
        <v>327.87909200000001</v>
      </c>
      <c r="D52">
        <v>306.25</v>
      </c>
      <c r="E52">
        <v>308.55</v>
      </c>
      <c r="F52">
        <v>-2.2999999519999998</v>
      </c>
      <c r="G52">
        <v>19.329092030000002</v>
      </c>
      <c r="H52">
        <v>-2.2999999519999998</v>
      </c>
      <c r="I52">
        <v>4.9002955659999996</v>
      </c>
      <c r="J52">
        <v>320.27597122192299</v>
      </c>
      <c r="K52">
        <v>316.80979900360097</v>
      </c>
      <c r="L52">
        <v>321.40186767578098</v>
      </c>
      <c r="M52">
        <v>318.13040523529003</v>
      </c>
      <c r="N52">
        <v>313.59601621627797</v>
      </c>
      <c r="O52">
        <f t="shared" si="0"/>
        <v>317.48452203273752</v>
      </c>
      <c r="P52">
        <f t="shared" si="1"/>
        <v>-2.3000000000000114</v>
      </c>
      <c r="Q52">
        <v>314.33548769999999</v>
      </c>
      <c r="R52">
        <v>298.16451239999998</v>
      </c>
      <c r="T52">
        <f t="shared" si="2"/>
        <v>0</v>
      </c>
    </row>
    <row r="53" spans="1:20" x14ac:dyDescent="0.3">
      <c r="A53" s="1">
        <v>42898</v>
      </c>
      <c r="B53" s="1">
        <v>42989</v>
      </c>
      <c r="C53">
        <v>326.30906179999999</v>
      </c>
      <c r="D53">
        <v>309.25</v>
      </c>
      <c r="E53">
        <v>305.3</v>
      </c>
      <c r="F53">
        <v>3.9500000480000002</v>
      </c>
      <c r="G53">
        <v>21.009061809999999</v>
      </c>
      <c r="H53">
        <v>3.9500000480000002</v>
      </c>
      <c r="I53">
        <v>4.8581930450000002</v>
      </c>
      <c r="J53">
        <v>320.733818817138</v>
      </c>
      <c r="K53">
        <v>315.982892799377</v>
      </c>
      <c r="L53">
        <v>320.10836582183799</v>
      </c>
      <c r="M53">
        <v>318.12484912872299</v>
      </c>
      <c r="N53">
        <v>314.82607250213601</v>
      </c>
      <c r="O53">
        <f t="shared" si="0"/>
        <v>317.26054506301853</v>
      </c>
      <c r="P53">
        <f t="shared" si="1"/>
        <v>3.9499999999999886</v>
      </c>
      <c r="Q53">
        <v>317.2660186</v>
      </c>
      <c r="R53">
        <v>301.23398150000003</v>
      </c>
      <c r="T53">
        <f t="shared" si="2"/>
        <v>1</v>
      </c>
    </row>
    <row r="54" spans="1:20" x14ac:dyDescent="0.3">
      <c r="A54" s="1">
        <v>42899</v>
      </c>
      <c r="B54" s="1">
        <v>42990</v>
      </c>
      <c r="C54">
        <v>324.30815580000001</v>
      </c>
      <c r="D54">
        <v>309.20000010000001</v>
      </c>
      <c r="E54">
        <v>307.05</v>
      </c>
      <c r="F54">
        <v>2.1500000950000002</v>
      </c>
      <c r="G54">
        <v>17.258155819999999</v>
      </c>
      <c r="H54">
        <v>2.1500000950000002</v>
      </c>
      <c r="I54">
        <v>4.8406988530000001</v>
      </c>
      <c r="J54">
        <v>322.44805793762202</v>
      </c>
      <c r="K54">
        <v>315.85298709869301</v>
      </c>
      <c r="L54">
        <v>323.08844642639099</v>
      </c>
      <c r="M54">
        <v>316.95299892425498</v>
      </c>
      <c r="N54">
        <v>315.71418266296303</v>
      </c>
      <c r="O54">
        <f t="shared" si="0"/>
        <v>317.9021537780755</v>
      </c>
      <c r="P54">
        <f t="shared" si="1"/>
        <v>2.1500000999999997</v>
      </c>
      <c r="Q54">
        <v>317.18715320000001</v>
      </c>
      <c r="R54">
        <v>301.21284700000001</v>
      </c>
      <c r="T54">
        <f t="shared" si="2"/>
        <v>0</v>
      </c>
    </row>
    <row r="55" spans="1:20" x14ac:dyDescent="0.3">
      <c r="A55" s="1">
        <v>42900</v>
      </c>
      <c r="B55" s="1">
        <v>42991</v>
      </c>
      <c r="C55">
        <v>326.34362449999998</v>
      </c>
      <c r="D55">
        <v>308.55</v>
      </c>
      <c r="E55">
        <v>307.39999999999998</v>
      </c>
      <c r="F55">
        <v>1.1499999759999999</v>
      </c>
      <c r="G55">
        <v>18.943624499999999</v>
      </c>
      <c r="H55">
        <v>1.1499999759999999</v>
      </c>
      <c r="I55">
        <v>4.8306631519999996</v>
      </c>
      <c r="J55">
        <v>318.40759506225498</v>
      </c>
      <c r="K55">
        <v>311.23772516250602</v>
      </c>
      <c r="L55">
        <v>323.22369613647402</v>
      </c>
      <c r="M55">
        <v>317.90238990783598</v>
      </c>
      <c r="N55">
        <v>316.56887474059999</v>
      </c>
      <c r="O55">
        <f t="shared" si="0"/>
        <v>317.23317148685396</v>
      </c>
      <c r="P55">
        <f t="shared" si="1"/>
        <v>1.1500000000000341</v>
      </c>
      <c r="Q55">
        <v>316.52059420000001</v>
      </c>
      <c r="R55">
        <v>300.57940580000002</v>
      </c>
      <c r="T55">
        <f t="shared" si="2"/>
        <v>0</v>
      </c>
    </row>
    <row r="56" spans="1:20" x14ac:dyDescent="0.3">
      <c r="A56" s="1">
        <v>42901</v>
      </c>
      <c r="B56" s="1">
        <v>42992</v>
      </c>
      <c r="C56">
        <v>326.79255139999998</v>
      </c>
      <c r="D56">
        <v>310.24999989999998</v>
      </c>
      <c r="E56">
        <v>305.64999999999998</v>
      </c>
      <c r="F56">
        <v>4.5999999049999998</v>
      </c>
      <c r="G56">
        <v>21.14255142</v>
      </c>
      <c r="H56">
        <v>4.5999999049999998</v>
      </c>
      <c r="I56">
        <v>4.7892712380000004</v>
      </c>
      <c r="J56">
        <v>315.297434234619</v>
      </c>
      <c r="K56">
        <v>309.22163381576502</v>
      </c>
      <c r="L56">
        <v>321.01171913146902</v>
      </c>
      <c r="M56">
        <v>317.25143470764101</v>
      </c>
      <c r="N56">
        <v>316.78874626159597</v>
      </c>
      <c r="O56">
        <f t="shared" si="0"/>
        <v>316.06838347911776</v>
      </c>
      <c r="P56">
        <f t="shared" si="1"/>
        <v>4.5999999000000003</v>
      </c>
      <c r="Q56">
        <v>318.15229740000001</v>
      </c>
      <c r="R56">
        <v>302.3477024</v>
      </c>
      <c r="T56">
        <f t="shared" si="2"/>
        <v>1</v>
      </c>
    </row>
    <row r="57" spans="1:20" x14ac:dyDescent="0.3">
      <c r="A57" s="1">
        <v>42902</v>
      </c>
      <c r="B57" s="1">
        <v>42993</v>
      </c>
      <c r="C57">
        <v>326.65481949999997</v>
      </c>
      <c r="D57">
        <v>311.1999998</v>
      </c>
      <c r="E57">
        <v>306</v>
      </c>
      <c r="F57">
        <v>5.1999998090000004</v>
      </c>
      <c r="G57">
        <v>20.654819490000001</v>
      </c>
      <c r="H57">
        <v>5.1999998090000004</v>
      </c>
      <c r="I57">
        <v>4.7518805740000003</v>
      </c>
      <c r="J57">
        <v>317.43126296997002</v>
      </c>
      <c r="K57">
        <v>314.65573883056601</v>
      </c>
      <c r="L57">
        <v>322.03474044799799</v>
      </c>
      <c r="M57">
        <v>318.366751670837</v>
      </c>
      <c r="N57">
        <v>316.13602733611998</v>
      </c>
      <c r="O57">
        <f t="shared" si="0"/>
        <v>317.79831457138022</v>
      </c>
      <c r="P57">
        <f t="shared" si="1"/>
        <v>5.1999998000000005</v>
      </c>
      <c r="Q57">
        <v>319.04060279999999</v>
      </c>
      <c r="R57">
        <v>303.35939689999998</v>
      </c>
      <c r="T57">
        <f t="shared" si="2"/>
        <v>1</v>
      </c>
    </row>
    <row r="58" spans="1:20" x14ac:dyDescent="0.3">
      <c r="A58" s="1">
        <v>42905</v>
      </c>
      <c r="B58" s="1">
        <v>42996</v>
      </c>
      <c r="C58">
        <v>326.93479230000003</v>
      </c>
      <c r="D58">
        <v>316.69999960000001</v>
      </c>
      <c r="E58">
        <v>307.8</v>
      </c>
      <c r="F58">
        <v>8.8999996190000008</v>
      </c>
      <c r="G58">
        <v>19.13479233</v>
      </c>
      <c r="H58">
        <v>8.8999996190000008</v>
      </c>
      <c r="I58">
        <v>4.7911134439999996</v>
      </c>
      <c r="J58">
        <v>314.837036895751</v>
      </c>
      <c r="K58">
        <v>309.94609575271602</v>
      </c>
      <c r="L58">
        <v>322.410654830932</v>
      </c>
      <c r="M58">
        <v>317.27909641265802</v>
      </c>
      <c r="N58">
        <v>319.94124393463102</v>
      </c>
      <c r="O58">
        <f t="shared" si="0"/>
        <v>317.39427273273429</v>
      </c>
      <c r="P58">
        <f t="shared" si="1"/>
        <v>8.899999600000001</v>
      </c>
      <c r="Q58">
        <v>324.60533679999998</v>
      </c>
      <c r="R58">
        <v>308.79466239999999</v>
      </c>
      <c r="T58">
        <f t="shared" si="2"/>
        <v>1</v>
      </c>
    </row>
    <row r="59" spans="1:20" x14ac:dyDescent="0.3">
      <c r="A59" s="1">
        <v>42906</v>
      </c>
      <c r="B59" s="1">
        <v>42997</v>
      </c>
      <c r="C59">
        <v>324.40565830000003</v>
      </c>
      <c r="D59">
        <v>316.04999980000002</v>
      </c>
      <c r="E59">
        <v>308.10000000000002</v>
      </c>
      <c r="F59">
        <v>7.9499998090000004</v>
      </c>
      <c r="G59">
        <v>16.305658340000001</v>
      </c>
      <c r="H59">
        <v>7.9499998090000004</v>
      </c>
      <c r="I59">
        <v>4.8180416399999997</v>
      </c>
      <c r="J59">
        <v>318.93551692962598</v>
      </c>
      <c r="K59">
        <v>311.94891581535302</v>
      </c>
      <c r="L59">
        <v>320.246472930908</v>
      </c>
      <c r="M59">
        <v>313.73552618026702</v>
      </c>
      <c r="N59">
        <v>318.268100357055</v>
      </c>
      <c r="O59">
        <f t="shared" si="0"/>
        <v>316.04975382089572</v>
      </c>
      <c r="P59">
        <f t="shared" si="1"/>
        <v>7.9499998000000005</v>
      </c>
      <c r="Q59">
        <v>323.99976850000002</v>
      </c>
      <c r="R59">
        <v>308.10023109999997</v>
      </c>
      <c r="T59">
        <f t="shared" si="2"/>
        <v>1</v>
      </c>
    </row>
    <row r="60" spans="1:20" x14ac:dyDescent="0.3">
      <c r="A60" s="1">
        <v>42907</v>
      </c>
      <c r="B60" s="1">
        <v>42998</v>
      </c>
      <c r="C60">
        <v>325.16745070000002</v>
      </c>
      <c r="D60">
        <v>315.8</v>
      </c>
      <c r="E60">
        <v>306.8</v>
      </c>
      <c r="F60">
        <v>9</v>
      </c>
      <c r="G60">
        <v>18.36745071</v>
      </c>
      <c r="H60">
        <v>9</v>
      </c>
      <c r="I60">
        <v>4.8220139470000003</v>
      </c>
      <c r="J60">
        <v>322.85915260314903</v>
      </c>
      <c r="K60">
        <v>315.743172454834</v>
      </c>
      <c r="L60">
        <v>323.07960205078098</v>
      </c>
      <c r="M60">
        <v>312.00125102996799</v>
      </c>
      <c r="N60">
        <v>321.390889930725</v>
      </c>
      <c r="O60">
        <f t="shared" si="0"/>
        <v>318.05372886657699</v>
      </c>
      <c r="P60">
        <f t="shared" si="1"/>
        <v>9</v>
      </c>
      <c r="Q60">
        <v>323.75632300000001</v>
      </c>
      <c r="R60">
        <v>307.84367700000001</v>
      </c>
      <c r="T60">
        <f t="shared" si="2"/>
        <v>1</v>
      </c>
    </row>
    <row r="61" spans="1:20" x14ac:dyDescent="0.3">
      <c r="A61" s="1">
        <v>42908</v>
      </c>
      <c r="B61" s="1">
        <v>42999</v>
      </c>
      <c r="C61">
        <v>328.1979187</v>
      </c>
      <c r="D61">
        <v>316.05</v>
      </c>
      <c r="E61">
        <v>308.55</v>
      </c>
      <c r="F61">
        <v>7.5</v>
      </c>
      <c r="G61">
        <v>19.647918700000002</v>
      </c>
      <c r="H61">
        <v>7.5</v>
      </c>
      <c r="I61">
        <v>4.8464788219999999</v>
      </c>
      <c r="J61">
        <v>323.54802303314199</v>
      </c>
      <c r="K61">
        <v>320.15345268249501</v>
      </c>
      <c r="L61">
        <v>326.53231697082498</v>
      </c>
      <c r="M61">
        <v>316.09415321350099</v>
      </c>
      <c r="N61">
        <v>323.887805747985</v>
      </c>
      <c r="O61">
        <f t="shared" si="0"/>
        <v>321.66693215370151</v>
      </c>
      <c r="P61">
        <f t="shared" si="1"/>
        <v>7.5</v>
      </c>
      <c r="Q61">
        <v>324.04669009999998</v>
      </c>
      <c r="R61">
        <v>308.05330989999999</v>
      </c>
      <c r="T61">
        <f t="shared" si="2"/>
        <v>1</v>
      </c>
    </row>
    <row r="62" spans="1:20" x14ac:dyDescent="0.3">
      <c r="A62" s="1">
        <v>42909</v>
      </c>
      <c r="B62" s="1">
        <v>43000</v>
      </c>
      <c r="C62">
        <v>324.12115189999997</v>
      </c>
      <c r="D62">
        <v>313.75</v>
      </c>
      <c r="E62">
        <v>309.25</v>
      </c>
      <c r="F62">
        <v>4.5</v>
      </c>
      <c r="G62">
        <v>14.871151920000001</v>
      </c>
      <c r="H62">
        <v>4.5</v>
      </c>
      <c r="I62">
        <v>4.8481748400000004</v>
      </c>
      <c r="J62">
        <v>322.96275234222401</v>
      </c>
      <c r="K62">
        <v>318.74927520751902</v>
      </c>
      <c r="L62">
        <v>319.80173683166498</v>
      </c>
      <c r="M62">
        <v>314.17243909835798</v>
      </c>
      <c r="N62">
        <v>316.80421829223599</v>
      </c>
      <c r="O62">
        <f t="shared" si="0"/>
        <v>317.38191735744454</v>
      </c>
      <c r="P62">
        <f t="shared" si="1"/>
        <v>4.5</v>
      </c>
      <c r="Q62">
        <v>321.74948849999998</v>
      </c>
      <c r="R62">
        <v>305.75051150000002</v>
      </c>
      <c r="T62">
        <f t="shared" si="2"/>
        <v>1</v>
      </c>
    </row>
    <row r="63" spans="1:20" x14ac:dyDescent="0.3">
      <c r="A63" s="1">
        <v>42912</v>
      </c>
      <c r="B63" s="1">
        <v>43003</v>
      </c>
      <c r="C63">
        <v>326.97095180000002</v>
      </c>
      <c r="D63">
        <v>313.8</v>
      </c>
      <c r="E63">
        <v>310.55</v>
      </c>
      <c r="F63">
        <v>3.25</v>
      </c>
      <c r="G63">
        <v>16.420951840000001</v>
      </c>
      <c r="H63">
        <v>3.25</v>
      </c>
      <c r="I63">
        <v>4.8558391939999996</v>
      </c>
      <c r="J63">
        <v>325.23640613555898</v>
      </c>
      <c r="K63">
        <v>322.06637744903497</v>
      </c>
      <c r="L63">
        <v>321.54009227752601</v>
      </c>
      <c r="M63">
        <v>313.71476917266801</v>
      </c>
      <c r="N63">
        <v>319.53870944976802</v>
      </c>
      <c r="O63">
        <f t="shared" si="0"/>
        <v>319.21498708724926</v>
      </c>
      <c r="P63">
        <f t="shared" si="1"/>
        <v>3.25</v>
      </c>
      <c r="Q63">
        <v>321.8121347</v>
      </c>
      <c r="R63">
        <v>305.78786530000002</v>
      </c>
      <c r="T63">
        <f t="shared" si="2"/>
        <v>1</v>
      </c>
    </row>
    <row r="64" spans="1:20" x14ac:dyDescent="0.3">
      <c r="A64" s="1">
        <v>42913</v>
      </c>
      <c r="B64" s="1">
        <v>43004</v>
      </c>
      <c r="C64">
        <v>325.86363469999998</v>
      </c>
      <c r="D64">
        <v>311.8</v>
      </c>
      <c r="E64">
        <v>311.10000000000002</v>
      </c>
      <c r="F64">
        <v>0.69999998799999996</v>
      </c>
      <c r="G64">
        <v>14.763634679999999</v>
      </c>
      <c r="H64">
        <v>0.69999998799999996</v>
      </c>
      <c r="I64">
        <v>4.8557872140000002</v>
      </c>
      <c r="J64">
        <v>321.25649700164797</v>
      </c>
      <c r="K64">
        <v>317.23033771514798</v>
      </c>
      <c r="L64">
        <v>319.014636135101</v>
      </c>
      <c r="M64">
        <v>312.55549774169901</v>
      </c>
      <c r="N64">
        <v>319.95587596893301</v>
      </c>
      <c r="O64">
        <f t="shared" si="0"/>
        <v>317.18908689022021</v>
      </c>
      <c r="P64">
        <f t="shared" si="1"/>
        <v>0.69999999999998863</v>
      </c>
      <c r="Q64">
        <v>319.81204889999998</v>
      </c>
      <c r="R64">
        <v>303.78795109999999</v>
      </c>
      <c r="T64">
        <f t="shared" si="2"/>
        <v>1</v>
      </c>
    </row>
    <row r="65" spans="1:20" x14ac:dyDescent="0.3">
      <c r="A65" s="1">
        <v>42914</v>
      </c>
      <c r="B65" s="1">
        <v>43005</v>
      </c>
      <c r="C65">
        <v>330.64757159999999</v>
      </c>
      <c r="D65">
        <v>311.39999999999998</v>
      </c>
      <c r="E65">
        <v>310.25</v>
      </c>
      <c r="F65">
        <v>1.1499999759999999</v>
      </c>
      <c r="G65">
        <v>20.397571559999999</v>
      </c>
      <c r="H65">
        <v>1.1499999759999999</v>
      </c>
      <c r="I65">
        <v>4.8533357380000002</v>
      </c>
      <c r="J65">
        <v>324.95113277435303</v>
      </c>
      <c r="K65">
        <v>319.454677581787</v>
      </c>
      <c r="L65">
        <v>321.73093223571698</v>
      </c>
      <c r="M65">
        <v>316.36340379714898</v>
      </c>
      <c r="N65">
        <v>324.14921092986998</v>
      </c>
      <c r="O65">
        <f t="shared" si="0"/>
        <v>320.42455613613072</v>
      </c>
      <c r="P65">
        <f t="shared" si="1"/>
        <v>1.1499999999999773</v>
      </c>
      <c r="Q65">
        <v>319.40800389999998</v>
      </c>
      <c r="R65">
        <v>303.39199600000001</v>
      </c>
      <c r="T65">
        <f t="shared" si="2"/>
        <v>0</v>
      </c>
    </row>
    <row r="66" spans="1:20" x14ac:dyDescent="0.3">
      <c r="A66" s="1">
        <v>42915</v>
      </c>
      <c r="B66" s="1">
        <v>43006</v>
      </c>
      <c r="C66">
        <v>329.32168539999998</v>
      </c>
      <c r="D66">
        <v>311.60000000000002</v>
      </c>
      <c r="E66">
        <v>312.35000000000002</v>
      </c>
      <c r="F66">
        <v>-0.75</v>
      </c>
      <c r="G66">
        <v>16.971685409999999</v>
      </c>
      <c r="H66">
        <v>-0.75</v>
      </c>
      <c r="I66">
        <v>4.8521654559999998</v>
      </c>
      <c r="J66">
        <v>327.22890338897702</v>
      </c>
      <c r="K66">
        <v>324.875135040283</v>
      </c>
      <c r="L66">
        <v>322.94705829620301</v>
      </c>
      <c r="M66">
        <v>320.16023740768401</v>
      </c>
      <c r="N66">
        <v>323.67479000091498</v>
      </c>
      <c r="O66">
        <f t="shared" si="0"/>
        <v>322.91430518627124</v>
      </c>
      <c r="P66">
        <f t="shared" si="1"/>
        <v>-0.75</v>
      </c>
      <c r="Q66">
        <v>319.60607299999998</v>
      </c>
      <c r="R66">
        <v>303.59392700000001</v>
      </c>
      <c r="T66">
        <f t="shared" si="2"/>
        <v>0</v>
      </c>
    </row>
    <row r="67" spans="1:20" x14ac:dyDescent="0.3">
      <c r="A67" s="1">
        <v>42916</v>
      </c>
      <c r="B67" s="1">
        <v>43007</v>
      </c>
      <c r="C67">
        <v>328.19266779999998</v>
      </c>
      <c r="D67">
        <v>314.3</v>
      </c>
      <c r="E67">
        <v>311.55</v>
      </c>
      <c r="F67">
        <v>2.75</v>
      </c>
      <c r="G67">
        <v>16.642667769999999</v>
      </c>
      <c r="H67">
        <v>2.75</v>
      </c>
      <c r="I67">
        <v>4.864717336</v>
      </c>
      <c r="J67">
        <v>321.58997135162298</v>
      </c>
      <c r="K67">
        <v>318.51249485015802</v>
      </c>
      <c r="L67">
        <v>323.17450408935503</v>
      </c>
      <c r="M67">
        <v>319.06756334304799</v>
      </c>
      <c r="N67">
        <v>321.22932510375898</v>
      </c>
      <c r="O67">
        <f t="shared" ref="O67:O130" si="3">AVERAGE(K67:N67)</f>
        <v>320.49597184658001</v>
      </c>
      <c r="P67">
        <f t="shared" ref="P67:P130" si="4">IF((O67-E67)*(D67-E67)&gt;0, ABS(D67-E67), -ABS(D67-E67))</f>
        <v>2.75</v>
      </c>
      <c r="Q67">
        <v>322.3267836</v>
      </c>
      <c r="R67">
        <v>306.27321640000002</v>
      </c>
      <c r="T67">
        <f t="shared" ref="T67:T130" si="5">IF(AND(P67&gt;0, AND(O67&lt;Q67, O67&gt;R67)), 1, 0)</f>
        <v>1</v>
      </c>
    </row>
    <row r="68" spans="1:20" x14ac:dyDescent="0.3">
      <c r="A68" s="1">
        <v>42919</v>
      </c>
      <c r="B68" s="1">
        <v>43010</v>
      </c>
      <c r="C68">
        <v>328.88607330000002</v>
      </c>
      <c r="D68">
        <v>314.29999989999999</v>
      </c>
      <c r="E68">
        <v>311.95</v>
      </c>
      <c r="F68">
        <v>2.3499999049999998</v>
      </c>
      <c r="G68">
        <v>16.9360733</v>
      </c>
      <c r="H68">
        <v>2.3499999049999998</v>
      </c>
      <c r="I68">
        <v>4.8766285490000003</v>
      </c>
      <c r="J68">
        <v>322.18403549194301</v>
      </c>
      <c r="K68">
        <v>318.98635311126702</v>
      </c>
      <c r="L68">
        <v>322.70241756439202</v>
      </c>
      <c r="M68">
        <v>318.72591514587401</v>
      </c>
      <c r="N68">
        <v>323.13492507934501</v>
      </c>
      <c r="O68">
        <f t="shared" si="3"/>
        <v>320.88740272521954</v>
      </c>
      <c r="P68">
        <f t="shared" si="4"/>
        <v>2.3499999000000003</v>
      </c>
      <c r="Q68">
        <v>322.34643699999998</v>
      </c>
      <c r="R68">
        <v>306.2535628</v>
      </c>
      <c r="T68">
        <f t="shared" si="5"/>
        <v>1</v>
      </c>
    </row>
    <row r="69" spans="1:20" x14ac:dyDescent="0.3">
      <c r="A69" s="1">
        <v>42920</v>
      </c>
      <c r="B69" s="1">
        <v>43011</v>
      </c>
      <c r="C69">
        <v>323.38577309999999</v>
      </c>
      <c r="D69">
        <v>314.30000009999998</v>
      </c>
      <c r="E69">
        <v>309.64999999999998</v>
      </c>
      <c r="F69">
        <v>4.6500000950000002</v>
      </c>
      <c r="G69">
        <v>13.73577309</v>
      </c>
      <c r="H69">
        <v>4.6500000950000002</v>
      </c>
      <c r="I69">
        <v>4.8822295999999996</v>
      </c>
      <c r="J69">
        <v>321.40841140747</v>
      </c>
      <c r="K69">
        <v>317.30844011306698</v>
      </c>
      <c r="L69">
        <v>319.15327968597398</v>
      </c>
      <c r="M69">
        <v>316.79043283462499</v>
      </c>
      <c r="N69">
        <v>321.05552234649599</v>
      </c>
      <c r="O69">
        <f t="shared" si="3"/>
        <v>318.57691874504053</v>
      </c>
      <c r="P69">
        <f t="shared" si="4"/>
        <v>4.6500000999999997</v>
      </c>
      <c r="Q69">
        <v>322.35567889999999</v>
      </c>
      <c r="R69">
        <v>306.24432130000002</v>
      </c>
      <c r="T69">
        <f t="shared" si="5"/>
        <v>1</v>
      </c>
    </row>
    <row r="70" spans="1:20" x14ac:dyDescent="0.3">
      <c r="A70" s="1">
        <v>42921</v>
      </c>
      <c r="B70" s="1">
        <v>43012</v>
      </c>
      <c r="C70">
        <v>325.0845238</v>
      </c>
      <c r="D70">
        <v>314.3</v>
      </c>
      <c r="E70">
        <v>311.10000000000002</v>
      </c>
      <c r="F70">
        <v>3.2000000480000002</v>
      </c>
      <c r="G70">
        <v>13.984523769999999</v>
      </c>
      <c r="H70">
        <v>3.2000000480000002</v>
      </c>
      <c r="I70">
        <v>4.8928767400000002</v>
      </c>
      <c r="J70">
        <v>321.98535404205302</v>
      </c>
      <c r="K70">
        <v>318.45840368270802</v>
      </c>
      <c r="L70">
        <v>320.70901355743399</v>
      </c>
      <c r="M70">
        <v>318.14907989501899</v>
      </c>
      <c r="N70">
        <v>324.18788585662799</v>
      </c>
      <c r="O70">
        <f t="shared" si="3"/>
        <v>320.37609574794726</v>
      </c>
      <c r="P70">
        <f t="shared" si="4"/>
        <v>3.1999999999999886</v>
      </c>
      <c r="Q70">
        <v>322.37324669999998</v>
      </c>
      <c r="R70">
        <v>306.22675340000001</v>
      </c>
      <c r="T70">
        <f t="shared" si="5"/>
        <v>1</v>
      </c>
    </row>
    <row r="71" spans="1:20" x14ac:dyDescent="0.3">
      <c r="A71" s="1">
        <v>42922</v>
      </c>
      <c r="B71" s="1">
        <v>43013</v>
      </c>
      <c r="C71">
        <v>323.95019109999998</v>
      </c>
      <c r="D71">
        <v>314.3</v>
      </c>
      <c r="E71">
        <v>311.10000000000002</v>
      </c>
      <c r="F71">
        <v>3.2000000480000002</v>
      </c>
      <c r="G71">
        <v>12.85019112</v>
      </c>
      <c r="H71">
        <v>3.2000000480000002</v>
      </c>
      <c r="I71">
        <v>4.9029987390000001</v>
      </c>
      <c r="J71">
        <v>320.52594528198199</v>
      </c>
      <c r="K71">
        <v>319.24651679992598</v>
      </c>
      <c r="L71">
        <v>319.08780441284102</v>
      </c>
      <c r="M71">
        <v>321.22309646606402</v>
      </c>
      <c r="N71">
        <v>320.44076213836598</v>
      </c>
      <c r="O71">
        <f t="shared" si="3"/>
        <v>319.99954495429927</v>
      </c>
      <c r="P71">
        <f t="shared" si="4"/>
        <v>3.1999999999999886</v>
      </c>
      <c r="Q71">
        <v>322.389948</v>
      </c>
      <c r="R71">
        <v>306.21005209999998</v>
      </c>
      <c r="T71">
        <f t="shared" si="5"/>
        <v>1</v>
      </c>
    </row>
    <row r="72" spans="1:20" x14ac:dyDescent="0.3">
      <c r="A72" s="1">
        <v>42923</v>
      </c>
      <c r="B72" s="1">
        <v>43014</v>
      </c>
      <c r="C72">
        <v>323.03647230000001</v>
      </c>
      <c r="D72">
        <v>314.3000002</v>
      </c>
      <c r="E72">
        <v>310.25</v>
      </c>
      <c r="F72">
        <v>4.0500001909999996</v>
      </c>
      <c r="G72">
        <v>12.78647232</v>
      </c>
      <c r="H72">
        <v>4.0500001909999996</v>
      </c>
      <c r="I72">
        <v>4.9095866289999996</v>
      </c>
      <c r="J72">
        <v>322.54405593872002</v>
      </c>
      <c r="K72">
        <v>318.39751529693598</v>
      </c>
      <c r="L72">
        <v>319.93827533721901</v>
      </c>
      <c r="M72">
        <v>317.50494480133</v>
      </c>
      <c r="N72">
        <v>319.66145801544099</v>
      </c>
      <c r="O72">
        <f t="shared" si="3"/>
        <v>318.87554836273148</v>
      </c>
      <c r="P72">
        <f t="shared" si="4"/>
        <v>4.0500001999999995</v>
      </c>
      <c r="Q72">
        <v>322.40081809999998</v>
      </c>
      <c r="R72">
        <v>306.19918230000002</v>
      </c>
      <c r="T72">
        <f t="shared" si="5"/>
        <v>1</v>
      </c>
    </row>
    <row r="73" spans="1:20" x14ac:dyDescent="0.3">
      <c r="A73" s="1">
        <v>42926</v>
      </c>
      <c r="B73" s="1">
        <v>43017</v>
      </c>
      <c r="C73">
        <v>324.19343830000003</v>
      </c>
      <c r="D73">
        <v>314.3</v>
      </c>
      <c r="E73">
        <v>310.8</v>
      </c>
      <c r="F73">
        <v>3.5</v>
      </c>
      <c r="G73">
        <v>13.393438339999999</v>
      </c>
      <c r="H73">
        <v>3.5</v>
      </c>
      <c r="I73">
        <v>4.9176856559999997</v>
      </c>
      <c r="J73">
        <v>323.79697875976501</v>
      </c>
      <c r="K73">
        <v>319.61381034851001</v>
      </c>
      <c r="L73">
        <v>318.263778972625</v>
      </c>
      <c r="M73">
        <v>315.61861114501897</v>
      </c>
      <c r="N73">
        <v>318.79717092513999</v>
      </c>
      <c r="O73">
        <f t="shared" si="3"/>
        <v>318.07334284782348</v>
      </c>
      <c r="P73">
        <f t="shared" si="4"/>
        <v>3.5</v>
      </c>
      <c r="Q73">
        <v>322.4141813</v>
      </c>
      <c r="R73">
        <v>306.18581870000003</v>
      </c>
      <c r="T73">
        <f t="shared" si="5"/>
        <v>1</v>
      </c>
    </row>
    <row r="74" spans="1:20" x14ac:dyDescent="0.3">
      <c r="A74" s="1">
        <v>42927</v>
      </c>
      <c r="B74" s="1">
        <v>43018</v>
      </c>
      <c r="C74">
        <v>326.17552110000003</v>
      </c>
      <c r="D74">
        <v>320.14999979999999</v>
      </c>
      <c r="E74">
        <v>312.7</v>
      </c>
      <c r="F74">
        <v>7.4499998090000004</v>
      </c>
      <c r="G74">
        <v>13.475521090000001</v>
      </c>
      <c r="H74">
        <v>7.4499998090000004</v>
      </c>
      <c r="I74">
        <v>5.0235034130000003</v>
      </c>
      <c r="J74">
        <v>322.111008834838</v>
      </c>
      <c r="K74">
        <v>320.58703823089598</v>
      </c>
      <c r="L74">
        <v>317.74727411270101</v>
      </c>
      <c r="M74">
        <v>313.97927672863</v>
      </c>
      <c r="N74">
        <v>319.60608072280797</v>
      </c>
      <c r="O74">
        <f t="shared" si="3"/>
        <v>317.97991744875878</v>
      </c>
      <c r="P74">
        <f t="shared" si="4"/>
        <v>7.4499998000000005</v>
      </c>
      <c r="Q74">
        <v>328.43878039999998</v>
      </c>
      <c r="R74">
        <v>311.86121919999999</v>
      </c>
      <c r="T74">
        <f t="shared" si="5"/>
        <v>1</v>
      </c>
    </row>
    <row r="75" spans="1:20" x14ac:dyDescent="0.3">
      <c r="A75" s="1">
        <v>42928</v>
      </c>
      <c r="B75" s="1">
        <v>43019</v>
      </c>
      <c r="C75">
        <v>324.92245639999999</v>
      </c>
      <c r="D75">
        <v>323.24999960000002</v>
      </c>
      <c r="E75">
        <v>312.60000000000002</v>
      </c>
      <c r="F75">
        <v>10.649999619999999</v>
      </c>
      <c r="G75">
        <v>12.32245636</v>
      </c>
      <c r="H75">
        <v>10.649999619999999</v>
      </c>
      <c r="I75">
        <v>5.2146206030000002</v>
      </c>
      <c r="J75">
        <v>320.11906204223601</v>
      </c>
      <c r="K75">
        <v>319.49731645584097</v>
      </c>
      <c r="L75">
        <v>317.82027587890599</v>
      </c>
      <c r="M75">
        <v>314.60375294685298</v>
      </c>
      <c r="N75">
        <v>319.14850912094101</v>
      </c>
      <c r="O75">
        <f t="shared" si="3"/>
        <v>317.76746360063521</v>
      </c>
      <c r="P75">
        <f t="shared" si="4"/>
        <v>10.649999600000001</v>
      </c>
      <c r="Q75">
        <v>331.85412359999998</v>
      </c>
      <c r="R75">
        <v>314.64587560000001</v>
      </c>
      <c r="T75">
        <f t="shared" si="5"/>
        <v>1</v>
      </c>
    </row>
    <row r="76" spans="1:20" x14ac:dyDescent="0.3">
      <c r="A76" s="1">
        <v>42929</v>
      </c>
      <c r="B76" s="1">
        <v>43020</v>
      </c>
      <c r="C76">
        <v>324.03880859999998</v>
      </c>
      <c r="D76">
        <v>325.65000040000001</v>
      </c>
      <c r="E76">
        <v>316.55</v>
      </c>
      <c r="F76">
        <v>9.1000003809999992</v>
      </c>
      <c r="G76">
        <v>7.4888086319999996</v>
      </c>
      <c r="H76">
        <v>9.1000003809999992</v>
      </c>
      <c r="I76">
        <v>5.4519594439999999</v>
      </c>
      <c r="J76">
        <v>319.465175199508</v>
      </c>
      <c r="K76">
        <v>319.667338180542</v>
      </c>
      <c r="L76">
        <v>317.80120556354501</v>
      </c>
      <c r="M76">
        <v>318.02996199131002</v>
      </c>
      <c r="N76">
        <v>318.58953528404197</v>
      </c>
      <c r="O76">
        <f t="shared" si="3"/>
        <v>318.52201025485977</v>
      </c>
      <c r="P76">
        <f t="shared" si="4"/>
        <v>9.100000399999999</v>
      </c>
      <c r="Q76">
        <v>334.64573350000001</v>
      </c>
      <c r="R76">
        <v>316.65426730000001</v>
      </c>
      <c r="T76">
        <f t="shared" si="5"/>
        <v>1</v>
      </c>
    </row>
    <row r="77" spans="1:20" x14ac:dyDescent="0.3">
      <c r="A77" s="1">
        <v>42930</v>
      </c>
      <c r="B77" s="1">
        <v>43021</v>
      </c>
      <c r="C77">
        <v>328.61221710000001</v>
      </c>
      <c r="D77">
        <v>325.30000039999999</v>
      </c>
      <c r="E77">
        <v>316.7</v>
      </c>
      <c r="F77">
        <v>8.6000003809999992</v>
      </c>
      <c r="G77">
        <v>11.912217139999999</v>
      </c>
      <c r="H77">
        <v>8.6000003809999992</v>
      </c>
      <c r="I77">
        <v>5.6615272340000002</v>
      </c>
      <c r="J77">
        <v>320.04929490089398</v>
      </c>
      <c r="K77">
        <v>319.64739937782201</v>
      </c>
      <c r="L77">
        <v>320.65288825034997</v>
      </c>
      <c r="M77">
        <v>317.091121834516</v>
      </c>
      <c r="N77">
        <v>320.33108539581298</v>
      </c>
      <c r="O77">
        <f t="shared" si="3"/>
        <v>319.43062371462526</v>
      </c>
      <c r="P77">
        <f t="shared" si="4"/>
        <v>8.600000399999999</v>
      </c>
      <c r="Q77">
        <v>334.64152030000002</v>
      </c>
      <c r="R77">
        <v>315.95848039999998</v>
      </c>
      <c r="T77">
        <f t="shared" si="5"/>
        <v>1</v>
      </c>
    </row>
    <row r="78" spans="1:20" x14ac:dyDescent="0.3">
      <c r="A78" s="1">
        <v>42933</v>
      </c>
      <c r="B78" s="1">
        <v>43024</v>
      </c>
      <c r="C78">
        <v>327.46650699999998</v>
      </c>
      <c r="D78">
        <v>325.5</v>
      </c>
      <c r="E78">
        <v>317.5</v>
      </c>
      <c r="F78">
        <v>8</v>
      </c>
      <c r="G78">
        <v>9.9665069580000001</v>
      </c>
      <c r="H78">
        <v>8</v>
      </c>
      <c r="I78">
        <v>5.8576877700000001</v>
      </c>
      <c r="J78">
        <v>320.85252022743202</v>
      </c>
      <c r="K78">
        <v>322.81563615798899</v>
      </c>
      <c r="L78">
        <v>322.96539783477698</v>
      </c>
      <c r="M78">
        <v>320.76083278656</v>
      </c>
      <c r="N78">
        <v>325.43552684783901</v>
      </c>
      <c r="O78">
        <f t="shared" si="3"/>
        <v>322.99434840679123</v>
      </c>
      <c r="P78">
        <f t="shared" si="4"/>
        <v>8</v>
      </c>
      <c r="Q78">
        <v>335.16518480000002</v>
      </c>
      <c r="R78">
        <v>315.83481519999998</v>
      </c>
      <c r="T78">
        <f t="shared" si="5"/>
        <v>1</v>
      </c>
    </row>
    <row r="79" spans="1:20" x14ac:dyDescent="0.3">
      <c r="A79" s="1">
        <v>42934</v>
      </c>
      <c r="B79" s="1">
        <v>43025</v>
      </c>
      <c r="C79">
        <v>328.26946329999998</v>
      </c>
      <c r="D79">
        <v>325.8</v>
      </c>
      <c r="E79">
        <v>318.05</v>
      </c>
      <c r="F79">
        <v>7.75</v>
      </c>
      <c r="G79">
        <v>10.21946335</v>
      </c>
      <c r="H79">
        <v>7.75</v>
      </c>
      <c r="I79">
        <v>6.0477347950000002</v>
      </c>
      <c r="J79">
        <v>323.92009954452499</v>
      </c>
      <c r="K79">
        <v>322.441426086425</v>
      </c>
      <c r="L79">
        <v>322.612242984771</v>
      </c>
      <c r="M79">
        <v>319.06129460334699</v>
      </c>
      <c r="N79">
        <v>323.82736330032299</v>
      </c>
      <c r="O79">
        <f t="shared" si="3"/>
        <v>321.98558174371652</v>
      </c>
      <c r="P79">
        <f t="shared" si="4"/>
        <v>7.75</v>
      </c>
      <c r="Q79">
        <v>335.77876240000001</v>
      </c>
      <c r="R79">
        <v>315.82123760000002</v>
      </c>
      <c r="T79">
        <f t="shared" si="5"/>
        <v>1</v>
      </c>
    </row>
    <row r="80" spans="1:20" x14ac:dyDescent="0.3">
      <c r="A80" s="1">
        <v>42935</v>
      </c>
      <c r="B80" s="1">
        <v>43026</v>
      </c>
      <c r="C80">
        <v>326.10159609999999</v>
      </c>
      <c r="D80">
        <v>325.85000009999999</v>
      </c>
      <c r="E80">
        <v>318.7</v>
      </c>
      <c r="F80">
        <v>7.1500000950000002</v>
      </c>
      <c r="G80">
        <v>7.401596069</v>
      </c>
      <c r="H80">
        <v>7.1500000950000002</v>
      </c>
      <c r="I80">
        <v>6.2221468790000003</v>
      </c>
      <c r="J80">
        <v>324.514886569976</v>
      </c>
      <c r="K80">
        <v>321.50956077575597</v>
      </c>
      <c r="L80">
        <v>323.24339504241902</v>
      </c>
      <c r="M80">
        <v>320.754490804672</v>
      </c>
      <c r="N80">
        <v>325.00554056167601</v>
      </c>
      <c r="O80">
        <f t="shared" si="3"/>
        <v>322.62824679613078</v>
      </c>
      <c r="P80">
        <f t="shared" si="4"/>
        <v>7.1500000999999997</v>
      </c>
      <c r="Q80">
        <v>336.11654240000001</v>
      </c>
      <c r="R80">
        <v>315.5834577</v>
      </c>
      <c r="T80">
        <f t="shared" si="5"/>
        <v>1</v>
      </c>
    </row>
    <row r="81" spans="1:20" x14ac:dyDescent="0.3">
      <c r="A81" s="1">
        <v>42936</v>
      </c>
      <c r="B81" s="1">
        <v>43027</v>
      </c>
      <c r="C81">
        <v>328.77517949999998</v>
      </c>
      <c r="D81">
        <v>324.10000000000002</v>
      </c>
      <c r="E81">
        <v>319.60000000000002</v>
      </c>
      <c r="F81">
        <v>4.5</v>
      </c>
      <c r="G81">
        <v>9.1751794820000008</v>
      </c>
      <c r="H81">
        <v>4.5</v>
      </c>
      <c r="I81">
        <v>6.3237336260000001</v>
      </c>
      <c r="J81">
        <v>324.30176315307602</v>
      </c>
      <c r="K81">
        <v>322.22782073020898</v>
      </c>
      <c r="L81">
        <v>318.93157992362899</v>
      </c>
      <c r="M81">
        <v>321.54301199912999</v>
      </c>
      <c r="N81">
        <v>324.633576011657</v>
      </c>
      <c r="O81">
        <f t="shared" si="3"/>
        <v>321.83399716615622</v>
      </c>
      <c r="P81">
        <f t="shared" si="4"/>
        <v>4.5</v>
      </c>
      <c r="Q81">
        <v>334.53416049999998</v>
      </c>
      <c r="R81">
        <v>313.6658395</v>
      </c>
      <c r="T81">
        <f t="shared" si="5"/>
        <v>1</v>
      </c>
    </row>
    <row r="82" spans="1:20" x14ac:dyDescent="0.3">
      <c r="A82" s="1">
        <v>42937</v>
      </c>
      <c r="B82" s="1">
        <v>43028</v>
      </c>
      <c r="C82">
        <v>329.57114280000002</v>
      </c>
      <c r="D82">
        <v>326.25000010000002</v>
      </c>
      <c r="E82">
        <v>321.10000000000002</v>
      </c>
      <c r="F82">
        <v>5.1500000950000002</v>
      </c>
      <c r="G82">
        <v>8.4711427690000001</v>
      </c>
      <c r="H82">
        <v>5.1500000950000002</v>
      </c>
      <c r="I82">
        <v>6.4598730900000003</v>
      </c>
      <c r="J82">
        <v>325.31793031692501</v>
      </c>
      <c r="K82">
        <v>324.20559320449797</v>
      </c>
      <c r="L82">
        <v>320.14366010427398</v>
      </c>
      <c r="M82">
        <v>323.06765232086099</v>
      </c>
      <c r="N82">
        <v>324.10545787811202</v>
      </c>
      <c r="O82">
        <f t="shared" si="3"/>
        <v>322.88059087693625</v>
      </c>
      <c r="P82">
        <f t="shared" si="4"/>
        <v>5.1500000999999997</v>
      </c>
      <c r="Q82">
        <v>336.9087907</v>
      </c>
      <c r="R82">
        <v>315.59120949999999</v>
      </c>
      <c r="T82">
        <f t="shared" si="5"/>
        <v>1</v>
      </c>
    </row>
    <row r="83" spans="1:20" x14ac:dyDescent="0.3">
      <c r="A83" s="1">
        <v>42940</v>
      </c>
      <c r="B83" s="1">
        <v>43031</v>
      </c>
      <c r="C83">
        <v>327.30066440000002</v>
      </c>
      <c r="D83">
        <v>327.0500002</v>
      </c>
      <c r="E83">
        <v>321.25</v>
      </c>
      <c r="F83">
        <v>5.8000001909999996</v>
      </c>
      <c r="G83">
        <v>6.0506644249999999</v>
      </c>
      <c r="H83">
        <v>5.8000001909999996</v>
      </c>
      <c r="I83">
        <v>6.6151943940000004</v>
      </c>
      <c r="J83">
        <v>325.29564952850302</v>
      </c>
      <c r="K83">
        <v>322.15049439668599</v>
      </c>
      <c r="L83">
        <v>319.94732069969098</v>
      </c>
      <c r="M83">
        <v>322.52624511718699</v>
      </c>
      <c r="N83">
        <v>323.38942480087201</v>
      </c>
      <c r="O83">
        <f t="shared" si="3"/>
        <v>322.00337125360898</v>
      </c>
      <c r="P83">
        <f t="shared" si="4"/>
        <v>5.8000001999999995</v>
      </c>
      <c r="Q83">
        <v>337.9650709</v>
      </c>
      <c r="R83">
        <v>316.13492939999998</v>
      </c>
      <c r="T83">
        <f t="shared" si="5"/>
        <v>1</v>
      </c>
    </row>
    <row r="84" spans="1:20" x14ac:dyDescent="0.3">
      <c r="A84" s="1">
        <v>42941</v>
      </c>
      <c r="B84" s="1">
        <v>43032</v>
      </c>
      <c r="C84">
        <v>327.00087819999999</v>
      </c>
      <c r="D84">
        <v>326.55000009999998</v>
      </c>
      <c r="E84">
        <v>319.64999999999998</v>
      </c>
      <c r="F84">
        <v>6.9000000950000002</v>
      </c>
      <c r="G84">
        <v>7.350878239</v>
      </c>
      <c r="H84">
        <v>6.9000000950000002</v>
      </c>
      <c r="I84">
        <v>6.7771174490000003</v>
      </c>
      <c r="J84">
        <v>323.88336648940998</v>
      </c>
      <c r="K84">
        <v>322.57964363098102</v>
      </c>
      <c r="L84">
        <v>321.949414634704</v>
      </c>
      <c r="M84">
        <v>320.01840519309002</v>
      </c>
      <c r="N84">
        <v>323.23990192413299</v>
      </c>
      <c r="O84">
        <f t="shared" si="3"/>
        <v>321.94684134572702</v>
      </c>
      <c r="P84">
        <f t="shared" si="4"/>
        <v>6.9000000999999997</v>
      </c>
      <c r="Q84">
        <v>337.73224390000001</v>
      </c>
      <c r="R84">
        <v>315.3677563</v>
      </c>
      <c r="T84">
        <f t="shared" si="5"/>
        <v>1</v>
      </c>
    </row>
    <row r="85" spans="1:20" x14ac:dyDescent="0.3">
      <c r="A85" s="1">
        <v>42942</v>
      </c>
      <c r="B85" s="1">
        <v>43033</v>
      </c>
      <c r="C85">
        <v>326.07627029999998</v>
      </c>
      <c r="D85">
        <v>326.75000019999999</v>
      </c>
      <c r="E85">
        <v>318.95</v>
      </c>
      <c r="F85">
        <v>7.8000001909999996</v>
      </c>
      <c r="G85">
        <v>7.1262702940000002</v>
      </c>
      <c r="H85">
        <v>7.8000001909999996</v>
      </c>
      <c r="I85">
        <v>6.9492586589999998</v>
      </c>
      <c r="J85">
        <v>323.95859642028802</v>
      </c>
      <c r="K85">
        <v>322.092779827117</v>
      </c>
      <c r="L85">
        <v>321.30781526565499</v>
      </c>
      <c r="M85">
        <v>319.56131441593101</v>
      </c>
      <c r="N85">
        <v>322.978522014617</v>
      </c>
      <c r="O85">
        <f t="shared" si="3"/>
        <v>321.48510788083001</v>
      </c>
      <c r="P85">
        <f t="shared" si="4"/>
        <v>7.8000001999999995</v>
      </c>
      <c r="Q85">
        <v>338.21627699999999</v>
      </c>
      <c r="R85">
        <v>315.28372339999999</v>
      </c>
      <c r="T85">
        <f t="shared" si="5"/>
        <v>1</v>
      </c>
    </row>
    <row r="86" spans="1:20" x14ac:dyDescent="0.3">
      <c r="A86" s="1">
        <v>42943</v>
      </c>
      <c r="B86" s="1">
        <v>43034</v>
      </c>
      <c r="C86">
        <v>321.11893220000002</v>
      </c>
      <c r="D86">
        <v>323.75000010000002</v>
      </c>
      <c r="E86">
        <v>319.85000000000002</v>
      </c>
      <c r="F86">
        <v>3.9000000950000002</v>
      </c>
      <c r="G86">
        <v>1.268932223</v>
      </c>
      <c r="H86">
        <v>3.9000000950000002</v>
      </c>
      <c r="I86">
        <v>7.0238661660000004</v>
      </c>
      <c r="J86">
        <v>321.70039019584601</v>
      </c>
      <c r="K86">
        <v>322.26332888603201</v>
      </c>
      <c r="L86">
        <v>320.13827130794499</v>
      </c>
      <c r="M86">
        <v>323.82956299781802</v>
      </c>
      <c r="N86">
        <v>319.53313995003703</v>
      </c>
      <c r="O86">
        <f t="shared" si="3"/>
        <v>321.441075785458</v>
      </c>
      <c r="P86">
        <f t="shared" si="4"/>
        <v>3.9000000999999997</v>
      </c>
      <c r="Q86">
        <v>335.33937930000002</v>
      </c>
      <c r="R86">
        <v>312.16062090000003</v>
      </c>
      <c r="T86">
        <f t="shared" si="5"/>
        <v>1</v>
      </c>
    </row>
    <row r="87" spans="1:20" x14ac:dyDescent="0.3">
      <c r="A87" s="1">
        <v>42944</v>
      </c>
      <c r="B87" s="1">
        <v>43035</v>
      </c>
      <c r="C87">
        <v>315.03108200000003</v>
      </c>
      <c r="D87">
        <v>326.85000020000001</v>
      </c>
      <c r="E87">
        <v>312.55</v>
      </c>
      <c r="F87">
        <v>14.30000019</v>
      </c>
      <c r="G87">
        <v>2.4810819629999998</v>
      </c>
      <c r="H87">
        <v>14.30000019</v>
      </c>
      <c r="I87">
        <v>7.2219246679999998</v>
      </c>
      <c r="J87">
        <v>314.83873777389499</v>
      </c>
      <c r="K87">
        <v>312.99469860196098</v>
      </c>
      <c r="L87">
        <v>314.11720423698398</v>
      </c>
      <c r="M87">
        <v>314.69702486991798</v>
      </c>
      <c r="N87">
        <v>316.47633104324302</v>
      </c>
      <c r="O87">
        <f t="shared" si="3"/>
        <v>314.57131468802652</v>
      </c>
      <c r="P87">
        <f t="shared" si="4"/>
        <v>14.300000199999999</v>
      </c>
      <c r="Q87">
        <v>338.76617590000001</v>
      </c>
      <c r="R87">
        <v>314.93382450000001</v>
      </c>
      <c r="T87">
        <f t="shared" si="5"/>
        <v>0</v>
      </c>
    </row>
    <row r="88" spans="1:20" x14ac:dyDescent="0.3">
      <c r="A88" s="1">
        <v>42947</v>
      </c>
      <c r="B88" s="1">
        <v>43038</v>
      </c>
      <c r="C88">
        <v>320.09929690000001</v>
      </c>
      <c r="D88">
        <v>327.44999960000001</v>
      </c>
      <c r="E88">
        <v>313.55</v>
      </c>
      <c r="F88">
        <v>13.899999619999999</v>
      </c>
      <c r="G88">
        <v>6.5492968559999998</v>
      </c>
      <c r="H88">
        <v>13.899999619999999</v>
      </c>
      <c r="I88">
        <v>7.4264424099999999</v>
      </c>
      <c r="J88">
        <v>321.39912538528398</v>
      </c>
      <c r="K88">
        <v>318.23444538116399</v>
      </c>
      <c r="L88">
        <v>318.91407852172802</v>
      </c>
      <c r="M88">
        <v>319.64356403350803</v>
      </c>
      <c r="N88">
        <v>322.07475166320802</v>
      </c>
      <c r="O88">
        <f t="shared" si="3"/>
        <v>319.71670989990201</v>
      </c>
      <c r="P88">
        <f t="shared" si="4"/>
        <v>13.899999600000001</v>
      </c>
      <c r="Q88">
        <v>339.7036296</v>
      </c>
      <c r="R88">
        <v>315.19636960000003</v>
      </c>
      <c r="T88">
        <f t="shared" si="5"/>
        <v>1</v>
      </c>
    </row>
    <row r="89" spans="1:20" x14ac:dyDescent="0.3">
      <c r="A89" s="1">
        <v>42948</v>
      </c>
      <c r="B89" s="1">
        <v>43039</v>
      </c>
      <c r="C89">
        <v>323.25830869999999</v>
      </c>
      <c r="D89">
        <v>331.05</v>
      </c>
      <c r="E89">
        <v>316.55</v>
      </c>
      <c r="F89">
        <v>14.5</v>
      </c>
      <c r="G89">
        <v>6.7083086969999997</v>
      </c>
      <c r="H89">
        <v>14.5</v>
      </c>
      <c r="I89">
        <v>7.7248648700000002</v>
      </c>
      <c r="J89">
        <v>324.90825443267801</v>
      </c>
      <c r="K89">
        <v>319.87653164863502</v>
      </c>
      <c r="L89">
        <v>321.11335735321001</v>
      </c>
      <c r="M89">
        <v>322.12822465896602</v>
      </c>
      <c r="N89">
        <v>322.86253862380897</v>
      </c>
      <c r="O89">
        <f t="shared" si="3"/>
        <v>321.49516307115505</v>
      </c>
      <c r="P89">
        <f t="shared" si="4"/>
        <v>14.5</v>
      </c>
      <c r="Q89">
        <v>343.79602699999998</v>
      </c>
      <c r="R89">
        <v>318.30397299999998</v>
      </c>
      <c r="T89">
        <f t="shared" si="5"/>
        <v>1</v>
      </c>
    </row>
    <row r="90" spans="1:20" x14ac:dyDescent="0.3">
      <c r="A90" s="1">
        <v>42949</v>
      </c>
      <c r="B90" s="1">
        <v>43040</v>
      </c>
      <c r="C90">
        <v>322.18113460000001</v>
      </c>
      <c r="D90">
        <v>336.54999959999998</v>
      </c>
      <c r="E90">
        <v>317.14999999999998</v>
      </c>
      <c r="F90">
        <v>19.399999619999999</v>
      </c>
      <c r="G90">
        <v>5.0311346050000001</v>
      </c>
      <c r="H90">
        <v>19.399999619999999</v>
      </c>
      <c r="I90">
        <v>8.2105999000000001</v>
      </c>
      <c r="J90">
        <v>323.251438045501</v>
      </c>
      <c r="K90">
        <v>318.57651093006098</v>
      </c>
      <c r="L90">
        <v>321.29689016342098</v>
      </c>
      <c r="M90">
        <v>320.92295780181797</v>
      </c>
      <c r="N90">
        <v>324.51351346969602</v>
      </c>
      <c r="O90">
        <f t="shared" si="3"/>
        <v>321.32746809124899</v>
      </c>
      <c r="P90">
        <f t="shared" si="4"/>
        <v>19.399999600000001</v>
      </c>
      <c r="Q90">
        <v>350.09748949999999</v>
      </c>
      <c r="R90">
        <v>323.00250979999998</v>
      </c>
      <c r="T90">
        <f t="shared" si="5"/>
        <v>0</v>
      </c>
    </row>
    <row r="91" spans="1:20" x14ac:dyDescent="0.3">
      <c r="A91" s="1">
        <v>42950</v>
      </c>
      <c r="B91" s="1">
        <v>43041</v>
      </c>
      <c r="C91">
        <v>317.60284840000003</v>
      </c>
      <c r="D91">
        <v>335.04999959999998</v>
      </c>
      <c r="E91">
        <v>311.64999999999998</v>
      </c>
      <c r="F91">
        <v>23.399999619999999</v>
      </c>
      <c r="G91">
        <v>5.9528484339999999</v>
      </c>
      <c r="H91">
        <v>23.399999619999999</v>
      </c>
      <c r="I91">
        <v>8.5994302559999998</v>
      </c>
      <c r="J91">
        <v>321.56893196105898</v>
      </c>
      <c r="K91">
        <v>314.32973017692501</v>
      </c>
      <c r="L91">
        <v>317.690040493011</v>
      </c>
      <c r="M91">
        <v>318.94206991195603</v>
      </c>
      <c r="N91">
        <v>319.15243902206402</v>
      </c>
      <c r="O91">
        <f t="shared" si="3"/>
        <v>317.528569900989</v>
      </c>
      <c r="P91">
        <f t="shared" si="4"/>
        <v>23.399999600000001</v>
      </c>
      <c r="Q91">
        <v>349.2390595</v>
      </c>
      <c r="R91">
        <v>320.86093970000002</v>
      </c>
      <c r="T91">
        <f t="shared" si="5"/>
        <v>0</v>
      </c>
    </row>
    <row r="92" spans="1:20" x14ac:dyDescent="0.3">
      <c r="A92" s="1">
        <v>42951</v>
      </c>
      <c r="B92" s="1">
        <v>43042</v>
      </c>
      <c r="C92">
        <v>318.70292389999997</v>
      </c>
      <c r="D92">
        <v>336.35</v>
      </c>
      <c r="E92">
        <v>312.85000000000002</v>
      </c>
      <c r="F92">
        <v>23.5</v>
      </c>
      <c r="G92">
        <v>5.8529238699999997</v>
      </c>
      <c r="H92">
        <v>23.5</v>
      </c>
      <c r="I92">
        <v>9.0092958799999998</v>
      </c>
      <c r="J92">
        <v>321.21539649963302</v>
      </c>
      <c r="K92">
        <v>316.60725674629202</v>
      </c>
      <c r="L92">
        <v>317.91724023818898</v>
      </c>
      <c r="M92">
        <v>317.30387411117499</v>
      </c>
      <c r="N92">
        <v>318.96199808120701</v>
      </c>
      <c r="O92">
        <f t="shared" si="3"/>
        <v>317.69759229421572</v>
      </c>
      <c r="P92">
        <f t="shared" si="4"/>
        <v>23.5</v>
      </c>
      <c r="Q92">
        <v>351.21533820000002</v>
      </c>
      <c r="R92">
        <v>321.48466180000003</v>
      </c>
      <c r="T92">
        <f t="shared" si="5"/>
        <v>0</v>
      </c>
    </row>
    <row r="93" spans="1:20" x14ac:dyDescent="0.3">
      <c r="A93" s="1">
        <v>42954</v>
      </c>
      <c r="B93" s="1">
        <v>43045</v>
      </c>
      <c r="C93">
        <v>321.7802719</v>
      </c>
      <c r="D93">
        <v>334.15</v>
      </c>
      <c r="E93">
        <v>312.89999999999998</v>
      </c>
      <c r="F93">
        <v>21.25</v>
      </c>
      <c r="G93">
        <v>8.8802719119999995</v>
      </c>
      <c r="H93">
        <v>21.25</v>
      </c>
      <c r="I93">
        <v>9.3140300759999999</v>
      </c>
      <c r="J93">
        <v>322.54046859741197</v>
      </c>
      <c r="K93">
        <v>316.73644199371302</v>
      </c>
      <c r="L93">
        <v>320.11234750747599</v>
      </c>
      <c r="M93">
        <v>318.54070415496801</v>
      </c>
      <c r="N93">
        <v>320.09352006912201</v>
      </c>
      <c r="O93">
        <f t="shared" si="3"/>
        <v>318.87075343131977</v>
      </c>
      <c r="P93">
        <f t="shared" si="4"/>
        <v>21.25</v>
      </c>
      <c r="Q93">
        <v>349.51814960000002</v>
      </c>
      <c r="R93">
        <v>318.7818504</v>
      </c>
      <c r="T93">
        <f t="shared" si="5"/>
        <v>1</v>
      </c>
    </row>
    <row r="94" spans="1:20" x14ac:dyDescent="0.3">
      <c r="A94" s="1">
        <v>42955</v>
      </c>
      <c r="B94" s="1">
        <v>43046</v>
      </c>
      <c r="C94">
        <v>321.19140870000001</v>
      </c>
      <c r="D94">
        <v>333.74999960000002</v>
      </c>
      <c r="E94">
        <v>312.85000000000002</v>
      </c>
      <c r="F94">
        <v>20.899999619999999</v>
      </c>
      <c r="G94">
        <v>8.3414087299999995</v>
      </c>
      <c r="H94">
        <v>20.899999619999999</v>
      </c>
      <c r="I94">
        <v>9.5856255059999995</v>
      </c>
      <c r="J94">
        <v>321.783966636657</v>
      </c>
      <c r="K94">
        <v>318.37377843856802</v>
      </c>
      <c r="L94">
        <v>320.68792829513501</v>
      </c>
      <c r="M94">
        <v>317.9100399971</v>
      </c>
      <c r="N94">
        <v>319.83431110382003</v>
      </c>
      <c r="O94">
        <f t="shared" si="3"/>
        <v>319.20151445865577</v>
      </c>
      <c r="P94">
        <f t="shared" si="4"/>
        <v>20.899999600000001</v>
      </c>
      <c r="Q94">
        <v>349.56628169999999</v>
      </c>
      <c r="R94">
        <v>317.9337175</v>
      </c>
      <c r="T94">
        <f t="shared" si="5"/>
        <v>1</v>
      </c>
    </row>
    <row r="95" spans="1:20" x14ac:dyDescent="0.3">
      <c r="A95" s="1">
        <v>42956</v>
      </c>
      <c r="B95" s="1">
        <v>43047</v>
      </c>
      <c r="C95">
        <v>317.58142989999999</v>
      </c>
      <c r="D95">
        <v>335.25000039999998</v>
      </c>
      <c r="E95">
        <v>308.64999999999998</v>
      </c>
      <c r="F95">
        <v>26.600000380000001</v>
      </c>
      <c r="G95">
        <v>8.931429863</v>
      </c>
      <c r="H95">
        <v>26.600000380000001</v>
      </c>
      <c r="I95">
        <v>9.8484155310000006</v>
      </c>
      <c r="J95">
        <v>320.91407814025803</v>
      </c>
      <c r="K95">
        <v>315.659473323822</v>
      </c>
      <c r="L95">
        <v>319.162822151184</v>
      </c>
      <c r="M95">
        <v>318.86525478363001</v>
      </c>
      <c r="N95">
        <v>317.94063606262199</v>
      </c>
      <c r="O95">
        <f t="shared" si="3"/>
        <v>317.9070465803145</v>
      </c>
      <c r="P95">
        <f t="shared" si="4"/>
        <v>26.600000399999999</v>
      </c>
      <c r="Q95">
        <v>351.499886</v>
      </c>
      <c r="R95">
        <v>319.00011480000001</v>
      </c>
      <c r="T95">
        <f t="shared" si="5"/>
        <v>0</v>
      </c>
    </row>
    <row r="96" spans="1:20" x14ac:dyDescent="0.3">
      <c r="A96" s="1">
        <v>42957</v>
      </c>
      <c r="B96" s="1">
        <v>43048</v>
      </c>
      <c r="C96">
        <v>313.09884360000001</v>
      </c>
      <c r="D96">
        <v>333.6499996</v>
      </c>
      <c r="E96">
        <v>307.25</v>
      </c>
      <c r="F96">
        <v>26.399999619999999</v>
      </c>
      <c r="G96">
        <v>5.8488435750000001</v>
      </c>
      <c r="H96">
        <v>26.399999619999999</v>
      </c>
      <c r="I96">
        <v>10.0242763</v>
      </c>
      <c r="J96">
        <v>317.81280326843199</v>
      </c>
      <c r="K96">
        <v>316.77587127685501</v>
      </c>
      <c r="L96">
        <v>317.171075820922</v>
      </c>
      <c r="M96">
        <v>318.18810749053898</v>
      </c>
      <c r="N96">
        <v>316.74306869506802</v>
      </c>
      <c r="O96">
        <f t="shared" si="3"/>
        <v>317.21953082084599</v>
      </c>
      <c r="P96">
        <f t="shared" si="4"/>
        <v>26.399999600000001</v>
      </c>
      <c r="Q96">
        <v>350.19005550000003</v>
      </c>
      <c r="R96">
        <v>317.10994369999997</v>
      </c>
      <c r="T96">
        <f t="shared" si="5"/>
        <v>1</v>
      </c>
    </row>
    <row r="97" spans="1:20" x14ac:dyDescent="0.3">
      <c r="A97" s="1">
        <v>42958</v>
      </c>
      <c r="B97" s="1">
        <v>43049</v>
      </c>
      <c r="C97">
        <v>312.24792669999999</v>
      </c>
      <c r="D97">
        <v>332.8999996</v>
      </c>
      <c r="E97">
        <v>301.5</v>
      </c>
      <c r="F97">
        <v>31.399999619999999</v>
      </c>
      <c r="G97">
        <v>10.74792671</v>
      </c>
      <c r="H97">
        <v>31.399999619999999</v>
      </c>
      <c r="I97">
        <v>10.05074624</v>
      </c>
      <c r="J97">
        <v>321.83598327636702</v>
      </c>
      <c r="K97">
        <v>311.17182540893498</v>
      </c>
      <c r="L97">
        <v>315.699951171875</v>
      </c>
      <c r="M97">
        <v>319.853887557983</v>
      </c>
      <c r="N97">
        <v>313.86404895782402</v>
      </c>
      <c r="O97">
        <f t="shared" si="3"/>
        <v>315.14742827415427</v>
      </c>
      <c r="P97">
        <f t="shared" si="4"/>
        <v>31.399999600000001</v>
      </c>
      <c r="Q97">
        <v>349.48373090000001</v>
      </c>
      <c r="R97">
        <v>316.31626829999999</v>
      </c>
      <c r="T97">
        <f t="shared" si="5"/>
        <v>0</v>
      </c>
    </row>
    <row r="98" spans="1:20" x14ac:dyDescent="0.3">
      <c r="A98" s="1">
        <v>42961</v>
      </c>
      <c r="B98" s="1">
        <v>43052</v>
      </c>
      <c r="C98">
        <v>321.01823009999998</v>
      </c>
      <c r="D98">
        <v>331.55000080000002</v>
      </c>
      <c r="E98">
        <v>304.60000000000002</v>
      </c>
      <c r="F98">
        <v>26.950000760000002</v>
      </c>
      <c r="G98">
        <v>16.418230059999999</v>
      </c>
      <c r="H98">
        <v>26.950000760000002</v>
      </c>
      <c r="I98">
        <v>10.091207969999999</v>
      </c>
      <c r="J98">
        <v>318.16703376769999</v>
      </c>
      <c r="K98">
        <v>315.50464782714801</v>
      </c>
      <c r="L98">
        <v>321.823466873168</v>
      </c>
      <c r="M98">
        <v>323.39640388488698</v>
      </c>
      <c r="N98">
        <v>320.36823520660403</v>
      </c>
      <c r="O98">
        <f t="shared" si="3"/>
        <v>320.27318844795172</v>
      </c>
      <c r="P98">
        <f t="shared" si="4"/>
        <v>26.950000799999998</v>
      </c>
      <c r="Q98">
        <v>348.20049390000003</v>
      </c>
      <c r="R98">
        <v>314.89950759999999</v>
      </c>
      <c r="T98">
        <f t="shared" si="5"/>
        <v>1</v>
      </c>
    </row>
    <row r="99" spans="1:20" x14ac:dyDescent="0.3">
      <c r="A99" s="1">
        <v>42962</v>
      </c>
      <c r="B99" s="1">
        <v>43053</v>
      </c>
      <c r="C99">
        <v>318.50883449999998</v>
      </c>
      <c r="D99">
        <v>331.30000080000002</v>
      </c>
      <c r="E99">
        <v>304.60000000000002</v>
      </c>
      <c r="F99">
        <v>26.700000760000002</v>
      </c>
      <c r="G99">
        <v>13.90883446</v>
      </c>
      <c r="H99">
        <v>26.700000760000002</v>
      </c>
      <c r="I99">
        <v>10.108969269999999</v>
      </c>
      <c r="J99">
        <v>319.02696762084901</v>
      </c>
      <c r="K99">
        <v>315.914826011657</v>
      </c>
      <c r="L99">
        <v>320.39281711578298</v>
      </c>
      <c r="M99">
        <v>323.42431411743098</v>
      </c>
      <c r="N99">
        <v>321.982957458496</v>
      </c>
      <c r="O99">
        <f t="shared" si="3"/>
        <v>320.42872867584174</v>
      </c>
      <c r="P99">
        <f t="shared" si="4"/>
        <v>26.700000799999998</v>
      </c>
      <c r="Q99">
        <v>347.97980009999998</v>
      </c>
      <c r="R99">
        <v>314.62020150000001</v>
      </c>
      <c r="T99">
        <f t="shared" si="5"/>
        <v>1</v>
      </c>
    </row>
    <row r="100" spans="1:20" x14ac:dyDescent="0.3">
      <c r="A100" s="1">
        <v>42963</v>
      </c>
      <c r="B100" s="1">
        <v>43054</v>
      </c>
      <c r="C100">
        <v>319.4290962</v>
      </c>
      <c r="D100">
        <v>329.1499996</v>
      </c>
      <c r="E100">
        <v>306.25</v>
      </c>
      <c r="F100">
        <v>22.899999619999999</v>
      </c>
      <c r="G100">
        <v>13.17909622</v>
      </c>
      <c r="H100">
        <v>22.899999619999999</v>
      </c>
      <c r="I100">
        <v>10.10183318</v>
      </c>
      <c r="J100">
        <v>320.63966274261401</v>
      </c>
      <c r="K100">
        <v>314.139613628387</v>
      </c>
      <c r="L100">
        <v>318.31545639038001</v>
      </c>
      <c r="M100">
        <v>322.91553497314402</v>
      </c>
      <c r="N100">
        <v>323.130729675292</v>
      </c>
      <c r="O100">
        <f t="shared" si="3"/>
        <v>319.62533366680077</v>
      </c>
      <c r="P100">
        <f t="shared" si="4"/>
        <v>22.899999600000001</v>
      </c>
      <c r="Q100">
        <v>345.81802440000001</v>
      </c>
      <c r="R100">
        <v>312.48197490000001</v>
      </c>
      <c r="T100">
        <f t="shared" si="5"/>
        <v>1</v>
      </c>
    </row>
    <row r="101" spans="1:20" x14ac:dyDescent="0.3">
      <c r="A101" s="1">
        <v>42964</v>
      </c>
      <c r="B101" s="1">
        <v>43055</v>
      </c>
      <c r="C101">
        <v>322.8064703</v>
      </c>
      <c r="D101">
        <v>331.29999959999998</v>
      </c>
      <c r="E101">
        <v>307.89999999999998</v>
      </c>
      <c r="F101">
        <v>23.399999619999999</v>
      </c>
      <c r="G101">
        <v>14.906470300000001</v>
      </c>
      <c r="H101">
        <v>23.399999619999999</v>
      </c>
      <c r="I101">
        <v>10.1503003</v>
      </c>
      <c r="J101">
        <v>322.62300720214802</v>
      </c>
      <c r="K101">
        <v>317.521501922607</v>
      </c>
      <c r="L101">
        <v>320.98258342742901</v>
      </c>
      <c r="M101">
        <v>324.96767845153801</v>
      </c>
      <c r="N101">
        <v>322.99950923919602</v>
      </c>
      <c r="O101">
        <f t="shared" si="3"/>
        <v>321.61781826019251</v>
      </c>
      <c r="P101">
        <f t="shared" si="4"/>
        <v>23.399999600000001</v>
      </c>
      <c r="Q101">
        <v>348.04799509999998</v>
      </c>
      <c r="R101">
        <v>314.55200409999998</v>
      </c>
      <c r="T101">
        <f t="shared" si="5"/>
        <v>1</v>
      </c>
    </row>
    <row r="102" spans="1:20" x14ac:dyDescent="0.3">
      <c r="A102" s="1">
        <v>42965</v>
      </c>
      <c r="B102" s="1">
        <v>43056</v>
      </c>
      <c r="C102">
        <v>321.7014332</v>
      </c>
      <c r="D102">
        <v>330.9500008</v>
      </c>
      <c r="E102">
        <v>307.75</v>
      </c>
      <c r="F102">
        <v>23.200000760000002</v>
      </c>
      <c r="G102">
        <v>13.95143318</v>
      </c>
      <c r="H102">
        <v>23.200000760000002</v>
      </c>
      <c r="I102">
        <v>10.17647457</v>
      </c>
      <c r="J102">
        <v>322.23440933227499</v>
      </c>
      <c r="K102">
        <v>317.97119522094698</v>
      </c>
      <c r="L102">
        <v>320.16572856903002</v>
      </c>
      <c r="M102">
        <v>325.10681915283197</v>
      </c>
      <c r="N102">
        <v>323.92161178588799</v>
      </c>
      <c r="O102">
        <f t="shared" si="3"/>
        <v>321.79133868217423</v>
      </c>
      <c r="P102">
        <f t="shared" si="4"/>
        <v>23.200000799999998</v>
      </c>
      <c r="Q102">
        <v>347.74118379999999</v>
      </c>
      <c r="R102">
        <v>314.15881769999999</v>
      </c>
      <c r="T102">
        <f t="shared" si="5"/>
        <v>1</v>
      </c>
    </row>
    <row r="103" spans="1:20" x14ac:dyDescent="0.3">
      <c r="A103" s="1">
        <v>42968</v>
      </c>
      <c r="B103" s="1">
        <v>43059</v>
      </c>
      <c r="C103">
        <v>322.44594749999999</v>
      </c>
      <c r="D103">
        <v>329.44999960000001</v>
      </c>
      <c r="E103">
        <v>307.05</v>
      </c>
      <c r="F103">
        <v>22.399999619999999</v>
      </c>
      <c r="G103">
        <v>15.39594746</v>
      </c>
      <c r="H103">
        <v>22.399999619999999</v>
      </c>
      <c r="I103">
        <v>10.15178745</v>
      </c>
      <c r="J103">
        <v>321.42979698181102</v>
      </c>
      <c r="K103">
        <v>317.036967086792</v>
      </c>
      <c r="L103">
        <v>321.402263450622</v>
      </c>
      <c r="M103">
        <v>321.261970329284</v>
      </c>
      <c r="N103">
        <v>323.348114776611</v>
      </c>
      <c r="O103">
        <f t="shared" si="3"/>
        <v>320.76232891082725</v>
      </c>
      <c r="P103">
        <f t="shared" si="4"/>
        <v>22.399999600000001</v>
      </c>
      <c r="Q103">
        <v>346.20044890000003</v>
      </c>
      <c r="R103">
        <v>312.6995503</v>
      </c>
      <c r="T103">
        <f t="shared" si="5"/>
        <v>1</v>
      </c>
    </row>
    <row r="104" spans="1:20" x14ac:dyDescent="0.3">
      <c r="A104" s="1">
        <v>42969</v>
      </c>
      <c r="B104" s="1">
        <v>43060</v>
      </c>
      <c r="C104">
        <v>320.63680099999999</v>
      </c>
      <c r="D104">
        <v>330.84999959999999</v>
      </c>
      <c r="E104">
        <v>308.7</v>
      </c>
      <c r="F104">
        <v>22.149999619999999</v>
      </c>
      <c r="G104">
        <v>11.936800959999999</v>
      </c>
      <c r="H104">
        <v>22.149999619999999</v>
      </c>
      <c r="I104">
        <v>10.16764092</v>
      </c>
      <c r="J104">
        <v>320.13664932250902</v>
      </c>
      <c r="K104">
        <v>317.88075561523402</v>
      </c>
      <c r="L104">
        <v>321.60185070037801</v>
      </c>
      <c r="M104">
        <v>321.56202430725</v>
      </c>
      <c r="N104">
        <v>323.27214736938402</v>
      </c>
      <c r="O104">
        <f t="shared" si="3"/>
        <v>321.0791944980615</v>
      </c>
      <c r="P104">
        <f t="shared" si="4"/>
        <v>22.149999600000001</v>
      </c>
      <c r="Q104">
        <v>347.6266071</v>
      </c>
      <c r="R104">
        <v>314.07339209999998</v>
      </c>
      <c r="T104">
        <f t="shared" si="5"/>
        <v>1</v>
      </c>
    </row>
    <row r="105" spans="1:20" x14ac:dyDescent="0.3">
      <c r="A105" s="1">
        <v>42970</v>
      </c>
      <c r="B105" s="1">
        <v>43061</v>
      </c>
      <c r="C105">
        <v>322.20547920000001</v>
      </c>
      <c r="D105">
        <v>332.55000080000002</v>
      </c>
      <c r="E105">
        <v>308.60000000000002</v>
      </c>
      <c r="F105">
        <v>23.950000760000002</v>
      </c>
      <c r="G105">
        <v>13.605479239999999</v>
      </c>
      <c r="H105">
        <v>23.950000760000002</v>
      </c>
      <c r="I105">
        <v>10.20110659</v>
      </c>
      <c r="J105">
        <v>318.97970638275098</v>
      </c>
      <c r="K105">
        <v>317.39638290405202</v>
      </c>
      <c r="L105">
        <v>320.47000942230198</v>
      </c>
      <c r="M105">
        <v>320.87239513397202</v>
      </c>
      <c r="N105">
        <v>322.27384815215999</v>
      </c>
      <c r="O105">
        <f t="shared" si="3"/>
        <v>320.25315890312152</v>
      </c>
      <c r="P105">
        <f t="shared" si="4"/>
        <v>23.950000799999998</v>
      </c>
      <c r="Q105">
        <v>349.38182660000001</v>
      </c>
      <c r="R105">
        <v>315.71817490000001</v>
      </c>
      <c r="T105">
        <f t="shared" si="5"/>
        <v>1</v>
      </c>
    </row>
    <row r="106" spans="1:20" x14ac:dyDescent="0.3">
      <c r="A106" s="1">
        <v>42971</v>
      </c>
      <c r="B106" s="1">
        <v>43062</v>
      </c>
      <c r="C106">
        <v>322.85726410000001</v>
      </c>
      <c r="D106">
        <v>331.45000040000002</v>
      </c>
      <c r="E106">
        <v>310.10000000000002</v>
      </c>
      <c r="F106">
        <v>21.350000380000001</v>
      </c>
      <c r="G106">
        <v>12.75726414</v>
      </c>
      <c r="H106">
        <v>21.350000380000001</v>
      </c>
      <c r="I106">
        <v>10.226004980000001</v>
      </c>
      <c r="J106">
        <v>321.832565879821</v>
      </c>
      <c r="K106">
        <v>321.25266513824403</v>
      </c>
      <c r="L106">
        <v>324.99201068878102</v>
      </c>
      <c r="M106">
        <v>322.19261417388901</v>
      </c>
      <c r="N106">
        <v>318.88660392761199</v>
      </c>
      <c r="O106">
        <f t="shared" si="3"/>
        <v>321.83097348213153</v>
      </c>
      <c r="P106">
        <f t="shared" si="4"/>
        <v>21.350000399999999</v>
      </c>
      <c r="Q106">
        <v>348.32290860000001</v>
      </c>
      <c r="R106">
        <v>314.57709219999998</v>
      </c>
      <c r="T106">
        <f t="shared" si="5"/>
        <v>1</v>
      </c>
    </row>
    <row r="107" spans="1:20" x14ac:dyDescent="0.3">
      <c r="A107" s="1">
        <v>42972</v>
      </c>
      <c r="B107" s="1">
        <v>43063</v>
      </c>
      <c r="C107">
        <v>318.13224079999998</v>
      </c>
      <c r="D107">
        <v>332.25</v>
      </c>
      <c r="E107">
        <v>310.25</v>
      </c>
      <c r="F107">
        <v>22</v>
      </c>
      <c r="G107">
        <v>7.8822407720000003</v>
      </c>
      <c r="H107">
        <v>22</v>
      </c>
      <c r="I107">
        <v>10.256343019999999</v>
      </c>
      <c r="J107">
        <v>316.76521635055502</v>
      </c>
      <c r="K107">
        <v>314.17111349105801</v>
      </c>
      <c r="L107">
        <v>319.49000930786099</v>
      </c>
      <c r="M107">
        <v>319.56999111175497</v>
      </c>
      <c r="N107">
        <v>318.25879383087101</v>
      </c>
      <c r="O107">
        <f t="shared" si="3"/>
        <v>317.8724769353862</v>
      </c>
      <c r="P107">
        <f t="shared" si="4"/>
        <v>22</v>
      </c>
      <c r="Q107">
        <v>349.17296599999997</v>
      </c>
      <c r="R107">
        <v>315.32703400000003</v>
      </c>
      <c r="T107">
        <f t="shared" si="5"/>
        <v>1</v>
      </c>
    </row>
    <row r="108" spans="1:20" x14ac:dyDescent="0.3">
      <c r="A108" s="1">
        <v>42975</v>
      </c>
      <c r="B108" s="1">
        <v>43066</v>
      </c>
      <c r="C108">
        <v>320.14385809999999</v>
      </c>
      <c r="D108">
        <v>325.90000079999999</v>
      </c>
      <c r="E108">
        <v>308.2</v>
      </c>
      <c r="F108">
        <v>17.700000760000002</v>
      </c>
      <c r="G108">
        <v>11.943858150000001</v>
      </c>
      <c r="H108">
        <v>17.700000760000002</v>
      </c>
      <c r="I108">
        <v>10.15876327</v>
      </c>
      <c r="J108">
        <v>316.85198421478202</v>
      </c>
      <c r="K108">
        <v>315.95998306274402</v>
      </c>
      <c r="L108">
        <v>319.095218849182</v>
      </c>
      <c r="M108">
        <v>319.77582092285098</v>
      </c>
      <c r="N108">
        <v>319.71749134063703</v>
      </c>
      <c r="O108">
        <f t="shared" si="3"/>
        <v>318.63712854385352</v>
      </c>
      <c r="P108">
        <f t="shared" si="4"/>
        <v>17.700000799999998</v>
      </c>
      <c r="Q108">
        <v>342.66196020000001</v>
      </c>
      <c r="R108">
        <v>309.13804140000002</v>
      </c>
      <c r="T108">
        <f t="shared" si="5"/>
        <v>1</v>
      </c>
    </row>
    <row r="109" spans="1:20" x14ac:dyDescent="0.3">
      <c r="A109" s="1">
        <v>42976</v>
      </c>
      <c r="B109" s="1">
        <v>43067</v>
      </c>
      <c r="C109">
        <v>318.78993259999999</v>
      </c>
      <c r="D109">
        <v>327.69999919999998</v>
      </c>
      <c r="E109">
        <v>307.14999999999998</v>
      </c>
      <c r="F109">
        <v>20.549999239999998</v>
      </c>
      <c r="G109">
        <v>11.639932630000001</v>
      </c>
      <c r="H109">
        <v>20.549999239999998</v>
      </c>
      <c r="I109">
        <v>10.04686405</v>
      </c>
      <c r="J109">
        <v>318.20112838745098</v>
      </c>
      <c r="K109">
        <v>315.91512718200602</v>
      </c>
      <c r="L109">
        <v>319.51379814147901</v>
      </c>
      <c r="M109">
        <v>320.14933624267502</v>
      </c>
      <c r="N109">
        <v>319.98509540557802</v>
      </c>
      <c r="O109">
        <f t="shared" si="3"/>
        <v>318.89083924293453</v>
      </c>
      <c r="P109">
        <f t="shared" si="4"/>
        <v>20.549999200000002</v>
      </c>
      <c r="Q109">
        <v>344.2773249</v>
      </c>
      <c r="R109">
        <v>311.12267359999998</v>
      </c>
      <c r="T109">
        <f t="shared" si="5"/>
        <v>1</v>
      </c>
    </row>
    <row r="110" spans="1:20" x14ac:dyDescent="0.3">
      <c r="A110" s="1">
        <v>42977</v>
      </c>
      <c r="B110" s="1">
        <v>43068</v>
      </c>
      <c r="C110">
        <v>320.14284900000001</v>
      </c>
      <c r="D110">
        <v>327.7000008</v>
      </c>
      <c r="E110">
        <v>309</v>
      </c>
      <c r="F110">
        <v>18.700000760000002</v>
      </c>
      <c r="G110">
        <v>11.142848969999999</v>
      </c>
      <c r="H110">
        <v>18.700000760000002</v>
      </c>
      <c r="I110">
        <v>9.962235604</v>
      </c>
      <c r="J110">
        <v>319.65632057189902</v>
      </c>
      <c r="K110">
        <v>317.56263446807799</v>
      </c>
      <c r="L110">
        <v>318.91280269622803</v>
      </c>
      <c r="M110">
        <v>317.33906745910599</v>
      </c>
      <c r="N110">
        <v>316.84663677215502</v>
      </c>
      <c r="O110">
        <f t="shared" si="3"/>
        <v>317.66528534889176</v>
      </c>
      <c r="P110">
        <f t="shared" si="4"/>
        <v>18.700000799999998</v>
      </c>
      <c r="Q110">
        <v>344.13768950000002</v>
      </c>
      <c r="R110">
        <v>311.26231200000001</v>
      </c>
      <c r="T110">
        <f t="shared" si="5"/>
        <v>1</v>
      </c>
    </row>
    <row r="111" spans="1:20" x14ac:dyDescent="0.3">
      <c r="A111" s="1">
        <v>42978</v>
      </c>
      <c r="B111" s="1">
        <v>43069</v>
      </c>
      <c r="C111">
        <v>321.20715749999999</v>
      </c>
      <c r="D111">
        <v>322.25000039999998</v>
      </c>
      <c r="E111">
        <v>306.64999999999998</v>
      </c>
      <c r="F111">
        <v>15.600000380000001</v>
      </c>
      <c r="G111">
        <v>14.557157520000001</v>
      </c>
      <c r="H111">
        <v>15.600000380000001</v>
      </c>
      <c r="I111">
        <v>9.7879332970000004</v>
      </c>
      <c r="J111">
        <v>321.65995254516599</v>
      </c>
      <c r="K111">
        <v>323.04291954040502</v>
      </c>
      <c r="L111">
        <v>321.50714626312202</v>
      </c>
      <c r="M111">
        <v>315.772954368591</v>
      </c>
      <c r="N111">
        <v>320.35545673370302</v>
      </c>
      <c r="O111">
        <f t="shared" si="3"/>
        <v>320.16961922645527</v>
      </c>
      <c r="P111">
        <f t="shared" si="4"/>
        <v>15.600000399999999</v>
      </c>
      <c r="Q111">
        <v>338.40009029999999</v>
      </c>
      <c r="R111">
        <v>306.0999104</v>
      </c>
      <c r="T111">
        <f t="shared" si="5"/>
        <v>1</v>
      </c>
    </row>
    <row r="112" spans="1:20" x14ac:dyDescent="0.3">
      <c r="A112" s="1">
        <v>42979</v>
      </c>
      <c r="B112" s="1">
        <v>43070</v>
      </c>
      <c r="C112">
        <v>321.04066349999999</v>
      </c>
      <c r="D112">
        <v>321.85000020000001</v>
      </c>
      <c r="E112">
        <v>306.3</v>
      </c>
      <c r="F112">
        <v>15.55000019</v>
      </c>
      <c r="G112">
        <v>14.740663530000001</v>
      </c>
      <c r="H112">
        <v>15.55000019</v>
      </c>
      <c r="I112">
        <v>9.5954941100000006</v>
      </c>
      <c r="J112">
        <v>321.38126831054598</v>
      </c>
      <c r="K112">
        <v>323.05962066650301</v>
      </c>
      <c r="L112">
        <v>320.93127136230402</v>
      </c>
      <c r="M112">
        <v>317.39146976470897</v>
      </c>
      <c r="N112">
        <v>320.615464019775</v>
      </c>
      <c r="O112">
        <f t="shared" si="3"/>
        <v>320.49945645332275</v>
      </c>
      <c r="P112">
        <f t="shared" si="4"/>
        <v>15.550000199999999</v>
      </c>
      <c r="Q112">
        <v>337.68256550000001</v>
      </c>
      <c r="R112">
        <v>306.01743490000001</v>
      </c>
      <c r="T112">
        <f t="shared" si="5"/>
        <v>1</v>
      </c>
    </row>
    <row r="113" spans="1:20" x14ac:dyDescent="0.3">
      <c r="A113" s="1">
        <v>42982</v>
      </c>
      <c r="B113" s="1">
        <v>43073</v>
      </c>
      <c r="C113">
        <v>319.77244760000002</v>
      </c>
      <c r="D113">
        <v>325</v>
      </c>
      <c r="E113">
        <v>303.5</v>
      </c>
      <c r="F113">
        <v>21.5</v>
      </c>
      <c r="G113">
        <v>16.272447589999999</v>
      </c>
      <c r="H113">
        <v>21.5</v>
      </c>
      <c r="I113">
        <v>9.3189154460000001</v>
      </c>
      <c r="J113">
        <v>321.61282157897898</v>
      </c>
      <c r="K113">
        <v>319.71043014526299</v>
      </c>
      <c r="L113">
        <v>322.20978546142499</v>
      </c>
      <c r="M113">
        <v>313.52534294128401</v>
      </c>
      <c r="N113">
        <v>319.320183753967</v>
      </c>
      <c r="O113">
        <f t="shared" si="3"/>
        <v>318.69143557548477</v>
      </c>
      <c r="P113">
        <f t="shared" si="4"/>
        <v>21.5</v>
      </c>
      <c r="Q113">
        <v>340.37621050000001</v>
      </c>
      <c r="R113">
        <v>309.62378949999999</v>
      </c>
      <c r="T113">
        <f t="shared" si="5"/>
        <v>1</v>
      </c>
    </row>
    <row r="114" spans="1:20" x14ac:dyDescent="0.3">
      <c r="A114" s="1">
        <v>42983</v>
      </c>
      <c r="B114" s="1">
        <v>43074</v>
      </c>
      <c r="C114">
        <v>318.22167990000003</v>
      </c>
      <c r="D114">
        <v>326.59999959999999</v>
      </c>
      <c r="E114">
        <v>302.7</v>
      </c>
      <c r="F114">
        <v>23.899999619999999</v>
      </c>
      <c r="G114">
        <v>15.521679880000001</v>
      </c>
      <c r="H114">
        <v>23.899999619999999</v>
      </c>
      <c r="I114">
        <v>9.0036003749999995</v>
      </c>
      <c r="J114">
        <v>318.850611877441</v>
      </c>
      <c r="K114">
        <v>319.16759223937902</v>
      </c>
      <c r="L114">
        <v>319.93893928527802</v>
      </c>
      <c r="M114">
        <v>312.57002944946203</v>
      </c>
      <c r="N114">
        <v>317.25269241333001</v>
      </c>
      <c r="O114">
        <f t="shared" si="3"/>
        <v>317.23231334686227</v>
      </c>
      <c r="P114">
        <f t="shared" si="4"/>
        <v>23.899999600000001</v>
      </c>
      <c r="Q114">
        <v>341.45594019999999</v>
      </c>
      <c r="R114">
        <v>311.74405899999999</v>
      </c>
      <c r="T114">
        <f t="shared" si="5"/>
        <v>1</v>
      </c>
    </row>
    <row r="115" spans="1:20" x14ac:dyDescent="0.3">
      <c r="A115" s="1">
        <v>42984</v>
      </c>
      <c r="B115" s="1">
        <v>43075</v>
      </c>
      <c r="C115">
        <v>314.89873390000002</v>
      </c>
      <c r="D115">
        <v>321.65000040000001</v>
      </c>
      <c r="E115">
        <v>302.3</v>
      </c>
      <c r="F115">
        <v>19.350000380000001</v>
      </c>
      <c r="G115">
        <v>12.598733899999999</v>
      </c>
      <c r="H115">
        <v>19.350000380000001</v>
      </c>
      <c r="I115">
        <v>8.635312119</v>
      </c>
      <c r="J115">
        <v>317.56343345642</v>
      </c>
      <c r="K115">
        <v>316.69414882659902</v>
      </c>
      <c r="L115">
        <v>318.12383728027299</v>
      </c>
      <c r="M115">
        <v>310.58994846343899</v>
      </c>
      <c r="N115">
        <v>317.00400333404502</v>
      </c>
      <c r="O115">
        <f t="shared" si="3"/>
        <v>315.60298447608898</v>
      </c>
      <c r="P115">
        <f t="shared" si="4"/>
        <v>19.350000399999999</v>
      </c>
      <c r="Q115">
        <v>335.89826540000001</v>
      </c>
      <c r="R115">
        <v>307.40173540000001</v>
      </c>
      <c r="T115">
        <f t="shared" si="5"/>
        <v>1</v>
      </c>
    </row>
    <row r="116" spans="1:20" x14ac:dyDescent="0.3">
      <c r="A116" s="1">
        <v>42985</v>
      </c>
      <c r="B116" s="1">
        <v>43076</v>
      </c>
      <c r="C116">
        <v>320.22448459999998</v>
      </c>
      <c r="D116">
        <v>320.7</v>
      </c>
      <c r="E116">
        <v>306.2</v>
      </c>
      <c r="F116">
        <v>14.5</v>
      </c>
      <c r="G116">
        <v>14.02448463</v>
      </c>
      <c r="H116">
        <v>14.5</v>
      </c>
      <c r="I116">
        <v>8.3815888259999998</v>
      </c>
      <c r="J116">
        <v>317.96213550567597</v>
      </c>
      <c r="K116">
        <v>317.53930206298799</v>
      </c>
      <c r="L116">
        <v>320.64492721557599</v>
      </c>
      <c r="M116">
        <v>315.99607772827102</v>
      </c>
      <c r="N116">
        <v>318.63140792846599</v>
      </c>
      <c r="O116">
        <f t="shared" si="3"/>
        <v>318.20292873382522</v>
      </c>
      <c r="P116">
        <f t="shared" si="4"/>
        <v>14.5</v>
      </c>
      <c r="Q116">
        <v>334.52962159999998</v>
      </c>
      <c r="R116">
        <v>306.87037839999999</v>
      </c>
      <c r="T116">
        <f t="shared" si="5"/>
        <v>1</v>
      </c>
    </row>
    <row r="117" spans="1:20" x14ac:dyDescent="0.3">
      <c r="A117" s="1">
        <v>42986</v>
      </c>
      <c r="B117" s="1">
        <v>43077</v>
      </c>
      <c r="C117">
        <v>322.65526010000002</v>
      </c>
      <c r="D117">
        <v>321.3999996</v>
      </c>
      <c r="E117">
        <v>306.25</v>
      </c>
      <c r="F117">
        <v>15.149999619999999</v>
      </c>
      <c r="G117">
        <v>16.405260089999999</v>
      </c>
      <c r="H117">
        <v>15.149999619999999</v>
      </c>
      <c r="I117">
        <v>8.112302949</v>
      </c>
      <c r="J117">
        <v>321.79911422729401</v>
      </c>
      <c r="K117">
        <v>319.80211448669399</v>
      </c>
      <c r="L117">
        <v>321.27453327178898</v>
      </c>
      <c r="M117">
        <v>312.77725982665999</v>
      </c>
      <c r="N117">
        <v>317.98687934875397</v>
      </c>
      <c r="O117">
        <f t="shared" si="3"/>
        <v>317.96019673347422</v>
      </c>
      <c r="P117">
        <f t="shared" si="4"/>
        <v>15.149999600000001</v>
      </c>
      <c r="Q117">
        <v>334.78529950000001</v>
      </c>
      <c r="R117">
        <v>308.01469980000002</v>
      </c>
      <c r="T117">
        <f t="shared" si="5"/>
        <v>1</v>
      </c>
    </row>
    <row r="118" spans="1:20" x14ac:dyDescent="0.3">
      <c r="A118" s="1">
        <v>42989</v>
      </c>
      <c r="B118" s="1">
        <v>43080</v>
      </c>
      <c r="C118">
        <v>315.52497959999999</v>
      </c>
      <c r="D118">
        <v>321.5</v>
      </c>
      <c r="E118">
        <v>309.25</v>
      </c>
      <c r="F118">
        <v>12.25</v>
      </c>
      <c r="G118">
        <v>6.2749795910000001</v>
      </c>
      <c r="H118">
        <v>12.25</v>
      </c>
      <c r="I118">
        <v>7.9202754510000002</v>
      </c>
      <c r="J118">
        <v>317.32171344757</v>
      </c>
      <c r="K118">
        <v>311.46184635162302</v>
      </c>
      <c r="L118">
        <v>316.884605884552</v>
      </c>
      <c r="M118">
        <v>315.19246482849098</v>
      </c>
      <c r="N118">
        <v>317.46683311462402</v>
      </c>
      <c r="O118">
        <f t="shared" si="3"/>
        <v>315.25143754482252</v>
      </c>
      <c r="P118">
        <f t="shared" si="4"/>
        <v>12.25</v>
      </c>
      <c r="Q118">
        <v>334.56845449999997</v>
      </c>
      <c r="R118">
        <v>308.43154550000003</v>
      </c>
      <c r="T118">
        <f t="shared" si="5"/>
        <v>1</v>
      </c>
    </row>
    <row r="119" spans="1:20" x14ac:dyDescent="0.3">
      <c r="A119" s="1">
        <v>42990</v>
      </c>
      <c r="B119" s="1">
        <v>43081</v>
      </c>
      <c r="C119">
        <v>312.8704621</v>
      </c>
      <c r="D119">
        <v>320.45</v>
      </c>
      <c r="E119">
        <v>309.2</v>
      </c>
      <c r="F119">
        <v>11.25</v>
      </c>
      <c r="G119">
        <v>3.6704621319999999</v>
      </c>
      <c r="H119">
        <v>11.25</v>
      </c>
      <c r="I119">
        <v>7.7231132560000004</v>
      </c>
      <c r="J119">
        <v>311.597886514663</v>
      </c>
      <c r="K119">
        <v>310.451435875892</v>
      </c>
      <c r="L119">
        <v>315.50215024948102</v>
      </c>
      <c r="M119">
        <v>313.643974971771</v>
      </c>
      <c r="N119">
        <v>316.69135255813597</v>
      </c>
      <c r="O119">
        <f t="shared" si="3"/>
        <v>314.07222841382003</v>
      </c>
      <c r="P119">
        <f t="shared" si="4"/>
        <v>11.25</v>
      </c>
      <c r="Q119">
        <v>333.19313690000001</v>
      </c>
      <c r="R119">
        <v>307.70686310000002</v>
      </c>
      <c r="T119">
        <f t="shared" si="5"/>
        <v>1</v>
      </c>
    </row>
    <row r="120" spans="1:20" x14ac:dyDescent="0.3">
      <c r="A120" s="1">
        <v>42991</v>
      </c>
      <c r="B120" s="1">
        <v>43082</v>
      </c>
      <c r="C120">
        <v>312.24487260000001</v>
      </c>
      <c r="D120">
        <v>322.85000020000001</v>
      </c>
      <c r="E120">
        <v>308.55</v>
      </c>
      <c r="F120">
        <v>14.30000019</v>
      </c>
      <c r="G120">
        <v>3.6948726180000002</v>
      </c>
      <c r="H120">
        <v>14.30000019</v>
      </c>
      <c r="I120">
        <v>7.4852653340000002</v>
      </c>
      <c r="J120">
        <v>308.47070328444198</v>
      </c>
      <c r="K120">
        <v>308.950360822677</v>
      </c>
      <c r="L120">
        <v>309.74510936736999</v>
      </c>
      <c r="M120">
        <v>311.11562447547902</v>
      </c>
      <c r="N120">
        <v>312.37033586502002</v>
      </c>
      <c r="O120">
        <f t="shared" si="3"/>
        <v>310.54535763263652</v>
      </c>
      <c r="P120">
        <f t="shared" si="4"/>
        <v>14.300000199999999</v>
      </c>
      <c r="Q120">
        <v>335.20068800000001</v>
      </c>
      <c r="R120">
        <v>310.49931240000001</v>
      </c>
      <c r="T120">
        <f t="shared" si="5"/>
        <v>1</v>
      </c>
    </row>
    <row r="121" spans="1:20" x14ac:dyDescent="0.3">
      <c r="A121" s="1">
        <v>42992</v>
      </c>
      <c r="B121" s="1">
        <v>43083</v>
      </c>
      <c r="C121">
        <v>311.734736</v>
      </c>
      <c r="D121">
        <v>324.3000002</v>
      </c>
      <c r="E121">
        <v>310.25</v>
      </c>
      <c r="F121">
        <v>14.05000019</v>
      </c>
      <c r="G121">
        <v>1.4847359659999999</v>
      </c>
      <c r="H121">
        <v>14.05000019</v>
      </c>
      <c r="I121">
        <v>7.2849796900000001</v>
      </c>
      <c r="J121">
        <v>310.946499466896</v>
      </c>
      <c r="K121">
        <v>308.627635598182</v>
      </c>
      <c r="L121">
        <v>307.75631141662598</v>
      </c>
      <c r="M121">
        <v>312.42889881133999</v>
      </c>
      <c r="N121">
        <v>313.522721052169</v>
      </c>
      <c r="O121">
        <f t="shared" si="3"/>
        <v>310.58389171957924</v>
      </c>
      <c r="P121">
        <f t="shared" si="4"/>
        <v>14.050000199999999</v>
      </c>
      <c r="Q121">
        <v>336.3202167</v>
      </c>
      <c r="R121">
        <v>312.2797837</v>
      </c>
      <c r="T121">
        <f t="shared" si="5"/>
        <v>0</v>
      </c>
    </row>
    <row r="122" spans="1:20" x14ac:dyDescent="0.3">
      <c r="A122" s="1">
        <v>42993</v>
      </c>
      <c r="B122" s="1">
        <v>43084</v>
      </c>
      <c r="C122">
        <v>312.54622380000001</v>
      </c>
      <c r="D122">
        <v>322.75000019999999</v>
      </c>
      <c r="E122">
        <v>311.2</v>
      </c>
      <c r="F122">
        <v>11.55000019</v>
      </c>
      <c r="G122">
        <v>1.3462238310000001</v>
      </c>
      <c r="H122">
        <v>11.55000019</v>
      </c>
      <c r="I122">
        <v>7.1034980890000003</v>
      </c>
      <c r="J122">
        <v>310.879736614227</v>
      </c>
      <c r="K122">
        <v>312.85989065170202</v>
      </c>
      <c r="L122">
        <v>309.50875742435397</v>
      </c>
      <c r="M122">
        <v>313.79753799438402</v>
      </c>
      <c r="N122">
        <v>314.70062775611802</v>
      </c>
      <c r="O122">
        <f t="shared" si="3"/>
        <v>312.71670345663949</v>
      </c>
      <c r="P122">
        <f t="shared" si="4"/>
        <v>11.550000199999999</v>
      </c>
      <c r="Q122">
        <v>334.47077200000001</v>
      </c>
      <c r="R122">
        <v>311.0292283</v>
      </c>
      <c r="T122">
        <f t="shared" si="5"/>
        <v>1</v>
      </c>
    </row>
    <row r="123" spans="1:20" x14ac:dyDescent="0.3">
      <c r="A123" s="1">
        <v>42996</v>
      </c>
      <c r="B123" s="1">
        <v>43087</v>
      </c>
      <c r="C123">
        <v>314.44871920000003</v>
      </c>
      <c r="D123">
        <v>324.14999979999999</v>
      </c>
      <c r="E123">
        <v>316.7</v>
      </c>
      <c r="F123">
        <v>-7.4499998090000004</v>
      </c>
      <c r="G123">
        <v>-2.2512807850000001</v>
      </c>
      <c r="H123">
        <v>7.4499998090000004</v>
      </c>
      <c r="I123">
        <v>7.0387891629999997</v>
      </c>
      <c r="J123">
        <v>316.39320616126003</v>
      </c>
      <c r="K123">
        <v>312.14136857986398</v>
      </c>
      <c r="L123">
        <v>313.23189349174498</v>
      </c>
      <c r="M123">
        <v>314.72678608894302</v>
      </c>
      <c r="N123">
        <v>318.62770481109601</v>
      </c>
      <c r="O123">
        <f t="shared" si="3"/>
        <v>314.681938242912</v>
      </c>
      <c r="P123">
        <f t="shared" si="4"/>
        <v>-7.4499998000000005</v>
      </c>
      <c r="Q123">
        <v>335.76400189999998</v>
      </c>
      <c r="R123">
        <v>312.5359977</v>
      </c>
      <c r="T123">
        <f t="shared" si="5"/>
        <v>0</v>
      </c>
    </row>
    <row r="124" spans="1:20" x14ac:dyDescent="0.3">
      <c r="A124" s="1">
        <v>42997</v>
      </c>
      <c r="B124" s="1">
        <v>43088</v>
      </c>
      <c r="C124">
        <v>315.04829139999998</v>
      </c>
      <c r="D124">
        <v>323.85000020000001</v>
      </c>
      <c r="E124">
        <v>316.05</v>
      </c>
      <c r="F124">
        <v>-7.8000001909999996</v>
      </c>
      <c r="G124">
        <v>-1.001708627</v>
      </c>
      <c r="H124">
        <v>7.8000001909999996</v>
      </c>
      <c r="I124">
        <v>6.9600325349999999</v>
      </c>
      <c r="J124">
        <v>313.13585143089199</v>
      </c>
      <c r="K124">
        <v>309.549442100524</v>
      </c>
      <c r="L124">
        <v>313.017346906662</v>
      </c>
      <c r="M124">
        <v>313.039593744277</v>
      </c>
      <c r="N124">
        <v>319.59494905471797</v>
      </c>
      <c r="O124">
        <f t="shared" si="3"/>
        <v>313.80033295154522</v>
      </c>
      <c r="P124">
        <f t="shared" si="4"/>
        <v>-7.8000001999999995</v>
      </c>
      <c r="Q124">
        <v>335.33405390000001</v>
      </c>
      <c r="R124">
        <v>312.36594650000001</v>
      </c>
      <c r="T124">
        <f t="shared" si="5"/>
        <v>0</v>
      </c>
    </row>
    <row r="125" spans="1:20" x14ac:dyDescent="0.3">
      <c r="A125" s="1">
        <v>42998</v>
      </c>
      <c r="B125" s="1">
        <v>43089</v>
      </c>
      <c r="C125">
        <v>312.6264463</v>
      </c>
      <c r="D125">
        <v>323.55</v>
      </c>
      <c r="E125">
        <v>315.8</v>
      </c>
      <c r="F125">
        <v>-7.75</v>
      </c>
      <c r="G125">
        <v>-3.1735537049999998</v>
      </c>
      <c r="H125">
        <v>7.75</v>
      </c>
      <c r="I125">
        <v>6.8739398659999997</v>
      </c>
      <c r="J125">
        <v>312.18802766799899</v>
      </c>
      <c r="K125">
        <v>305.72098045349099</v>
      </c>
      <c r="L125">
        <v>310.58502273559498</v>
      </c>
      <c r="M125">
        <v>312.16668968200599</v>
      </c>
      <c r="N125">
        <v>316.73831652402799</v>
      </c>
      <c r="O125">
        <f t="shared" si="3"/>
        <v>311.30275234877996</v>
      </c>
      <c r="P125">
        <f t="shared" si="4"/>
        <v>-7.75</v>
      </c>
      <c r="Q125">
        <v>334.89200080000001</v>
      </c>
      <c r="R125">
        <v>312.20799920000002</v>
      </c>
      <c r="T125">
        <f t="shared" si="5"/>
        <v>0</v>
      </c>
    </row>
    <row r="126" spans="1:20" x14ac:dyDescent="0.3">
      <c r="A126" s="1">
        <v>42999</v>
      </c>
      <c r="B126" s="1">
        <v>43090</v>
      </c>
      <c r="C126">
        <v>317.33271719999999</v>
      </c>
      <c r="D126">
        <v>316.85000000000002</v>
      </c>
      <c r="E126">
        <v>316.05</v>
      </c>
      <c r="F126">
        <v>0.80000001200000004</v>
      </c>
      <c r="G126">
        <v>1.2827172280000001</v>
      </c>
      <c r="H126">
        <v>0.80000001200000004</v>
      </c>
      <c r="I126">
        <v>6.8589968470000002</v>
      </c>
      <c r="J126">
        <v>312.99531583786001</v>
      </c>
      <c r="K126">
        <v>309.61167221069297</v>
      </c>
      <c r="L126">
        <v>315.93668219745098</v>
      </c>
      <c r="M126">
        <v>314.79555552005701</v>
      </c>
      <c r="N126">
        <v>316.44245977997701</v>
      </c>
      <c r="O126">
        <f t="shared" si="3"/>
        <v>314.19659242704449</v>
      </c>
      <c r="P126">
        <f t="shared" si="4"/>
        <v>-0.80000000000001137</v>
      </c>
      <c r="Q126">
        <v>328.16734480000002</v>
      </c>
      <c r="R126">
        <v>305.53265520000002</v>
      </c>
      <c r="T126">
        <f t="shared" si="5"/>
        <v>0</v>
      </c>
    </row>
    <row r="127" spans="1:20" x14ac:dyDescent="0.3">
      <c r="A127" s="1">
        <v>43000</v>
      </c>
      <c r="B127" s="1">
        <v>43091</v>
      </c>
      <c r="C127">
        <v>314.77874730000002</v>
      </c>
      <c r="D127">
        <v>318.5</v>
      </c>
      <c r="E127">
        <v>313.75</v>
      </c>
      <c r="F127">
        <v>4.75</v>
      </c>
      <c r="G127">
        <v>1.0287473199999999</v>
      </c>
      <c r="H127">
        <v>4.75</v>
      </c>
      <c r="I127">
        <v>6.7655609449999998</v>
      </c>
      <c r="J127">
        <v>309.000284194946</v>
      </c>
      <c r="K127">
        <v>309.67831468582102</v>
      </c>
      <c r="L127">
        <v>313.13280874490698</v>
      </c>
      <c r="M127">
        <v>314.05086347460701</v>
      </c>
      <c r="N127">
        <v>318.52056455612097</v>
      </c>
      <c r="O127">
        <f t="shared" si="3"/>
        <v>313.84563786536398</v>
      </c>
      <c r="P127">
        <f t="shared" si="4"/>
        <v>4.75</v>
      </c>
      <c r="Q127">
        <v>329.66317559999999</v>
      </c>
      <c r="R127">
        <v>307.33682440000001</v>
      </c>
      <c r="T127">
        <f t="shared" si="5"/>
        <v>1</v>
      </c>
    </row>
    <row r="128" spans="1:20" x14ac:dyDescent="0.3">
      <c r="A128" s="1">
        <v>43003</v>
      </c>
      <c r="B128" s="1">
        <v>43094</v>
      </c>
      <c r="C128">
        <v>310.70276239999998</v>
      </c>
      <c r="D128">
        <v>318.49999980000001</v>
      </c>
      <c r="E128">
        <v>313.8</v>
      </c>
      <c r="F128">
        <v>-4.6999998090000004</v>
      </c>
      <c r="G128">
        <v>-3.097237587</v>
      </c>
      <c r="H128">
        <v>4.6999998090000004</v>
      </c>
      <c r="I128">
        <v>6.6712957890000002</v>
      </c>
      <c r="J128">
        <v>312.90622358322099</v>
      </c>
      <c r="K128">
        <v>306.92690448760902</v>
      </c>
      <c r="L128">
        <v>315.18657951354902</v>
      </c>
      <c r="M128">
        <v>316.107462453842</v>
      </c>
      <c r="N128">
        <v>319.06964330673202</v>
      </c>
      <c r="O128">
        <f t="shared" si="3"/>
        <v>314.322647440433</v>
      </c>
      <c r="P128">
        <f t="shared" si="4"/>
        <v>4.6999998000000005</v>
      </c>
      <c r="Q128">
        <v>329.50763790000002</v>
      </c>
      <c r="R128">
        <v>307.49236180000003</v>
      </c>
      <c r="T128">
        <f t="shared" si="5"/>
        <v>1</v>
      </c>
    </row>
    <row r="129" spans="1:20" x14ac:dyDescent="0.3">
      <c r="A129" s="1">
        <v>43004</v>
      </c>
      <c r="B129" s="1">
        <v>43095</v>
      </c>
      <c r="C129">
        <v>312.90271469999999</v>
      </c>
      <c r="D129">
        <v>317.45000010000001</v>
      </c>
      <c r="E129">
        <v>311.8</v>
      </c>
      <c r="F129">
        <v>5.6500000950000002</v>
      </c>
      <c r="G129">
        <v>1.102714658</v>
      </c>
      <c r="H129">
        <v>5.6500000950000002</v>
      </c>
      <c r="I129">
        <v>6.5345408989999996</v>
      </c>
      <c r="J129">
        <v>308.80717139244001</v>
      </c>
      <c r="K129">
        <v>309.436897563934</v>
      </c>
      <c r="L129">
        <v>314.83872346878002</v>
      </c>
      <c r="M129">
        <v>317.975064563751</v>
      </c>
      <c r="N129">
        <v>318.13873319625799</v>
      </c>
      <c r="O129">
        <f t="shared" si="3"/>
        <v>315.09735469818077</v>
      </c>
      <c r="P129">
        <f t="shared" si="4"/>
        <v>5.6500000999999997</v>
      </c>
      <c r="Q129">
        <v>328.23199260000001</v>
      </c>
      <c r="R129">
        <v>306.66800760000001</v>
      </c>
      <c r="T129">
        <f t="shared" si="5"/>
        <v>1</v>
      </c>
    </row>
    <row r="130" spans="1:20" x14ac:dyDescent="0.3">
      <c r="A130" s="1">
        <v>43005</v>
      </c>
      <c r="B130" s="1">
        <v>43096</v>
      </c>
      <c r="C130">
        <v>314.04291979999999</v>
      </c>
      <c r="D130">
        <v>321.20000019999998</v>
      </c>
      <c r="E130">
        <v>311.39999999999998</v>
      </c>
      <c r="F130">
        <v>9.8000001910000005</v>
      </c>
      <c r="G130">
        <v>2.6429197790000001</v>
      </c>
      <c r="H130">
        <v>9.8000001910000005</v>
      </c>
      <c r="I130">
        <v>6.3280589860000003</v>
      </c>
      <c r="J130">
        <v>311.25136964917101</v>
      </c>
      <c r="K130">
        <v>310.03409960269897</v>
      </c>
      <c r="L130">
        <v>313.891650104522</v>
      </c>
      <c r="M130">
        <v>314.13059654235798</v>
      </c>
      <c r="N130">
        <v>313.05638434886902</v>
      </c>
      <c r="O130">
        <f t="shared" si="3"/>
        <v>312.77818264961201</v>
      </c>
      <c r="P130">
        <f t="shared" si="4"/>
        <v>9.8000001999999995</v>
      </c>
      <c r="Q130">
        <v>331.64129750000001</v>
      </c>
      <c r="R130">
        <v>310.7587029</v>
      </c>
      <c r="T130">
        <f t="shared" si="5"/>
        <v>1</v>
      </c>
    </row>
    <row r="131" spans="1:20" x14ac:dyDescent="0.3">
      <c r="A131" s="1">
        <v>43006</v>
      </c>
      <c r="B131" s="1">
        <v>43097</v>
      </c>
      <c r="C131">
        <v>318.59296569999998</v>
      </c>
      <c r="D131">
        <v>325.65000020000002</v>
      </c>
      <c r="E131">
        <v>311.60000000000002</v>
      </c>
      <c r="F131">
        <v>14.05000019</v>
      </c>
      <c r="G131">
        <v>6.9929656979999999</v>
      </c>
      <c r="H131">
        <v>14.05000019</v>
      </c>
      <c r="I131">
        <v>6.0972874839999998</v>
      </c>
      <c r="J131">
        <v>316.46938381195002</v>
      </c>
      <c r="K131">
        <v>316.47642240524198</v>
      </c>
      <c r="L131">
        <v>315.57877287864602</v>
      </c>
      <c r="M131">
        <v>318.32066545486401</v>
      </c>
      <c r="N131">
        <v>316.43977508544901</v>
      </c>
      <c r="O131">
        <f t="shared" ref="O131:O194" si="6">AVERAGE(K131:N131)</f>
        <v>316.70390895605021</v>
      </c>
      <c r="P131">
        <f t="shared" ref="P131:P194" si="7">IF((O131-E131)*(D131-E131)&gt;0, ABS(D131-E131), -ABS(D131-E131))</f>
        <v>14.050000199999999</v>
      </c>
      <c r="Q131">
        <v>335.71052450000002</v>
      </c>
      <c r="R131">
        <v>315.5894758</v>
      </c>
      <c r="T131">
        <f t="shared" ref="T131:T194" si="8">IF(AND(P131&gt;0, AND(O131&lt;Q131, O131&gt;R131)), 1, 0)</f>
        <v>1</v>
      </c>
    </row>
    <row r="132" spans="1:20" x14ac:dyDescent="0.3">
      <c r="A132" s="1">
        <v>43007</v>
      </c>
      <c r="B132" s="1">
        <v>43098</v>
      </c>
      <c r="C132">
        <v>318.89450529999999</v>
      </c>
      <c r="D132">
        <v>325.65000040000001</v>
      </c>
      <c r="E132">
        <v>314.3</v>
      </c>
      <c r="F132">
        <v>11.350000380000001</v>
      </c>
      <c r="G132">
        <v>4.5945053099999997</v>
      </c>
      <c r="H132">
        <v>11.350000380000001</v>
      </c>
      <c r="I132">
        <v>5.9388601679999997</v>
      </c>
      <c r="J132">
        <v>314.626141655445</v>
      </c>
      <c r="K132">
        <v>318.09161310195901</v>
      </c>
      <c r="L132">
        <v>315.64135878086</v>
      </c>
      <c r="M132">
        <v>318.29850392341598</v>
      </c>
      <c r="N132">
        <v>319.22413330078098</v>
      </c>
      <c r="O132">
        <f t="shared" si="6"/>
        <v>317.81390227675399</v>
      </c>
      <c r="P132">
        <f t="shared" si="7"/>
        <v>11.350000399999999</v>
      </c>
      <c r="Q132">
        <v>335.44911969999998</v>
      </c>
      <c r="R132">
        <v>315.85088109999998</v>
      </c>
      <c r="T132">
        <f t="shared" si="8"/>
        <v>1</v>
      </c>
    </row>
    <row r="133" spans="1:20" x14ac:dyDescent="0.3">
      <c r="A133" s="1">
        <v>43010</v>
      </c>
      <c r="B133" s="1">
        <v>43101</v>
      </c>
      <c r="C133">
        <v>319.2578929</v>
      </c>
      <c r="D133">
        <v>325.65000040000001</v>
      </c>
      <c r="E133">
        <v>314.3</v>
      </c>
      <c r="F133">
        <v>11.350000380000001</v>
      </c>
      <c r="G133">
        <v>4.9578928949999996</v>
      </c>
      <c r="H133">
        <v>11.350000380000001</v>
      </c>
      <c r="I133">
        <v>5.7707253989999998</v>
      </c>
      <c r="J133">
        <v>326.548798370361</v>
      </c>
      <c r="K133">
        <v>323.87848930358803</v>
      </c>
      <c r="L133">
        <v>319.34223489761303</v>
      </c>
      <c r="M133">
        <v>321.28060369491499</v>
      </c>
      <c r="N133">
        <v>320.15331964492799</v>
      </c>
      <c r="O133">
        <f t="shared" si="6"/>
        <v>321.16366188526098</v>
      </c>
      <c r="P133">
        <f t="shared" si="7"/>
        <v>11.350000399999999</v>
      </c>
      <c r="Q133">
        <v>335.17169730000001</v>
      </c>
      <c r="R133">
        <v>316.12830350000002</v>
      </c>
      <c r="T133">
        <f t="shared" si="8"/>
        <v>1</v>
      </c>
    </row>
    <row r="134" spans="1:20" x14ac:dyDescent="0.3">
      <c r="A134" s="1">
        <v>43011</v>
      </c>
      <c r="B134" s="1">
        <v>43102</v>
      </c>
      <c r="C134">
        <v>321.6274469</v>
      </c>
      <c r="D134">
        <v>326.49999980000001</v>
      </c>
      <c r="E134">
        <v>314.3</v>
      </c>
      <c r="F134">
        <v>12.19999981</v>
      </c>
      <c r="G134">
        <v>7.3274469379999996</v>
      </c>
      <c r="H134">
        <v>12.19999981</v>
      </c>
      <c r="I134">
        <v>5.5926744240000001</v>
      </c>
      <c r="J134">
        <v>326.08142738342201</v>
      </c>
      <c r="K134">
        <v>324.70474891662599</v>
      </c>
      <c r="L134">
        <v>320.299471187591</v>
      </c>
      <c r="M134">
        <v>321.99502973556503</v>
      </c>
      <c r="N134">
        <v>321.37288312911897</v>
      </c>
      <c r="O134">
        <f t="shared" si="6"/>
        <v>322.09303324222526</v>
      </c>
      <c r="P134">
        <f t="shared" si="7"/>
        <v>12.199999800000001</v>
      </c>
      <c r="Q134">
        <v>335.72791260000002</v>
      </c>
      <c r="R134">
        <v>317.272087</v>
      </c>
      <c r="T134">
        <f t="shared" si="8"/>
        <v>1</v>
      </c>
    </row>
    <row r="135" spans="1:20" x14ac:dyDescent="0.3">
      <c r="A135" s="1">
        <v>43012</v>
      </c>
      <c r="B135" s="1">
        <v>43103</v>
      </c>
      <c r="C135">
        <v>321.49356390000003</v>
      </c>
      <c r="D135">
        <v>327.69999960000001</v>
      </c>
      <c r="E135">
        <v>314.3</v>
      </c>
      <c r="F135">
        <v>13.399999619999999</v>
      </c>
      <c r="G135">
        <v>7.1935639379999996</v>
      </c>
      <c r="H135">
        <v>13.399999619999999</v>
      </c>
      <c r="I135">
        <v>5.405970924</v>
      </c>
      <c r="J135">
        <v>326.16740207672098</v>
      </c>
      <c r="K135">
        <v>324.93694858550998</v>
      </c>
      <c r="L135">
        <v>320.48437433242799</v>
      </c>
      <c r="M135">
        <v>321.64524250030502</v>
      </c>
      <c r="N135">
        <v>319.60567121505699</v>
      </c>
      <c r="O135">
        <f t="shared" si="6"/>
        <v>321.66805915832498</v>
      </c>
      <c r="P135">
        <f t="shared" si="7"/>
        <v>13.399999600000001</v>
      </c>
      <c r="Q135">
        <v>336.6198516</v>
      </c>
      <c r="R135">
        <v>318.78014760000002</v>
      </c>
      <c r="T135">
        <f t="shared" si="8"/>
        <v>1</v>
      </c>
    </row>
    <row r="136" spans="1:20" x14ac:dyDescent="0.3">
      <c r="A136" s="1">
        <v>43013</v>
      </c>
      <c r="B136" s="1">
        <v>43104</v>
      </c>
      <c r="C136">
        <v>320.52948270000002</v>
      </c>
      <c r="D136">
        <v>324.99999980000001</v>
      </c>
      <c r="E136">
        <v>314.3</v>
      </c>
      <c r="F136">
        <v>10.69999981</v>
      </c>
      <c r="G136">
        <v>6.2294826509999996</v>
      </c>
      <c r="H136">
        <v>10.69999981</v>
      </c>
      <c r="I136">
        <v>5.2030187239999997</v>
      </c>
      <c r="J136">
        <v>324.442635345459</v>
      </c>
      <c r="K136">
        <v>324.71312503814698</v>
      </c>
      <c r="L136">
        <v>320.39941959381099</v>
      </c>
      <c r="M136">
        <v>321.64894895553499</v>
      </c>
      <c r="N136">
        <v>320.75453643798801</v>
      </c>
      <c r="O136">
        <f t="shared" si="6"/>
        <v>321.87900750637021</v>
      </c>
      <c r="P136">
        <f t="shared" si="7"/>
        <v>10.699999800000001</v>
      </c>
      <c r="Q136">
        <v>333.58498070000002</v>
      </c>
      <c r="R136">
        <v>316.41501890000001</v>
      </c>
      <c r="T136">
        <f t="shared" si="8"/>
        <v>1</v>
      </c>
    </row>
    <row r="137" spans="1:20" x14ac:dyDescent="0.3">
      <c r="A137" s="1">
        <v>43014</v>
      </c>
      <c r="B137" s="1">
        <v>43105</v>
      </c>
      <c r="C137">
        <v>320.75502760000001</v>
      </c>
      <c r="D137">
        <v>328.94999960000001</v>
      </c>
      <c r="E137">
        <v>314.3</v>
      </c>
      <c r="F137">
        <v>14.649999619999999</v>
      </c>
      <c r="G137">
        <v>6.4550275800000003</v>
      </c>
      <c r="H137">
        <v>14.649999619999999</v>
      </c>
      <c r="I137">
        <v>4.9938311710000001</v>
      </c>
      <c r="J137">
        <v>323.59832553863498</v>
      </c>
      <c r="K137">
        <v>323.13618640899602</v>
      </c>
      <c r="L137">
        <v>319.848974990844</v>
      </c>
      <c r="M137">
        <v>321.41384487152101</v>
      </c>
      <c r="N137">
        <v>320.90030794143598</v>
      </c>
      <c r="O137">
        <f t="shared" si="6"/>
        <v>321.32482855319927</v>
      </c>
      <c r="P137">
        <f t="shared" si="7"/>
        <v>14.649999600000001</v>
      </c>
      <c r="Q137">
        <v>337.18982110000002</v>
      </c>
      <c r="R137">
        <v>320.71017819999997</v>
      </c>
      <c r="T137">
        <f t="shared" si="8"/>
        <v>1</v>
      </c>
    </row>
    <row r="138" spans="1:20" x14ac:dyDescent="0.3">
      <c r="A138" s="1">
        <v>43017</v>
      </c>
      <c r="B138" s="1">
        <v>43108</v>
      </c>
      <c r="C138">
        <v>320.58233580000001</v>
      </c>
      <c r="D138">
        <v>331.25000080000001</v>
      </c>
      <c r="E138">
        <v>314.3</v>
      </c>
      <c r="F138">
        <v>16.950000760000002</v>
      </c>
      <c r="G138">
        <v>6.2823357580000003</v>
      </c>
      <c r="H138">
        <v>16.950000760000002</v>
      </c>
      <c r="I138">
        <v>4.790699247</v>
      </c>
      <c r="J138">
        <v>324.15658740997299</v>
      </c>
      <c r="K138">
        <v>323.25974063873201</v>
      </c>
      <c r="L138">
        <v>320.39806394576999</v>
      </c>
      <c r="M138">
        <v>321.39284877777101</v>
      </c>
      <c r="N138">
        <v>320.595441627502</v>
      </c>
      <c r="O138">
        <f t="shared" si="6"/>
        <v>321.41152374744371</v>
      </c>
      <c r="P138">
        <f t="shared" si="7"/>
        <v>16.950000799999998</v>
      </c>
      <c r="Q138">
        <v>339.15465449999999</v>
      </c>
      <c r="R138">
        <v>323.345347</v>
      </c>
      <c r="T138">
        <f t="shared" si="8"/>
        <v>0</v>
      </c>
    </row>
    <row r="139" spans="1:20" x14ac:dyDescent="0.3">
      <c r="A139" s="1">
        <v>43018</v>
      </c>
      <c r="B139" s="1">
        <v>43109</v>
      </c>
      <c r="C139">
        <v>324.63985100000002</v>
      </c>
      <c r="D139">
        <v>330.45000019999998</v>
      </c>
      <c r="E139">
        <v>320.14999999999998</v>
      </c>
      <c r="F139">
        <v>10.30000019</v>
      </c>
      <c r="G139">
        <v>4.4898509979999996</v>
      </c>
      <c r="H139">
        <v>10.30000019</v>
      </c>
      <c r="I139">
        <v>4.7421819520000001</v>
      </c>
      <c r="J139">
        <v>325.28364696502598</v>
      </c>
      <c r="K139">
        <v>326.18951644897402</v>
      </c>
      <c r="L139">
        <v>324.57528629302902</v>
      </c>
      <c r="M139">
        <v>324.64248409271198</v>
      </c>
      <c r="N139">
        <v>324.49457588195799</v>
      </c>
      <c r="O139">
        <f t="shared" si="6"/>
        <v>324.97546567916822</v>
      </c>
      <c r="P139">
        <f t="shared" si="7"/>
        <v>10.300000199999999</v>
      </c>
      <c r="Q139">
        <v>338.2746004</v>
      </c>
      <c r="R139">
        <v>322.62540000000001</v>
      </c>
      <c r="T139">
        <f t="shared" si="8"/>
        <v>1</v>
      </c>
    </row>
    <row r="140" spans="1:20" x14ac:dyDescent="0.3">
      <c r="A140" s="1">
        <v>43019</v>
      </c>
      <c r="B140" s="1">
        <v>43110</v>
      </c>
      <c r="C140">
        <v>328.87362150000001</v>
      </c>
      <c r="D140">
        <v>327.8499999</v>
      </c>
      <c r="E140">
        <v>323.25</v>
      </c>
      <c r="F140">
        <v>4.5999999049999998</v>
      </c>
      <c r="G140">
        <v>5.6236214640000002</v>
      </c>
      <c r="H140">
        <v>4.5999999049999998</v>
      </c>
      <c r="I140">
        <v>4.7224139489999999</v>
      </c>
      <c r="J140">
        <v>328.513260841369</v>
      </c>
      <c r="K140">
        <v>328.81279325485201</v>
      </c>
      <c r="L140">
        <v>326.02351212501497</v>
      </c>
      <c r="M140">
        <v>325.55884432792601</v>
      </c>
      <c r="N140">
        <v>320.37374353408802</v>
      </c>
      <c r="O140">
        <f t="shared" si="6"/>
        <v>325.19222331047024</v>
      </c>
      <c r="P140">
        <f t="shared" si="7"/>
        <v>4.5999999000000003</v>
      </c>
      <c r="Q140">
        <v>335.64198290000002</v>
      </c>
      <c r="R140">
        <v>320.05801689999998</v>
      </c>
      <c r="T140">
        <f t="shared" si="8"/>
        <v>1</v>
      </c>
    </row>
    <row r="141" spans="1:20" x14ac:dyDescent="0.3">
      <c r="A141" s="1">
        <v>43020</v>
      </c>
      <c r="B141" s="1">
        <v>43111</v>
      </c>
      <c r="C141">
        <v>328.3537594</v>
      </c>
      <c r="D141">
        <v>326.5</v>
      </c>
      <c r="E141">
        <v>325.64999999999998</v>
      </c>
      <c r="F141">
        <v>0.85000002399999997</v>
      </c>
      <c r="G141">
        <v>2.703759432</v>
      </c>
      <c r="H141">
        <v>0.85000002399999997</v>
      </c>
      <c r="I141">
        <v>4.7201115590000002</v>
      </c>
      <c r="J141">
        <v>330.23848524093597</v>
      </c>
      <c r="K141">
        <v>326.955833220481</v>
      </c>
      <c r="L141">
        <v>327.85437097549402</v>
      </c>
      <c r="M141">
        <v>328.46925845146097</v>
      </c>
      <c r="N141">
        <v>324.34336092472</v>
      </c>
      <c r="O141">
        <f t="shared" si="6"/>
        <v>326.905705893039</v>
      </c>
      <c r="P141">
        <f t="shared" si="7"/>
        <v>0.85000000000002274</v>
      </c>
      <c r="Q141">
        <v>334.28818410000002</v>
      </c>
      <c r="R141">
        <v>318.711816</v>
      </c>
      <c r="T141">
        <f t="shared" si="8"/>
        <v>1</v>
      </c>
    </row>
    <row r="142" spans="1:20" x14ac:dyDescent="0.3">
      <c r="A142" s="1">
        <v>43021</v>
      </c>
      <c r="B142" s="1">
        <v>43112</v>
      </c>
      <c r="C142">
        <v>328.67728790000001</v>
      </c>
      <c r="D142">
        <v>326.85000000000002</v>
      </c>
      <c r="E142">
        <v>325.3</v>
      </c>
      <c r="F142">
        <v>1.5499999520000001</v>
      </c>
      <c r="G142">
        <v>3.377287865</v>
      </c>
      <c r="H142">
        <v>1.5499999520000001</v>
      </c>
      <c r="I142">
        <v>4.7158153760000001</v>
      </c>
      <c r="J142">
        <v>330.15573434829702</v>
      </c>
      <c r="K142">
        <v>326.14434026479699</v>
      </c>
      <c r="L142">
        <v>328.56460099220197</v>
      </c>
      <c r="M142">
        <v>329.32398061752298</v>
      </c>
      <c r="N142">
        <v>325.62859990000698</v>
      </c>
      <c r="O142">
        <f t="shared" si="6"/>
        <v>327.41538044363222</v>
      </c>
      <c r="P142">
        <f t="shared" si="7"/>
        <v>1.5500000000000114</v>
      </c>
      <c r="Q142">
        <v>334.63109530000003</v>
      </c>
      <c r="R142">
        <v>319.0689046</v>
      </c>
      <c r="T142">
        <f t="shared" si="8"/>
        <v>1</v>
      </c>
    </row>
    <row r="143" spans="1:20" x14ac:dyDescent="0.3">
      <c r="A143" s="1">
        <v>43024</v>
      </c>
      <c r="B143" s="1">
        <v>43115</v>
      </c>
      <c r="C143">
        <v>328.14917489999999</v>
      </c>
      <c r="D143">
        <v>327.3</v>
      </c>
      <c r="E143">
        <v>325.5</v>
      </c>
      <c r="F143">
        <v>1.7999999520000001</v>
      </c>
      <c r="G143">
        <v>2.649174929</v>
      </c>
      <c r="H143">
        <v>1.7999999520000001</v>
      </c>
      <c r="I143">
        <v>4.712607502</v>
      </c>
      <c r="J143">
        <v>329.72441434860201</v>
      </c>
      <c r="K143">
        <v>328.43966031074501</v>
      </c>
      <c r="L143">
        <v>329.89988994598298</v>
      </c>
      <c r="M143">
        <v>326.642080903053</v>
      </c>
      <c r="N143">
        <v>326.30455547571103</v>
      </c>
      <c r="O143">
        <f t="shared" si="6"/>
        <v>327.82154665887299</v>
      </c>
      <c r="P143">
        <f t="shared" si="7"/>
        <v>1.8000000000000114</v>
      </c>
      <c r="Q143">
        <v>335.07580230000002</v>
      </c>
      <c r="R143">
        <v>319.52419759999998</v>
      </c>
      <c r="T143">
        <f t="shared" si="8"/>
        <v>1</v>
      </c>
    </row>
    <row r="144" spans="1:20" x14ac:dyDescent="0.3">
      <c r="A144" s="1">
        <v>43025</v>
      </c>
      <c r="B144" s="1">
        <v>43116</v>
      </c>
      <c r="C144">
        <v>330.85914830000002</v>
      </c>
      <c r="D144">
        <v>330.49999980000001</v>
      </c>
      <c r="E144">
        <v>325.8</v>
      </c>
      <c r="F144">
        <v>4.6999998090000004</v>
      </c>
      <c r="G144">
        <v>5.0591483119999996</v>
      </c>
      <c r="H144">
        <v>4.6999998090000004</v>
      </c>
      <c r="I144">
        <v>4.7306853010000003</v>
      </c>
      <c r="J144">
        <v>330.14579133987399</v>
      </c>
      <c r="K144">
        <v>331.93192462921098</v>
      </c>
      <c r="L144">
        <v>330.32372074127198</v>
      </c>
      <c r="M144">
        <v>328.140829849243</v>
      </c>
      <c r="N144">
        <v>328.37290363311701</v>
      </c>
      <c r="O144">
        <f t="shared" si="6"/>
        <v>329.69234471321073</v>
      </c>
      <c r="P144">
        <f t="shared" si="7"/>
        <v>4.6999998000000005</v>
      </c>
      <c r="Q144">
        <v>338.30563059999997</v>
      </c>
      <c r="R144">
        <v>322.69436910000002</v>
      </c>
      <c r="T144">
        <f t="shared" si="8"/>
        <v>1</v>
      </c>
    </row>
    <row r="145" spans="1:20" x14ac:dyDescent="0.3">
      <c r="A145" s="1">
        <v>43026</v>
      </c>
      <c r="B145" s="1">
        <v>43117</v>
      </c>
      <c r="C145">
        <v>330.40180500000002</v>
      </c>
      <c r="D145">
        <v>329.19999990000002</v>
      </c>
      <c r="E145">
        <v>325.85000000000002</v>
      </c>
      <c r="F145">
        <v>3.3499999049999998</v>
      </c>
      <c r="G145">
        <v>4.5518050189999997</v>
      </c>
      <c r="H145">
        <v>3.3499999049999998</v>
      </c>
      <c r="I145">
        <v>4.7359423810000001</v>
      </c>
      <c r="J145">
        <v>330.49386034011798</v>
      </c>
      <c r="K145">
        <v>331.73631916046099</v>
      </c>
      <c r="L145">
        <v>331.92621145248398</v>
      </c>
      <c r="M145">
        <v>327.83022890090899</v>
      </c>
      <c r="N145">
        <v>327.04569158554</v>
      </c>
      <c r="O145">
        <f t="shared" si="6"/>
        <v>329.63461277484851</v>
      </c>
      <c r="P145">
        <f t="shared" si="7"/>
        <v>3.3499999000000003</v>
      </c>
      <c r="Q145">
        <v>337.01430479999999</v>
      </c>
      <c r="R145">
        <v>321.385695</v>
      </c>
      <c r="T145">
        <f t="shared" si="8"/>
        <v>1</v>
      </c>
    </row>
    <row r="146" spans="1:20" x14ac:dyDescent="0.3">
      <c r="A146" s="1">
        <v>43027</v>
      </c>
      <c r="B146" s="1">
        <v>43118</v>
      </c>
      <c r="C146">
        <v>330.84488590000001</v>
      </c>
      <c r="D146">
        <v>329.40000020000002</v>
      </c>
      <c r="E146">
        <v>324.10000000000002</v>
      </c>
      <c r="F146">
        <v>5.3000001909999996</v>
      </c>
      <c r="G146">
        <v>6.7448859209999998</v>
      </c>
      <c r="H146">
        <v>5.3000001909999996</v>
      </c>
      <c r="I146">
        <v>4.7295354959999996</v>
      </c>
      <c r="J146">
        <v>329.890030479431</v>
      </c>
      <c r="K146">
        <v>331.90058050155602</v>
      </c>
      <c r="L146">
        <v>331.86561689376799</v>
      </c>
      <c r="M146">
        <v>326.21784076690602</v>
      </c>
      <c r="N146">
        <v>326.15577635764998</v>
      </c>
      <c r="O146">
        <f t="shared" si="6"/>
        <v>329.03495362997</v>
      </c>
      <c r="P146">
        <f t="shared" si="7"/>
        <v>5.3000001999999995</v>
      </c>
      <c r="Q146">
        <v>337.20373380000001</v>
      </c>
      <c r="R146">
        <v>321.59626659999998</v>
      </c>
      <c r="T146">
        <f t="shared" si="8"/>
        <v>1</v>
      </c>
    </row>
    <row r="147" spans="1:20" x14ac:dyDescent="0.3">
      <c r="A147" s="1">
        <v>43028</v>
      </c>
      <c r="B147" s="1">
        <v>43119</v>
      </c>
      <c r="C147">
        <v>335.54218859999997</v>
      </c>
      <c r="D147">
        <v>329.5999999</v>
      </c>
      <c r="E147">
        <v>326.25</v>
      </c>
      <c r="F147">
        <v>3.3499999049999998</v>
      </c>
      <c r="G147">
        <v>9.2921886439999994</v>
      </c>
      <c r="H147">
        <v>3.3499999049999998</v>
      </c>
      <c r="I147">
        <v>4.7377438029999999</v>
      </c>
      <c r="J147">
        <v>330.13262963294898</v>
      </c>
      <c r="K147">
        <v>332.82643699645899</v>
      </c>
      <c r="L147">
        <v>332.56271362304602</v>
      </c>
      <c r="M147">
        <v>328.419200181961</v>
      </c>
      <c r="N147">
        <v>326.93323171138701</v>
      </c>
      <c r="O147">
        <f t="shared" si="6"/>
        <v>330.18539562821326</v>
      </c>
      <c r="P147">
        <f t="shared" si="7"/>
        <v>3.3499999000000003</v>
      </c>
      <c r="Q147">
        <v>337.4172772</v>
      </c>
      <c r="R147">
        <v>321.7827226</v>
      </c>
      <c r="T147">
        <f t="shared" si="8"/>
        <v>1</v>
      </c>
    </row>
    <row r="148" spans="1:20" x14ac:dyDescent="0.3">
      <c r="A148" s="1">
        <v>43031</v>
      </c>
      <c r="B148" s="1">
        <v>43122</v>
      </c>
      <c r="C148">
        <v>332.9231565</v>
      </c>
      <c r="D148">
        <v>326.25</v>
      </c>
      <c r="E148">
        <v>327.05</v>
      </c>
      <c r="F148">
        <v>-0.80000001200000004</v>
      </c>
      <c r="G148">
        <v>5.8731565479999999</v>
      </c>
      <c r="H148">
        <v>-0.80000001200000004</v>
      </c>
      <c r="I148">
        <v>4.7392007810000001</v>
      </c>
      <c r="J148">
        <v>332.03812961578302</v>
      </c>
      <c r="K148">
        <v>330.30330853462198</v>
      </c>
      <c r="L148">
        <v>332.79843645095798</v>
      </c>
      <c r="M148">
        <v>327.997792947292</v>
      </c>
      <c r="N148">
        <v>324.84604196548401</v>
      </c>
      <c r="O148">
        <f t="shared" si="6"/>
        <v>328.98639497458896</v>
      </c>
      <c r="P148">
        <f t="shared" si="7"/>
        <v>-0.80000000000001137</v>
      </c>
      <c r="Q148">
        <v>334.06968130000001</v>
      </c>
      <c r="R148">
        <v>318.43031869999999</v>
      </c>
      <c r="T148">
        <f t="shared" si="8"/>
        <v>0</v>
      </c>
    </row>
    <row r="149" spans="1:20" x14ac:dyDescent="0.3">
      <c r="A149" s="1">
        <v>43032</v>
      </c>
      <c r="B149" s="1">
        <v>43123</v>
      </c>
      <c r="C149">
        <v>331.43436459999998</v>
      </c>
      <c r="D149">
        <v>331.24999980000001</v>
      </c>
      <c r="E149">
        <v>326.55</v>
      </c>
      <c r="F149">
        <v>4.6999998090000004</v>
      </c>
      <c r="G149">
        <v>4.884364605</v>
      </c>
      <c r="H149">
        <v>4.6999998090000004</v>
      </c>
      <c r="I149">
        <v>4.7649728590000002</v>
      </c>
      <c r="J149">
        <v>330.48002963066102</v>
      </c>
      <c r="K149">
        <v>332.26125364303499</v>
      </c>
      <c r="L149">
        <v>332.01315622329702</v>
      </c>
      <c r="M149">
        <v>330.884290981292</v>
      </c>
      <c r="N149">
        <v>325.78521727323499</v>
      </c>
      <c r="O149">
        <f t="shared" si="6"/>
        <v>330.23597953021476</v>
      </c>
      <c r="P149">
        <f t="shared" si="7"/>
        <v>4.6999998000000005</v>
      </c>
      <c r="Q149">
        <v>339.11220500000002</v>
      </c>
      <c r="R149">
        <v>323.38779460000001</v>
      </c>
      <c r="T149">
        <f t="shared" si="8"/>
        <v>1</v>
      </c>
    </row>
    <row r="150" spans="1:20" x14ac:dyDescent="0.3">
      <c r="A150" s="1">
        <v>43033</v>
      </c>
      <c r="B150" s="1">
        <v>43124</v>
      </c>
      <c r="C150">
        <v>331.72018379999997</v>
      </c>
      <c r="D150">
        <v>331.5999999</v>
      </c>
      <c r="E150">
        <v>326.75</v>
      </c>
      <c r="F150">
        <v>4.8499999049999998</v>
      </c>
      <c r="G150">
        <v>4.9701838489999997</v>
      </c>
      <c r="H150">
        <v>4.8499999049999998</v>
      </c>
      <c r="I150">
        <v>4.7946086010000002</v>
      </c>
      <c r="J150">
        <v>329.02709794044398</v>
      </c>
      <c r="K150">
        <v>325.59919059276501</v>
      </c>
      <c r="L150">
        <v>332.129106044769</v>
      </c>
      <c r="M150">
        <v>327.17851316928801</v>
      </c>
      <c r="N150">
        <v>322.83822894096301</v>
      </c>
      <c r="O150">
        <f t="shared" si="6"/>
        <v>326.93625968694624</v>
      </c>
      <c r="P150">
        <f t="shared" si="7"/>
        <v>4.8499999000000003</v>
      </c>
      <c r="Q150">
        <v>339.51110410000001</v>
      </c>
      <c r="R150">
        <v>323.68889569999999</v>
      </c>
      <c r="T150">
        <f t="shared" si="8"/>
        <v>1</v>
      </c>
    </row>
    <row r="151" spans="1:20" x14ac:dyDescent="0.3">
      <c r="A151" s="1">
        <v>43034</v>
      </c>
      <c r="B151" s="1">
        <v>43125</v>
      </c>
      <c r="C151">
        <v>328.49441719999999</v>
      </c>
      <c r="D151">
        <v>334.3000002</v>
      </c>
      <c r="E151">
        <v>323.75</v>
      </c>
      <c r="F151">
        <v>10.55000019</v>
      </c>
      <c r="G151">
        <v>4.7444171910000001</v>
      </c>
      <c r="H151">
        <v>10.55000019</v>
      </c>
      <c r="I151">
        <v>4.8493324529999997</v>
      </c>
      <c r="J151">
        <v>330.28525352477999</v>
      </c>
      <c r="K151">
        <v>320.15338540077198</v>
      </c>
      <c r="L151">
        <v>328.06815910339299</v>
      </c>
      <c r="M151">
        <v>327.921201229095</v>
      </c>
      <c r="N151">
        <v>323.36125996708802</v>
      </c>
      <c r="O151">
        <f t="shared" si="6"/>
        <v>324.876001425087</v>
      </c>
      <c r="P151">
        <f t="shared" si="7"/>
        <v>10.550000199999999</v>
      </c>
      <c r="Q151">
        <v>342.30139869999999</v>
      </c>
      <c r="R151">
        <v>326.29860159999998</v>
      </c>
      <c r="T151">
        <f t="shared" si="8"/>
        <v>0</v>
      </c>
    </row>
    <row r="152" spans="1:20" x14ac:dyDescent="0.3">
      <c r="A152" s="1">
        <v>43035</v>
      </c>
      <c r="B152" s="1">
        <v>43126</v>
      </c>
      <c r="C152">
        <v>332.54502020000001</v>
      </c>
      <c r="D152">
        <v>335.95000040000002</v>
      </c>
      <c r="E152">
        <v>326.85000000000002</v>
      </c>
      <c r="F152">
        <v>9.1000003809999992</v>
      </c>
      <c r="G152">
        <v>5.695020199</v>
      </c>
      <c r="H152">
        <v>9.1000003809999992</v>
      </c>
      <c r="I152">
        <v>4.9602066730000001</v>
      </c>
      <c r="J152">
        <v>330.96395406723002</v>
      </c>
      <c r="K152">
        <v>322.944517230987</v>
      </c>
      <c r="L152">
        <v>331.00449905395499</v>
      </c>
      <c r="M152">
        <v>329.83258757591199</v>
      </c>
      <c r="N152">
        <v>325.72798798084199</v>
      </c>
      <c r="O152">
        <f t="shared" si="6"/>
        <v>327.37739796042399</v>
      </c>
      <c r="P152">
        <f t="shared" si="7"/>
        <v>9.100000399999999</v>
      </c>
      <c r="Q152">
        <v>344.13434139999998</v>
      </c>
      <c r="R152">
        <v>327.7656594</v>
      </c>
      <c r="T152">
        <f t="shared" si="8"/>
        <v>0</v>
      </c>
    </row>
    <row r="153" spans="1:20" x14ac:dyDescent="0.3">
      <c r="A153" s="1">
        <v>43038</v>
      </c>
      <c r="B153" s="1">
        <v>43129</v>
      </c>
      <c r="C153">
        <v>329.89244910000002</v>
      </c>
      <c r="D153">
        <v>338.50000019999999</v>
      </c>
      <c r="E153">
        <v>327.45</v>
      </c>
      <c r="F153">
        <v>11.05000019</v>
      </c>
      <c r="G153">
        <v>2.442449093</v>
      </c>
      <c r="H153">
        <v>11.05000019</v>
      </c>
      <c r="I153">
        <v>5.139521523</v>
      </c>
      <c r="J153">
        <v>334.08811254501302</v>
      </c>
      <c r="K153">
        <v>327.20677710771503</v>
      </c>
      <c r="L153">
        <v>331.44345755577001</v>
      </c>
      <c r="M153">
        <v>327.445997887104</v>
      </c>
      <c r="N153">
        <v>326.120003652572</v>
      </c>
      <c r="O153">
        <f t="shared" si="6"/>
        <v>328.05405905079022</v>
      </c>
      <c r="P153">
        <f t="shared" si="7"/>
        <v>11.050000199999999</v>
      </c>
      <c r="Q153">
        <v>346.98021069999999</v>
      </c>
      <c r="R153">
        <v>330.01978969999999</v>
      </c>
      <c r="T153">
        <f t="shared" si="8"/>
        <v>0</v>
      </c>
    </row>
    <row r="154" spans="1:20" x14ac:dyDescent="0.3">
      <c r="A154" s="1">
        <v>43039</v>
      </c>
      <c r="B154" s="1">
        <v>43130</v>
      </c>
      <c r="C154">
        <v>332.3391057</v>
      </c>
      <c r="D154">
        <v>333.89999990000001</v>
      </c>
      <c r="E154">
        <v>331.05</v>
      </c>
      <c r="F154">
        <v>2.8499999049999998</v>
      </c>
      <c r="G154">
        <v>1.2891056540000001</v>
      </c>
      <c r="H154">
        <v>2.8499999049999998</v>
      </c>
      <c r="I154">
        <v>5.1795488179999998</v>
      </c>
      <c r="J154">
        <v>338.37865762710499</v>
      </c>
      <c r="K154">
        <v>335.01618533134399</v>
      </c>
      <c r="L154">
        <v>337.70927505493103</v>
      </c>
      <c r="M154">
        <v>335.02394537925699</v>
      </c>
      <c r="N154">
        <v>330.90414917766998</v>
      </c>
      <c r="O154">
        <f t="shared" si="6"/>
        <v>334.66338873580048</v>
      </c>
      <c r="P154">
        <f t="shared" si="7"/>
        <v>2.8499999000000003</v>
      </c>
      <c r="Q154">
        <v>342.44625550000001</v>
      </c>
      <c r="R154">
        <v>325.35374439999998</v>
      </c>
      <c r="T154">
        <f t="shared" si="8"/>
        <v>1</v>
      </c>
    </row>
    <row r="155" spans="1:20" x14ac:dyDescent="0.3">
      <c r="A155" s="1">
        <v>43040</v>
      </c>
      <c r="B155" s="1">
        <v>43131</v>
      </c>
      <c r="C155">
        <v>335.3543679</v>
      </c>
      <c r="D155">
        <v>334.45000010000001</v>
      </c>
      <c r="E155">
        <v>336.55</v>
      </c>
      <c r="F155">
        <v>2.0999999049999998</v>
      </c>
      <c r="G155">
        <v>-1.1956321000000001</v>
      </c>
      <c r="H155">
        <v>-2.0999999049999998</v>
      </c>
      <c r="I155">
        <v>5.1308128389999998</v>
      </c>
      <c r="J155">
        <v>340.06209020614602</v>
      </c>
      <c r="K155">
        <v>336.75512327551797</v>
      </c>
      <c r="L155">
        <v>340.22238807678201</v>
      </c>
      <c r="M155">
        <v>337.31635360717701</v>
      </c>
      <c r="N155">
        <v>334.279573249816</v>
      </c>
      <c r="O155">
        <f t="shared" si="6"/>
        <v>337.14335955232326</v>
      </c>
      <c r="P155">
        <f t="shared" si="7"/>
        <v>-2.0999999000000003</v>
      </c>
      <c r="Q155">
        <v>342.91584130000001</v>
      </c>
      <c r="R155">
        <v>325.98415890000001</v>
      </c>
      <c r="T155">
        <f t="shared" si="8"/>
        <v>0</v>
      </c>
    </row>
    <row r="156" spans="1:20" x14ac:dyDescent="0.3">
      <c r="A156" s="1">
        <v>43041</v>
      </c>
      <c r="B156" s="1">
        <v>43132</v>
      </c>
      <c r="C156">
        <v>335.0843271</v>
      </c>
      <c r="D156">
        <v>333.65</v>
      </c>
      <c r="E156">
        <v>335.05</v>
      </c>
      <c r="F156">
        <v>-1.3999999759999999</v>
      </c>
      <c r="G156">
        <v>3.4327149000000001E-2</v>
      </c>
      <c r="H156">
        <v>-1.3999999759999999</v>
      </c>
      <c r="I156">
        <v>5.1028800309999998</v>
      </c>
      <c r="J156">
        <v>338.05846028327898</v>
      </c>
      <c r="K156">
        <v>337.35246353149398</v>
      </c>
      <c r="L156">
        <v>339.61105518340997</v>
      </c>
      <c r="M156">
        <v>336.50848977565698</v>
      </c>
      <c r="N156">
        <v>334.72497709393502</v>
      </c>
      <c r="O156">
        <f t="shared" si="6"/>
        <v>337.04924639612398</v>
      </c>
      <c r="P156">
        <f t="shared" si="7"/>
        <v>-1.4000000000000341</v>
      </c>
      <c r="Q156">
        <v>342.06975210000002</v>
      </c>
      <c r="R156">
        <v>325.23024800000002</v>
      </c>
      <c r="T156">
        <f t="shared" si="8"/>
        <v>0</v>
      </c>
    </row>
    <row r="157" spans="1:20" x14ac:dyDescent="0.3">
      <c r="A157" s="1">
        <v>43042</v>
      </c>
      <c r="B157" s="1">
        <v>43133</v>
      </c>
      <c r="C157">
        <v>332.64408550000002</v>
      </c>
      <c r="D157">
        <v>327.40000020000002</v>
      </c>
      <c r="E157">
        <v>336.35</v>
      </c>
      <c r="F157">
        <v>8.9499998089999995</v>
      </c>
      <c r="G157">
        <v>-3.7059144970000002</v>
      </c>
      <c r="H157">
        <v>-8.9499998089999995</v>
      </c>
      <c r="I157">
        <v>4.9881768869999998</v>
      </c>
      <c r="J157">
        <v>335.89508358240101</v>
      </c>
      <c r="K157">
        <v>334.33014235496501</v>
      </c>
      <c r="L157">
        <v>338.35701665878298</v>
      </c>
      <c r="M157">
        <v>335.46590093374198</v>
      </c>
      <c r="N157">
        <v>330.82130727767901</v>
      </c>
      <c r="O157">
        <f t="shared" si="6"/>
        <v>334.74359180629222</v>
      </c>
      <c r="P157">
        <f t="shared" si="7"/>
        <v>8.9499998000000005</v>
      </c>
      <c r="Q157">
        <v>335.63049210000003</v>
      </c>
      <c r="R157">
        <v>319.16950830000002</v>
      </c>
      <c r="T157">
        <f t="shared" si="8"/>
        <v>1</v>
      </c>
    </row>
    <row r="158" spans="1:20" x14ac:dyDescent="0.3">
      <c r="A158" s="1">
        <v>43045</v>
      </c>
      <c r="B158" s="1">
        <v>43136</v>
      </c>
      <c r="C158">
        <v>335.89596970000002</v>
      </c>
      <c r="D158">
        <v>323.00000039999998</v>
      </c>
      <c r="E158">
        <v>334.15</v>
      </c>
      <c r="F158">
        <v>-11.149999619999999</v>
      </c>
      <c r="G158">
        <v>1.745969653</v>
      </c>
      <c r="H158">
        <v>-11.149999619999999</v>
      </c>
      <c r="I158">
        <v>4.9533709139999997</v>
      </c>
      <c r="J158">
        <v>336.76278557777403</v>
      </c>
      <c r="K158">
        <v>331.23723354339597</v>
      </c>
      <c r="L158">
        <v>338.083492183685</v>
      </c>
      <c r="M158">
        <v>335.57536091804502</v>
      </c>
      <c r="N158">
        <v>331.13271870612999</v>
      </c>
      <c r="O158">
        <f t="shared" si="6"/>
        <v>334.00720133781402</v>
      </c>
      <c r="P158">
        <f t="shared" si="7"/>
        <v>11.149999600000001</v>
      </c>
      <c r="Q158">
        <v>331.17306239999999</v>
      </c>
      <c r="R158">
        <v>314.82693840000002</v>
      </c>
      <c r="T158">
        <f t="shared" si="8"/>
        <v>0</v>
      </c>
    </row>
    <row r="159" spans="1:20" x14ac:dyDescent="0.3">
      <c r="A159" s="1">
        <v>43046</v>
      </c>
      <c r="B159" s="1">
        <v>43137</v>
      </c>
      <c r="C159">
        <v>334.72313539999999</v>
      </c>
      <c r="D159">
        <v>317.6499996</v>
      </c>
      <c r="E159">
        <v>333.75</v>
      </c>
      <c r="F159">
        <v>-16.100000380000001</v>
      </c>
      <c r="G159">
        <v>0.97313541199999998</v>
      </c>
      <c r="H159">
        <v>-16.100000380000001</v>
      </c>
      <c r="I159">
        <v>5.0375850580000003</v>
      </c>
      <c r="J159">
        <v>333.75099851563499</v>
      </c>
      <c r="K159">
        <v>329.44627237319901</v>
      </c>
      <c r="L159">
        <v>337.108842372894</v>
      </c>
      <c r="M159">
        <v>333.303713321685</v>
      </c>
      <c r="N159">
        <v>330.15142488479597</v>
      </c>
      <c r="O159">
        <f t="shared" si="6"/>
        <v>332.50256323814352</v>
      </c>
      <c r="P159">
        <f t="shared" si="7"/>
        <v>16.100000399999999</v>
      </c>
      <c r="Q159">
        <v>325.96201500000001</v>
      </c>
      <c r="R159">
        <v>309.33798430000002</v>
      </c>
      <c r="T159">
        <f t="shared" si="8"/>
        <v>0</v>
      </c>
    </row>
    <row r="160" spans="1:20" x14ac:dyDescent="0.3">
      <c r="A160" s="1">
        <v>43047</v>
      </c>
      <c r="B160" s="1">
        <v>43138</v>
      </c>
      <c r="C160">
        <v>336.41093769999998</v>
      </c>
      <c r="D160">
        <v>309.5</v>
      </c>
      <c r="E160">
        <v>335.25</v>
      </c>
      <c r="F160">
        <v>-25.75</v>
      </c>
      <c r="G160">
        <v>1.160937667</v>
      </c>
      <c r="H160">
        <v>-25.75</v>
      </c>
      <c r="I160">
        <v>5.3981002939999998</v>
      </c>
      <c r="J160">
        <v>336.021305263042</v>
      </c>
      <c r="K160">
        <v>330.29384040832502</v>
      </c>
      <c r="L160">
        <v>339.75700616836502</v>
      </c>
      <c r="M160">
        <v>334.926392912864</v>
      </c>
      <c r="N160">
        <v>329.46634387969902</v>
      </c>
      <c r="O160">
        <f t="shared" si="6"/>
        <v>333.61089584231325</v>
      </c>
      <c r="P160">
        <f t="shared" si="7"/>
        <v>25.75</v>
      </c>
      <c r="Q160">
        <v>318.40686549999998</v>
      </c>
      <c r="R160">
        <v>300.59313450000002</v>
      </c>
      <c r="T160">
        <f t="shared" si="8"/>
        <v>0</v>
      </c>
    </row>
    <row r="161" spans="1:20" x14ac:dyDescent="0.3">
      <c r="A161" s="1">
        <v>43048</v>
      </c>
      <c r="B161" s="1">
        <v>43139</v>
      </c>
      <c r="C161">
        <v>325.77060690000002</v>
      </c>
      <c r="D161">
        <v>312.50000039999998</v>
      </c>
      <c r="E161">
        <v>333.65</v>
      </c>
      <c r="F161">
        <v>21.149999619999999</v>
      </c>
      <c r="G161">
        <v>-7.8793931009999998</v>
      </c>
      <c r="H161">
        <v>-21.149999619999999</v>
      </c>
      <c r="I161">
        <v>5.6150264139999999</v>
      </c>
      <c r="J161">
        <v>334.96175971031101</v>
      </c>
      <c r="K161">
        <v>324.80681362152097</v>
      </c>
      <c r="L161">
        <v>335.488083863258</v>
      </c>
      <c r="M161">
        <v>329.76617779731703</v>
      </c>
      <c r="N161">
        <v>328.46454229354799</v>
      </c>
      <c r="O161">
        <f t="shared" si="6"/>
        <v>329.631404393911</v>
      </c>
      <c r="P161">
        <f t="shared" si="7"/>
        <v>21.149999600000001</v>
      </c>
      <c r="Q161">
        <v>321.76479399999999</v>
      </c>
      <c r="R161">
        <v>303.23520680000001</v>
      </c>
      <c r="T161">
        <f t="shared" si="8"/>
        <v>0</v>
      </c>
    </row>
    <row r="162" spans="1:20" x14ac:dyDescent="0.3">
      <c r="A162" s="1">
        <v>43049</v>
      </c>
      <c r="B162" s="1">
        <v>43140</v>
      </c>
      <c r="C162">
        <v>332.11008429999998</v>
      </c>
      <c r="D162">
        <v>303.85000079999998</v>
      </c>
      <c r="E162">
        <v>332.9</v>
      </c>
      <c r="F162">
        <v>29.049999239999998</v>
      </c>
      <c r="G162">
        <v>-0.78991573999999998</v>
      </c>
      <c r="H162">
        <v>-29.049999239999998</v>
      </c>
      <c r="I162">
        <v>6.223028051</v>
      </c>
      <c r="J162">
        <v>332.693109446763</v>
      </c>
      <c r="K162">
        <v>325.82052125930699</v>
      </c>
      <c r="L162">
        <v>337.51606407165502</v>
      </c>
      <c r="M162">
        <v>332.49220454096701</v>
      </c>
      <c r="N162">
        <v>326.01185407638502</v>
      </c>
      <c r="O162">
        <f t="shared" si="6"/>
        <v>330.4601609870785</v>
      </c>
      <c r="P162">
        <f t="shared" si="7"/>
        <v>29.049999200000002</v>
      </c>
      <c r="Q162">
        <v>314.117997</v>
      </c>
      <c r="R162">
        <v>293.58200449999998</v>
      </c>
      <c r="T162">
        <f t="shared" si="8"/>
        <v>0</v>
      </c>
    </row>
    <row r="163" spans="1:20" x14ac:dyDescent="0.3">
      <c r="A163" s="1">
        <v>43052</v>
      </c>
      <c r="B163" s="1">
        <v>43143</v>
      </c>
      <c r="C163">
        <v>327.30384140000001</v>
      </c>
      <c r="D163">
        <v>308.09999920000001</v>
      </c>
      <c r="E163">
        <v>331.55</v>
      </c>
      <c r="F163">
        <v>23.450000760000002</v>
      </c>
      <c r="G163">
        <v>-4.2461586000000002</v>
      </c>
      <c r="H163">
        <v>-23.450000760000002</v>
      </c>
      <c r="I163">
        <v>6.5709688939999999</v>
      </c>
      <c r="J163">
        <v>336.83080701827998</v>
      </c>
      <c r="K163">
        <v>324.323284435272</v>
      </c>
      <c r="L163">
        <v>339.14530544281001</v>
      </c>
      <c r="M163">
        <v>327.63087038993802</v>
      </c>
      <c r="N163">
        <v>327.66284732818599</v>
      </c>
      <c r="O163">
        <f t="shared" si="6"/>
        <v>329.69057689905151</v>
      </c>
      <c r="P163">
        <f t="shared" si="7"/>
        <v>23.450000799999998</v>
      </c>
      <c r="Q163">
        <v>318.94209790000002</v>
      </c>
      <c r="R163">
        <v>297.25790060000003</v>
      </c>
      <c r="T163">
        <f t="shared" si="8"/>
        <v>0</v>
      </c>
    </row>
    <row r="164" spans="1:20" x14ac:dyDescent="0.3">
      <c r="A164" s="1">
        <v>43053</v>
      </c>
      <c r="B164" s="1">
        <v>43144</v>
      </c>
      <c r="C164">
        <v>328.61725810000002</v>
      </c>
      <c r="D164">
        <v>311.40000040000001</v>
      </c>
      <c r="E164">
        <v>331.3</v>
      </c>
      <c r="F164">
        <v>19.899999619999999</v>
      </c>
      <c r="G164">
        <v>-2.68274188</v>
      </c>
      <c r="H164">
        <v>-19.899999619999999</v>
      </c>
      <c r="I164">
        <v>6.7675366930000003</v>
      </c>
      <c r="J164">
        <v>336.141430664062</v>
      </c>
      <c r="K164">
        <v>333.04321460723799</v>
      </c>
      <c r="L164">
        <v>338.56297569274898</v>
      </c>
      <c r="M164">
        <v>332.87754957675901</v>
      </c>
      <c r="N164">
        <v>330.04370157718603</v>
      </c>
      <c r="O164">
        <f t="shared" si="6"/>
        <v>333.63186036348304</v>
      </c>
      <c r="P164">
        <f t="shared" si="7"/>
        <v>-19.899999600000001</v>
      </c>
      <c r="Q164">
        <v>322.56643589999999</v>
      </c>
      <c r="R164">
        <v>300.23356480000001</v>
      </c>
      <c r="T164">
        <f t="shared" si="8"/>
        <v>0</v>
      </c>
    </row>
    <row r="165" spans="1:20" x14ac:dyDescent="0.3">
      <c r="A165" s="1">
        <v>43054</v>
      </c>
      <c r="B165" s="1">
        <v>43145</v>
      </c>
      <c r="C165">
        <v>323.0939497</v>
      </c>
      <c r="D165">
        <v>314.29999959999998</v>
      </c>
      <c r="E165">
        <v>329.15</v>
      </c>
      <c r="F165">
        <v>14.850000380000001</v>
      </c>
      <c r="G165">
        <v>-6.056050301</v>
      </c>
      <c r="H165">
        <v>-14.850000380000001</v>
      </c>
      <c r="I165">
        <v>6.8889796680000002</v>
      </c>
      <c r="J165">
        <v>337.04158964157102</v>
      </c>
      <c r="K165">
        <v>328.27055087089502</v>
      </c>
      <c r="L165">
        <v>339.482426071166</v>
      </c>
      <c r="M165">
        <v>333.86200704574497</v>
      </c>
      <c r="N165">
        <v>329.87640031576097</v>
      </c>
      <c r="O165">
        <f t="shared" si="6"/>
        <v>332.87284607589174</v>
      </c>
      <c r="P165">
        <f t="shared" si="7"/>
        <v>-14.850000399999999</v>
      </c>
      <c r="Q165">
        <v>325.66681610000001</v>
      </c>
      <c r="R165">
        <v>302.93318319999997</v>
      </c>
      <c r="T165">
        <f t="shared" si="8"/>
        <v>0</v>
      </c>
    </row>
    <row r="166" spans="1:20" x14ac:dyDescent="0.3">
      <c r="A166" s="1">
        <v>43055</v>
      </c>
      <c r="B166" s="1">
        <v>43146</v>
      </c>
      <c r="C166">
        <v>324.57419609999999</v>
      </c>
      <c r="D166">
        <v>314.3</v>
      </c>
      <c r="E166">
        <v>331.3</v>
      </c>
      <c r="F166">
        <v>17</v>
      </c>
      <c r="G166">
        <v>-6.7258038520000003</v>
      </c>
      <c r="H166">
        <v>-17</v>
      </c>
      <c r="I166">
        <v>6.9753420439999996</v>
      </c>
      <c r="J166">
        <v>331.43983395695602</v>
      </c>
      <c r="K166">
        <v>324.900041389465</v>
      </c>
      <c r="L166">
        <v>338.28027515411299</v>
      </c>
      <c r="M166">
        <v>335.41391162872299</v>
      </c>
      <c r="N166">
        <v>330.18480901718101</v>
      </c>
      <c r="O166">
        <f t="shared" si="6"/>
        <v>332.19475929737052</v>
      </c>
      <c r="P166">
        <f t="shared" si="7"/>
        <v>-17</v>
      </c>
      <c r="Q166">
        <v>325.80931440000001</v>
      </c>
      <c r="R166">
        <v>302.79068560000002</v>
      </c>
      <c r="T166">
        <f t="shared" si="8"/>
        <v>0</v>
      </c>
    </row>
    <row r="167" spans="1:20" x14ac:dyDescent="0.3">
      <c r="A167" s="1">
        <v>43056</v>
      </c>
      <c r="B167" s="1">
        <v>43147</v>
      </c>
      <c r="C167">
        <v>326.3052356</v>
      </c>
      <c r="D167">
        <v>314.30000039999999</v>
      </c>
      <c r="E167">
        <v>330.95</v>
      </c>
      <c r="F167">
        <v>16.649999619999999</v>
      </c>
      <c r="G167">
        <v>-4.6447644229999998</v>
      </c>
      <c r="H167">
        <v>-16.649999619999999</v>
      </c>
      <c r="I167">
        <v>7.0558114180000002</v>
      </c>
      <c r="J167">
        <v>327.30228037834098</v>
      </c>
      <c r="K167">
        <v>326.41125268936099</v>
      </c>
      <c r="L167">
        <v>332.59733672141999</v>
      </c>
      <c r="M167">
        <v>333.39854569435101</v>
      </c>
      <c r="N167">
        <v>331.28243936300203</v>
      </c>
      <c r="O167">
        <f t="shared" si="6"/>
        <v>330.92239361703355</v>
      </c>
      <c r="P167">
        <f t="shared" si="7"/>
        <v>16.649999600000001</v>
      </c>
      <c r="Q167">
        <v>325.9420892</v>
      </c>
      <c r="R167">
        <v>302.65791150000001</v>
      </c>
      <c r="T167">
        <f t="shared" si="8"/>
        <v>0</v>
      </c>
    </row>
    <row r="168" spans="1:20" x14ac:dyDescent="0.3">
      <c r="A168" s="1">
        <v>43059</v>
      </c>
      <c r="B168" s="1">
        <v>43150</v>
      </c>
      <c r="C168">
        <v>329.72429440000002</v>
      </c>
      <c r="D168">
        <v>316.25000019999999</v>
      </c>
      <c r="E168">
        <v>329.45</v>
      </c>
      <c r="F168">
        <v>-13.19999981</v>
      </c>
      <c r="G168">
        <v>0.27429443599999997</v>
      </c>
      <c r="H168">
        <v>-13.19999981</v>
      </c>
      <c r="I168">
        <v>7.1057772909999999</v>
      </c>
      <c r="J168">
        <v>330.63068361282302</v>
      </c>
      <c r="K168">
        <v>331.40265173912002</v>
      </c>
      <c r="L168">
        <v>341.64655895233102</v>
      </c>
      <c r="M168">
        <v>334.12205238342199</v>
      </c>
      <c r="N168">
        <v>332.55533738136199</v>
      </c>
      <c r="O168">
        <f t="shared" si="6"/>
        <v>334.93165011405875</v>
      </c>
      <c r="P168">
        <f t="shared" si="7"/>
        <v>-13.199999800000001</v>
      </c>
      <c r="Q168">
        <v>327.9745327</v>
      </c>
      <c r="R168">
        <v>304.52546769999998</v>
      </c>
      <c r="T168">
        <f t="shared" si="8"/>
        <v>0</v>
      </c>
    </row>
    <row r="169" spans="1:20" x14ac:dyDescent="0.3">
      <c r="A169" s="1">
        <v>43060</v>
      </c>
      <c r="B169" s="1">
        <v>43151</v>
      </c>
      <c r="C169">
        <v>335.0395742</v>
      </c>
      <c r="D169">
        <v>311.99999960000002</v>
      </c>
      <c r="E169">
        <v>330.85</v>
      </c>
      <c r="F169">
        <v>-18.850000380000001</v>
      </c>
      <c r="G169">
        <v>4.1895742419999999</v>
      </c>
      <c r="H169">
        <v>-18.850000380000001</v>
      </c>
      <c r="I169">
        <v>7.2247302480000002</v>
      </c>
      <c r="J169">
        <v>334.95513925552302</v>
      </c>
      <c r="K169">
        <v>335.02757654189998</v>
      </c>
      <c r="L169">
        <v>344.62218818664502</v>
      </c>
      <c r="M169">
        <v>336.560412979126</v>
      </c>
      <c r="N169">
        <v>332.18897924423197</v>
      </c>
      <c r="O169">
        <f t="shared" si="6"/>
        <v>337.09978923797576</v>
      </c>
      <c r="P169">
        <f t="shared" si="7"/>
        <v>-18.850000399999999</v>
      </c>
      <c r="Q169">
        <v>323.92080449999997</v>
      </c>
      <c r="R169">
        <v>300.07919470000002</v>
      </c>
      <c r="T169">
        <f t="shared" si="8"/>
        <v>0</v>
      </c>
    </row>
    <row r="170" spans="1:20" x14ac:dyDescent="0.3">
      <c r="A170" s="1">
        <v>43061</v>
      </c>
      <c r="B170" s="1">
        <v>43152</v>
      </c>
      <c r="C170">
        <v>335.38592890000001</v>
      </c>
      <c r="D170">
        <v>314.05</v>
      </c>
      <c r="E170">
        <v>332.55</v>
      </c>
      <c r="F170">
        <v>-18.5</v>
      </c>
      <c r="G170">
        <v>2.8359289169999999</v>
      </c>
      <c r="H170">
        <v>-18.5</v>
      </c>
      <c r="I170">
        <v>7.2539401589999999</v>
      </c>
      <c r="J170">
        <v>331.62946521043699</v>
      </c>
      <c r="K170">
        <v>330.22234730720498</v>
      </c>
      <c r="L170">
        <v>343.913991737365</v>
      </c>
      <c r="M170">
        <v>336.208836603164</v>
      </c>
      <c r="N170">
        <v>333.22562019824898</v>
      </c>
      <c r="O170">
        <f t="shared" si="6"/>
        <v>335.89269896149574</v>
      </c>
      <c r="P170">
        <f t="shared" si="7"/>
        <v>-18.5</v>
      </c>
      <c r="Q170">
        <v>326.01900130000001</v>
      </c>
      <c r="R170">
        <v>302.08099870000001</v>
      </c>
      <c r="T170">
        <f t="shared" si="8"/>
        <v>0</v>
      </c>
    </row>
    <row r="171" spans="1:20" x14ac:dyDescent="0.3">
      <c r="A171" s="1">
        <v>43062</v>
      </c>
      <c r="B171" s="1">
        <v>43153</v>
      </c>
      <c r="C171">
        <v>330.08534839999999</v>
      </c>
      <c r="D171">
        <v>311.84999959999999</v>
      </c>
      <c r="E171">
        <v>331.45</v>
      </c>
      <c r="F171">
        <v>19.600000380000001</v>
      </c>
      <c r="G171">
        <v>-1.3646515610000001</v>
      </c>
      <c r="H171">
        <v>-19.600000380000001</v>
      </c>
      <c r="I171">
        <v>7.3415822909999999</v>
      </c>
      <c r="J171">
        <v>331.28382554352203</v>
      </c>
      <c r="K171">
        <v>326.836094093322</v>
      </c>
      <c r="L171">
        <v>338.36954946517898</v>
      </c>
      <c r="M171">
        <v>336.41145296096801</v>
      </c>
      <c r="N171">
        <v>331.08415551185601</v>
      </c>
      <c r="O171">
        <f t="shared" si="6"/>
        <v>333.17531300783128</v>
      </c>
      <c r="P171">
        <f t="shared" si="7"/>
        <v>-19.600000399999999</v>
      </c>
      <c r="Q171">
        <v>323.96361039999999</v>
      </c>
      <c r="R171">
        <v>299.73638879999999</v>
      </c>
      <c r="T171">
        <f t="shared" si="8"/>
        <v>0</v>
      </c>
    </row>
    <row r="172" spans="1:20" x14ac:dyDescent="0.3">
      <c r="A172" s="1">
        <v>43063</v>
      </c>
      <c r="B172" s="1">
        <v>43154</v>
      </c>
      <c r="C172">
        <v>334.56493139999998</v>
      </c>
      <c r="D172">
        <v>316.9499998</v>
      </c>
      <c r="E172">
        <v>332.25</v>
      </c>
      <c r="F172">
        <v>-15.30000019</v>
      </c>
      <c r="G172">
        <v>2.3149313930000002</v>
      </c>
      <c r="H172">
        <v>-15.30000019</v>
      </c>
      <c r="I172">
        <v>7.3046936469999997</v>
      </c>
      <c r="J172">
        <v>337.42790412902798</v>
      </c>
      <c r="K172">
        <v>329.169620037078</v>
      </c>
      <c r="L172">
        <v>343.26751041412302</v>
      </c>
      <c r="M172">
        <v>339.32434511184601</v>
      </c>
      <c r="N172">
        <v>335.19703078269902</v>
      </c>
      <c r="O172">
        <f t="shared" si="6"/>
        <v>336.73962658643654</v>
      </c>
      <c r="P172">
        <f t="shared" si="7"/>
        <v>-15.300000199999999</v>
      </c>
      <c r="Q172">
        <v>329.00274430000002</v>
      </c>
      <c r="R172">
        <v>304.89725529999998</v>
      </c>
      <c r="T172">
        <f t="shared" si="8"/>
        <v>0</v>
      </c>
    </row>
    <row r="173" spans="1:20" x14ac:dyDescent="0.3">
      <c r="A173" s="1">
        <v>43066</v>
      </c>
      <c r="B173" s="1">
        <v>43157</v>
      </c>
      <c r="C173">
        <v>328.98845</v>
      </c>
      <c r="D173">
        <v>317.09999979999998</v>
      </c>
      <c r="E173">
        <v>325.89999999999998</v>
      </c>
      <c r="F173">
        <v>-8.8000001910000005</v>
      </c>
      <c r="G173">
        <v>3.0884499550000002</v>
      </c>
      <c r="H173">
        <v>-8.8000001910000005</v>
      </c>
      <c r="I173">
        <v>7.3382094889999996</v>
      </c>
      <c r="J173">
        <v>339.954980278015</v>
      </c>
      <c r="K173">
        <v>334.85227813720701</v>
      </c>
      <c r="L173">
        <v>342.37457313537499</v>
      </c>
      <c r="M173">
        <v>337.89604606628399</v>
      </c>
      <c r="N173">
        <v>329.72713937759301</v>
      </c>
      <c r="O173">
        <f t="shared" si="6"/>
        <v>336.21250917911476</v>
      </c>
      <c r="P173">
        <f t="shared" si="7"/>
        <v>-8.8000001999999995</v>
      </c>
      <c r="Q173">
        <v>329.20804550000003</v>
      </c>
      <c r="R173">
        <v>304.99195420000001</v>
      </c>
      <c r="T173">
        <f t="shared" si="8"/>
        <v>0</v>
      </c>
    </row>
    <row r="174" spans="1:20" x14ac:dyDescent="0.3">
      <c r="A174" s="1">
        <v>43067</v>
      </c>
      <c r="B174" s="1">
        <v>43158</v>
      </c>
      <c r="C174">
        <v>326.98363039999998</v>
      </c>
      <c r="D174">
        <v>315.75000019999999</v>
      </c>
      <c r="E174">
        <v>327.7</v>
      </c>
      <c r="F174">
        <v>11.94999981</v>
      </c>
      <c r="G174">
        <v>-0.71636962900000001</v>
      </c>
      <c r="H174">
        <v>-11.94999981</v>
      </c>
      <c r="I174">
        <v>7.3737460639999997</v>
      </c>
      <c r="J174">
        <v>333.86645050048799</v>
      </c>
      <c r="K174">
        <v>332.998645496368</v>
      </c>
      <c r="L174">
        <v>336.700248908996</v>
      </c>
      <c r="M174">
        <v>333.35652608871402</v>
      </c>
      <c r="N174">
        <v>332.98134918212799</v>
      </c>
      <c r="O174">
        <f t="shared" si="6"/>
        <v>334.00919241905149</v>
      </c>
      <c r="P174">
        <f t="shared" si="7"/>
        <v>-11.949999800000001</v>
      </c>
      <c r="Q174">
        <v>327.91668120000003</v>
      </c>
      <c r="R174">
        <v>303.58331920000001</v>
      </c>
      <c r="T174">
        <f t="shared" si="8"/>
        <v>0</v>
      </c>
    </row>
    <row r="175" spans="1:20" x14ac:dyDescent="0.3">
      <c r="A175" s="1">
        <v>43068</v>
      </c>
      <c r="B175" s="1">
        <v>43159</v>
      </c>
      <c r="C175">
        <v>320.09472959999999</v>
      </c>
      <c r="D175">
        <v>312.45</v>
      </c>
      <c r="E175">
        <v>327.7</v>
      </c>
      <c r="F175">
        <v>15.25</v>
      </c>
      <c r="G175">
        <v>-7.6052703859999999</v>
      </c>
      <c r="H175">
        <v>-15.25</v>
      </c>
      <c r="I175">
        <v>7.4649805819999999</v>
      </c>
      <c r="J175">
        <v>328.14489926099702</v>
      </c>
      <c r="K175">
        <v>328.873865556716</v>
      </c>
      <c r="L175">
        <v>341.03592510223302</v>
      </c>
      <c r="M175">
        <v>334.12210721969598</v>
      </c>
      <c r="N175">
        <v>332.89280767440698</v>
      </c>
      <c r="O175">
        <f t="shared" si="6"/>
        <v>334.23117638826301</v>
      </c>
      <c r="P175">
        <f t="shared" si="7"/>
        <v>-15.25</v>
      </c>
      <c r="Q175">
        <v>324.76721800000001</v>
      </c>
      <c r="R175">
        <v>300.13278200000002</v>
      </c>
      <c r="T175">
        <f t="shared" si="8"/>
        <v>0</v>
      </c>
    </row>
    <row r="176" spans="1:20" x14ac:dyDescent="0.3">
      <c r="A176" s="1">
        <v>43069</v>
      </c>
      <c r="B176" s="1">
        <v>43160</v>
      </c>
      <c r="C176">
        <v>321.97568949999999</v>
      </c>
      <c r="D176">
        <v>312.4499998</v>
      </c>
      <c r="E176">
        <v>322.25</v>
      </c>
      <c r="F176">
        <v>9.8000001910000005</v>
      </c>
      <c r="G176">
        <v>-0.27431049899999999</v>
      </c>
      <c r="H176">
        <v>-9.8000001910000005</v>
      </c>
      <c r="I176">
        <v>7.5743936989999998</v>
      </c>
      <c r="J176">
        <v>324.83605551719597</v>
      </c>
      <c r="K176">
        <v>322.599004119634</v>
      </c>
      <c r="L176">
        <v>334.17149925231899</v>
      </c>
      <c r="M176">
        <v>330.210956096649</v>
      </c>
      <c r="N176">
        <v>324.77033376693697</v>
      </c>
      <c r="O176">
        <f t="shared" si="6"/>
        <v>327.93794830888476</v>
      </c>
      <c r="P176">
        <f t="shared" si="7"/>
        <v>-9.8000001999999995</v>
      </c>
      <c r="Q176">
        <v>324.94774940000002</v>
      </c>
      <c r="R176">
        <v>299.95225019999998</v>
      </c>
      <c r="T176">
        <f t="shared" si="8"/>
        <v>0</v>
      </c>
    </row>
    <row r="177" spans="1:20" x14ac:dyDescent="0.3">
      <c r="A177" s="1">
        <v>43070</v>
      </c>
      <c r="B177" s="1">
        <v>43161</v>
      </c>
      <c r="C177">
        <v>319.78567609999999</v>
      </c>
      <c r="D177">
        <v>308.15000020000002</v>
      </c>
      <c r="E177">
        <v>321.85000000000002</v>
      </c>
      <c r="F177">
        <v>13.69999981</v>
      </c>
      <c r="G177">
        <v>-2.0643239019999999</v>
      </c>
      <c r="H177">
        <v>-13.69999981</v>
      </c>
      <c r="I177">
        <v>7.7846316790000003</v>
      </c>
      <c r="J177">
        <v>319.29413352012602</v>
      </c>
      <c r="K177">
        <v>321.79804259389601</v>
      </c>
      <c r="L177">
        <v>332.13431892394999</v>
      </c>
      <c r="M177">
        <v>324.65588531494097</v>
      </c>
      <c r="N177">
        <v>321.260299062728</v>
      </c>
      <c r="O177">
        <f t="shared" si="6"/>
        <v>324.96213647387873</v>
      </c>
      <c r="P177">
        <f t="shared" si="7"/>
        <v>-13.699999800000001</v>
      </c>
      <c r="Q177">
        <v>320.9946425</v>
      </c>
      <c r="R177">
        <v>295.30535789999999</v>
      </c>
      <c r="T177">
        <f t="shared" si="8"/>
        <v>0</v>
      </c>
    </row>
    <row r="178" spans="1:20" x14ac:dyDescent="0.3">
      <c r="A178" s="1">
        <v>43073</v>
      </c>
      <c r="B178" s="1">
        <v>43164</v>
      </c>
      <c r="C178">
        <v>323.9749013</v>
      </c>
      <c r="D178">
        <v>303.8500004</v>
      </c>
      <c r="E178">
        <v>325</v>
      </c>
      <c r="F178">
        <v>21.149999619999999</v>
      </c>
      <c r="G178">
        <v>-1.025098681</v>
      </c>
      <c r="H178">
        <v>-21.149999619999999</v>
      </c>
      <c r="I178">
        <v>8.1110012539999996</v>
      </c>
      <c r="J178">
        <v>320.49290132522498</v>
      </c>
      <c r="K178">
        <v>321.73468160629199</v>
      </c>
      <c r="L178">
        <v>335.68847370147699</v>
      </c>
      <c r="M178">
        <v>328.67724752426102</v>
      </c>
      <c r="N178">
        <v>321.48224663734402</v>
      </c>
      <c r="O178">
        <f t="shared" si="6"/>
        <v>326.8956623673435</v>
      </c>
      <c r="P178">
        <f t="shared" si="7"/>
        <v>-21.149999600000001</v>
      </c>
      <c r="Q178">
        <v>317.23315250000002</v>
      </c>
      <c r="R178">
        <v>290.46684829999998</v>
      </c>
      <c r="T178">
        <f t="shared" si="8"/>
        <v>0</v>
      </c>
    </row>
    <row r="179" spans="1:20" x14ac:dyDescent="0.3">
      <c r="A179" s="1">
        <v>43074</v>
      </c>
      <c r="B179" s="1">
        <v>43165</v>
      </c>
      <c r="C179">
        <v>322.30331050000001</v>
      </c>
      <c r="D179">
        <v>310.30000080000002</v>
      </c>
      <c r="E179">
        <v>326.60000000000002</v>
      </c>
      <c r="F179">
        <v>16.299999239999998</v>
      </c>
      <c r="G179">
        <v>-4.2966895100000002</v>
      </c>
      <c r="H179">
        <v>-16.299999239999998</v>
      </c>
      <c r="I179">
        <v>8.2212875949999997</v>
      </c>
      <c r="J179">
        <v>318.777666187286</v>
      </c>
      <c r="K179">
        <v>323.100713825225</v>
      </c>
      <c r="L179">
        <v>333.99721679687502</v>
      </c>
      <c r="M179">
        <v>328.898007965087</v>
      </c>
      <c r="N179">
        <v>323.00723538398699</v>
      </c>
      <c r="O179">
        <f t="shared" si="6"/>
        <v>327.25079349279349</v>
      </c>
      <c r="P179">
        <f t="shared" si="7"/>
        <v>-16.299999200000002</v>
      </c>
      <c r="Q179">
        <v>323.86512529999999</v>
      </c>
      <c r="R179">
        <v>296.73487619999997</v>
      </c>
      <c r="T179">
        <f t="shared" si="8"/>
        <v>0</v>
      </c>
    </row>
    <row r="180" spans="1:20" x14ac:dyDescent="0.3">
      <c r="A180" s="1">
        <v>43075</v>
      </c>
      <c r="B180" s="1">
        <v>43166</v>
      </c>
      <c r="C180">
        <v>319.43388859999999</v>
      </c>
      <c r="D180">
        <v>310.45000019999998</v>
      </c>
      <c r="E180">
        <v>321.64999999999998</v>
      </c>
      <c r="F180">
        <v>11.19999981</v>
      </c>
      <c r="G180">
        <v>-2.216111422</v>
      </c>
      <c r="H180">
        <v>-11.19999981</v>
      </c>
      <c r="I180">
        <v>8.3422529989999994</v>
      </c>
      <c r="J180">
        <v>317.783496761322</v>
      </c>
      <c r="K180">
        <v>322.67219545841198</v>
      </c>
      <c r="L180">
        <v>334.56845607757498</v>
      </c>
      <c r="M180">
        <v>322.29624685048998</v>
      </c>
      <c r="N180">
        <v>321.951490098237</v>
      </c>
      <c r="O180">
        <f t="shared" si="6"/>
        <v>325.37209712117846</v>
      </c>
      <c r="P180">
        <f t="shared" si="7"/>
        <v>-11.199999800000001</v>
      </c>
      <c r="Q180">
        <v>324.21471759999997</v>
      </c>
      <c r="R180">
        <v>296.68528270000002</v>
      </c>
      <c r="T180">
        <f t="shared" si="8"/>
        <v>0</v>
      </c>
    </row>
    <row r="181" spans="1:20" x14ac:dyDescent="0.3">
      <c r="A181" s="1">
        <v>43076</v>
      </c>
      <c r="B181" s="1">
        <v>43167</v>
      </c>
      <c r="C181">
        <v>320.25616170000001</v>
      </c>
      <c r="D181">
        <v>313.60000009999999</v>
      </c>
      <c r="E181">
        <v>320.7</v>
      </c>
      <c r="F181">
        <v>7.0999999049999998</v>
      </c>
      <c r="G181">
        <v>-0.44383829800000002</v>
      </c>
      <c r="H181">
        <v>-7.0999999049999998</v>
      </c>
      <c r="I181">
        <v>8.4016687900000004</v>
      </c>
      <c r="J181">
        <v>321.303687703609</v>
      </c>
      <c r="K181">
        <v>321.25610996484698</v>
      </c>
      <c r="L181">
        <v>334.354157638549</v>
      </c>
      <c r="M181">
        <v>325.67969341278001</v>
      </c>
      <c r="N181">
        <v>323.53398795127799</v>
      </c>
      <c r="O181">
        <f t="shared" si="6"/>
        <v>326.20598724186351</v>
      </c>
      <c r="P181">
        <f t="shared" si="7"/>
        <v>-7.0999999000000003</v>
      </c>
      <c r="Q181">
        <v>327.46275359999998</v>
      </c>
      <c r="R181">
        <v>299.73724659999999</v>
      </c>
      <c r="T181">
        <f t="shared" si="8"/>
        <v>0</v>
      </c>
    </row>
    <row r="182" spans="1:20" x14ac:dyDescent="0.3">
      <c r="A182" s="1">
        <v>43077</v>
      </c>
      <c r="B182" s="1">
        <v>43168</v>
      </c>
      <c r="C182">
        <v>322.45719320000001</v>
      </c>
      <c r="D182">
        <v>317.09999979999998</v>
      </c>
      <c r="E182">
        <v>321.39999999999998</v>
      </c>
      <c r="F182">
        <v>-4.3000001909999996</v>
      </c>
      <c r="G182">
        <v>1.05719316</v>
      </c>
      <c r="H182">
        <v>-4.3000001909999996</v>
      </c>
      <c r="I182">
        <v>8.4200109340000004</v>
      </c>
      <c r="J182">
        <v>322.75400283336597</v>
      </c>
      <c r="K182">
        <v>322.62345459461199</v>
      </c>
      <c r="L182">
        <v>331.02785911559999</v>
      </c>
      <c r="M182">
        <v>324.752667570114</v>
      </c>
      <c r="N182">
        <v>324.08338537216099</v>
      </c>
      <c r="O182">
        <f t="shared" si="6"/>
        <v>325.62184166312176</v>
      </c>
      <c r="P182">
        <f t="shared" si="7"/>
        <v>-4.3000001999999995</v>
      </c>
      <c r="Q182">
        <v>330.99301789999998</v>
      </c>
      <c r="R182">
        <v>303.20698179999999</v>
      </c>
      <c r="T182">
        <f t="shared" si="8"/>
        <v>0</v>
      </c>
    </row>
    <row r="183" spans="1:20" x14ac:dyDescent="0.3">
      <c r="A183" s="1">
        <v>43080</v>
      </c>
      <c r="B183" s="1">
        <v>43171</v>
      </c>
      <c r="C183">
        <v>316.29152440000001</v>
      </c>
      <c r="D183">
        <v>320.10000000000002</v>
      </c>
      <c r="E183">
        <v>321.5</v>
      </c>
      <c r="F183">
        <v>1.3999999759999999</v>
      </c>
      <c r="G183">
        <v>-5.2084755899999999</v>
      </c>
      <c r="H183">
        <v>-1.3999999759999999</v>
      </c>
      <c r="I183">
        <v>8.4218353159999992</v>
      </c>
      <c r="J183">
        <v>326.68335247039698</v>
      </c>
      <c r="K183">
        <v>322.527549624443</v>
      </c>
      <c r="L183">
        <v>329.115431308746</v>
      </c>
      <c r="M183">
        <v>318.82070159912098</v>
      </c>
      <c r="N183">
        <v>321.557817630469</v>
      </c>
      <c r="O183">
        <f t="shared" si="6"/>
        <v>323.00537504069473</v>
      </c>
      <c r="P183">
        <f t="shared" si="7"/>
        <v>-1.3999999999999773</v>
      </c>
      <c r="Q183">
        <v>333.99602829999998</v>
      </c>
      <c r="R183">
        <v>306.20397179999998</v>
      </c>
      <c r="T183">
        <f t="shared" si="8"/>
        <v>0</v>
      </c>
    </row>
    <row r="184" spans="1:20" x14ac:dyDescent="0.3">
      <c r="A184" s="1">
        <v>43081</v>
      </c>
      <c r="B184" s="1">
        <v>43172</v>
      </c>
      <c r="C184">
        <v>321.26194609999999</v>
      </c>
      <c r="D184">
        <v>321.5</v>
      </c>
      <c r="E184">
        <v>320.45</v>
      </c>
      <c r="F184">
        <v>1.0499999520000001</v>
      </c>
      <c r="G184">
        <v>0.81194609399999995</v>
      </c>
      <c r="H184">
        <v>1.0499999520000001</v>
      </c>
      <c r="I184">
        <v>8.4208132720000002</v>
      </c>
      <c r="J184">
        <v>327.511970233917</v>
      </c>
      <c r="K184">
        <v>325.36091966628999</v>
      </c>
      <c r="L184">
        <v>328.8274061203</v>
      </c>
      <c r="M184">
        <v>322.08228857517202</v>
      </c>
      <c r="N184">
        <v>324.18181986808702</v>
      </c>
      <c r="O184">
        <f t="shared" si="6"/>
        <v>325.11310855746228</v>
      </c>
      <c r="P184">
        <f t="shared" si="7"/>
        <v>1.0500000000000114</v>
      </c>
      <c r="Q184">
        <v>335.39434189999997</v>
      </c>
      <c r="R184">
        <v>307.60565810000003</v>
      </c>
      <c r="T184">
        <f t="shared" si="8"/>
        <v>1</v>
      </c>
    </row>
    <row r="185" spans="1:20" x14ac:dyDescent="0.3">
      <c r="A185" s="1">
        <v>43082</v>
      </c>
      <c r="B185" s="1">
        <v>43173</v>
      </c>
      <c r="C185">
        <v>320.3769547</v>
      </c>
      <c r="D185">
        <v>321.55</v>
      </c>
      <c r="E185">
        <v>322.85000000000002</v>
      </c>
      <c r="F185">
        <v>1.2999999520000001</v>
      </c>
      <c r="G185">
        <v>-2.4730453489999999</v>
      </c>
      <c r="H185">
        <v>-1.2999999520000001</v>
      </c>
      <c r="I185">
        <v>8.4191190099999993</v>
      </c>
      <c r="J185">
        <v>325.44529995918202</v>
      </c>
      <c r="K185">
        <v>325.40986046790999</v>
      </c>
      <c r="L185">
        <v>330.00367841720498</v>
      </c>
      <c r="M185">
        <v>325.49116787910401</v>
      </c>
      <c r="N185">
        <v>321.08064136505101</v>
      </c>
      <c r="O185">
        <f t="shared" si="6"/>
        <v>325.49633703231751</v>
      </c>
      <c r="P185">
        <f t="shared" si="7"/>
        <v>-1.3000000000000114</v>
      </c>
      <c r="Q185">
        <v>335.44154639999999</v>
      </c>
      <c r="R185">
        <v>307.6584537</v>
      </c>
      <c r="T185">
        <f t="shared" si="8"/>
        <v>0</v>
      </c>
    </row>
    <row r="186" spans="1:20" x14ac:dyDescent="0.3">
      <c r="A186" s="1">
        <v>43083</v>
      </c>
      <c r="B186" s="1">
        <v>43174</v>
      </c>
      <c r="C186">
        <v>330.91359360000001</v>
      </c>
      <c r="D186">
        <v>322.85000000000002</v>
      </c>
      <c r="E186">
        <v>324.3</v>
      </c>
      <c r="F186">
        <v>-1.4500000479999999</v>
      </c>
      <c r="G186">
        <v>6.6135935779999997</v>
      </c>
      <c r="H186">
        <v>-1.4500000479999999</v>
      </c>
      <c r="I186">
        <v>8.4134700549999994</v>
      </c>
      <c r="J186">
        <v>331.952365684509</v>
      </c>
      <c r="K186">
        <v>331.33075027465799</v>
      </c>
      <c r="L186">
        <v>336.59072380065902</v>
      </c>
      <c r="M186">
        <v>332.73988037109302</v>
      </c>
      <c r="N186">
        <v>332.11392621994003</v>
      </c>
      <c r="O186">
        <f t="shared" si="6"/>
        <v>333.19382016658756</v>
      </c>
      <c r="P186">
        <f t="shared" si="7"/>
        <v>-1.4499999999999886</v>
      </c>
      <c r="Q186">
        <v>336.73222550000003</v>
      </c>
      <c r="R186">
        <v>308.9677744</v>
      </c>
      <c r="T186">
        <f t="shared" si="8"/>
        <v>0</v>
      </c>
    </row>
    <row r="187" spans="1:20" x14ac:dyDescent="0.3">
      <c r="A187" s="1">
        <v>43084</v>
      </c>
      <c r="B187" s="1">
        <v>43175</v>
      </c>
      <c r="C187">
        <v>325.57500429999999</v>
      </c>
      <c r="D187">
        <v>322</v>
      </c>
      <c r="E187">
        <v>322.75</v>
      </c>
      <c r="F187">
        <v>-0.75</v>
      </c>
      <c r="G187">
        <v>2.8250043389999999</v>
      </c>
      <c r="H187">
        <v>-0.75</v>
      </c>
      <c r="I187">
        <v>8.4121949600000008</v>
      </c>
      <c r="J187">
        <v>324.16062378883299</v>
      </c>
      <c r="K187">
        <v>325.676852941513</v>
      </c>
      <c r="L187">
        <v>328.86242198944001</v>
      </c>
      <c r="M187">
        <v>327.598573207855</v>
      </c>
      <c r="N187">
        <v>323.93475270271301</v>
      </c>
      <c r="O187">
        <f t="shared" si="6"/>
        <v>326.51815021038027</v>
      </c>
      <c r="P187">
        <f t="shared" si="7"/>
        <v>-0.75</v>
      </c>
      <c r="Q187">
        <v>335.88012170000002</v>
      </c>
      <c r="R187">
        <v>308.11987829999998</v>
      </c>
      <c r="T187">
        <f t="shared" si="8"/>
        <v>0</v>
      </c>
    </row>
    <row r="188" spans="1:20" x14ac:dyDescent="0.3">
      <c r="A188" s="1">
        <v>43087</v>
      </c>
      <c r="B188" s="1">
        <v>43178</v>
      </c>
      <c r="C188">
        <v>326.3199166</v>
      </c>
      <c r="D188">
        <v>319.84999979999998</v>
      </c>
      <c r="E188">
        <v>324.14999999999998</v>
      </c>
      <c r="F188">
        <v>-4.3000001909999996</v>
      </c>
      <c r="G188">
        <v>2.1699166299999999</v>
      </c>
      <c r="H188">
        <v>-4.3000001909999996</v>
      </c>
      <c r="I188">
        <v>8.4075674189999994</v>
      </c>
      <c r="J188">
        <v>328.77262105941702</v>
      </c>
      <c r="K188">
        <v>324.91581948995503</v>
      </c>
      <c r="L188">
        <v>332.334336662292</v>
      </c>
      <c r="M188">
        <v>332.85592594146698</v>
      </c>
      <c r="N188">
        <v>329.02810087203898</v>
      </c>
      <c r="O188">
        <f t="shared" si="6"/>
        <v>329.78354574143822</v>
      </c>
      <c r="P188">
        <f t="shared" si="7"/>
        <v>-4.3000001999999995</v>
      </c>
      <c r="Q188">
        <v>333.72248610000003</v>
      </c>
      <c r="R188">
        <v>305.97751360000001</v>
      </c>
      <c r="T188">
        <f t="shared" si="8"/>
        <v>0</v>
      </c>
    </row>
    <row r="189" spans="1:20" x14ac:dyDescent="0.3">
      <c r="A189" s="1">
        <v>43088</v>
      </c>
      <c r="B189" s="1">
        <v>43179</v>
      </c>
      <c r="C189">
        <v>325.0590416</v>
      </c>
      <c r="D189">
        <v>321.3</v>
      </c>
      <c r="E189">
        <v>323.85000000000002</v>
      </c>
      <c r="F189">
        <v>-2.5499999519999998</v>
      </c>
      <c r="G189">
        <v>1.209041595</v>
      </c>
      <c r="H189">
        <v>-2.5499999519999998</v>
      </c>
      <c r="I189">
        <v>8.4018458220000003</v>
      </c>
      <c r="J189">
        <v>328.04075393676698</v>
      </c>
      <c r="K189">
        <v>325.07229719161899</v>
      </c>
      <c r="L189">
        <v>332.65681705474799</v>
      </c>
      <c r="M189">
        <v>328.16354522705001</v>
      </c>
      <c r="N189">
        <v>328.46473512649499</v>
      </c>
      <c r="O189">
        <f t="shared" si="6"/>
        <v>328.58934864997798</v>
      </c>
      <c r="P189">
        <f t="shared" si="7"/>
        <v>-2.5500000000000114</v>
      </c>
      <c r="Q189">
        <v>335.1630457</v>
      </c>
      <c r="R189">
        <v>307.43695439999999</v>
      </c>
      <c r="T189">
        <f t="shared" si="8"/>
        <v>0</v>
      </c>
    </row>
    <row r="190" spans="1:20" x14ac:dyDescent="0.3">
      <c r="A190" s="1">
        <v>43089</v>
      </c>
      <c r="B190" s="1">
        <v>43180</v>
      </c>
      <c r="C190">
        <v>324.44900419999999</v>
      </c>
      <c r="D190">
        <v>321.60000000000002</v>
      </c>
      <c r="E190">
        <v>323.55</v>
      </c>
      <c r="F190">
        <v>-1.9500000479999999</v>
      </c>
      <c r="G190">
        <v>0.89900422099999999</v>
      </c>
      <c r="H190">
        <v>-1.9500000479999999</v>
      </c>
      <c r="I190">
        <v>8.3973422559999999</v>
      </c>
      <c r="J190">
        <v>325.47009615898099</v>
      </c>
      <c r="K190">
        <v>323.73550977110801</v>
      </c>
      <c r="L190">
        <v>332.09770374298</v>
      </c>
      <c r="M190">
        <v>327.23446612357998</v>
      </c>
      <c r="N190">
        <v>326.33059196472101</v>
      </c>
      <c r="O190">
        <f t="shared" si="6"/>
        <v>327.34956790059726</v>
      </c>
      <c r="P190">
        <f t="shared" si="7"/>
        <v>-1.9499999999999886</v>
      </c>
      <c r="Q190">
        <v>335.45561470000001</v>
      </c>
      <c r="R190">
        <v>307.74438520000001</v>
      </c>
      <c r="T190">
        <f t="shared" si="8"/>
        <v>0</v>
      </c>
    </row>
    <row r="191" spans="1:20" x14ac:dyDescent="0.3">
      <c r="A191" s="1">
        <v>43090</v>
      </c>
      <c r="B191" s="1">
        <v>43181</v>
      </c>
      <c r="C191">
        <v>324.83265929999999</v>
      </c>
      <c r="D191">
        <v>322.10000000000002</v>
      </c>
      <c r="E191">
        <v>316.85000000000002</v>
      </c>
      <c r="F191">
        <v>5.25</v>
      </c>
      <c r="G191">
        <v>7.9826593399999997</v>
      </c>
      <c r="H191">
        <v>5.25</v>
      </c>
      <c r="I191">
        <v>8.3789192900000007</v>
      </c>
      <c r="J191">
        <v>325.59984836578298</v>
      </c>
      <c r="K191">
        <v>324.51332626342702</v>
      </c>
      <c r="L191">
        <v>330.16524181365901</v>
      </c>
      <c r="M191">
        <v>331.90728912353501</v>
      </c>
      <c r="N191">
        <v>326.968702888488</v>
      </c>
      <c r="O191">
        <f t="shared" si="6"/>
        <v>328.38864002227729</v>
      </c>
      <c r="P191">
        <f t="shared" si="7"/>
        <v>5.25</v>
      </c>
      <c r="Q191">
        <v>335.92521679999999</v>
      </c>
      <c r="R191">
        <v>308.2747832</v>
      </c>
      <c r="T191">
        <f t="shared" si="8"/>
        <v>1</v>
      </c>
    </row>
    <row r="192" spans="1:20" x14ac:dyDescent="0.3">
      <c r="A192" s="1">
        <v>43091</v>
      </c>
      <c r="B192" s="1">
        <v>43182</v>
      </c>
      <c r="C192">
        <v>329.00289629999997</v>
      </c>
      <c r="D192">
        <v>311.5</v>
      </c>
      <c r="E192">
        <v>318.5</v>
      </c>
      <c r="F192">
        <v>-7</v>
      </c>
      <c r="G192">
        <v>10.502896310000001</v>
      </c>
      <c r="H192">
        <v>-7</v>
      </c>
      <c r="I192">
        <v>8.4613439439999993</v>
      </c>
      <c r="J192">
        <v>331.46218013763399</v>
      </c>
      <c r="K192">
        <v>324.38374996185303</v>
      </c>
      <c r="L192">
        <v>331.88816261291498</v>
      </c>
      <c r="M192">
        <v>331.54021263122502</v>
      </c>
      <c r="N192">
        <v>325.89312601089398</v>
      </c>
      <c r="O192">
        <f t="shared" si="6"/>
        <v>328.42631280422177</v>
      </c>
      <c r="P192">
        <f t="shared" si="7"/>
        <v>-7</v>
      </c>
      <c r="Q192">
        <v>325.46121749999998</v>
      </c>
      <c r="R192">
        <v>297.53878250000002</v>
      </c>
      <c r="T192">
        <f t="shared" si="8"/>
        <v>0</v>
      </c>
    </row>
    <row r="193" spans="1:20" x14ac:dyDescent="0.3">
      <c r="A193" s="1">
        <v>43094</v>
      </c>
      <c r="B193" s="1">
        <v>43185</v>
      </c>
      <c r="C193">
        <v>328.3002644</v>
      </c>
      <c r="D193">
        <v>314.5</v>
      </c>
      <c r="E193">
        <v>318.5</v>
      </c>
      <c r="F193">
        <v>-4</v>
      </c>
      <c r="G193">
        <v>9.8002643589999998</v>
      </c>
      <c r="H193">
        <v>-4</v>
      </c>
      <c r="I193">
        <v>8.4964367529999993</v>
      </c>
      <c r="J193">
        <v>334.69828033447197</v>
      </c>
      <c r="K193">
        <v>325.77290105819702</v>
      </c>
      <c r="L193">
        <v>331.36642456054602</v>
      </c>
      <c r="M193">
        <v>329.97705841064402</v>
      </c>
      <c r="N193">
        <v>327.46196556091297</v>
      </c>
      <c r="O193">
        <f t="shared" si="6"/>
        <v>328.64458739757504</v>
      </c>
      <c r="P193">
        <f t="shared" si="7"/>
        <v>-4</v>
      </c>
      <c r="Q193">
        <v>328.51912060000001</v>
      </c>
      <c r="R193">
        <v>300.48087939999999</v>
      </c>
      <c r="T193">
        <f t="shared" si="8"/>
        <v>0</v>
      </c>
    </row>
    <row r="194" spans="1:20" x14ac:dyDescent="0.3">
      <c r="A194" s="1">
        <v>43095</v>
      </c>
      <c r="B194" s="1">
        <v>43186</v>
      </c>
      <c r="C194">
        <v>328.13941119999998</v>
      </c>
      <c r="D194">
        <v>315.14999999999998</v>
      </c>
      <c r="E194">
        <v>317.45</v>
      </c>
      <c r="F194">
        <v>-2.2999999519999998</v>
      </c>
      <c r="G194">
        <v>10.689411160000001</v>
      </c>
      <c r="H194">
        <v>-2.2999999519999998</v>
      </c>
      <c r="I194">
        <v>8.5171890680000004</v>
      </c>
      <c r="J194">
        <v>332.76525230407702</v>
      </c>
      <c r="K194">
        <v>326.896625709533</v>
      </c>
      <c r="L194">
        <v>332.02625102996802</v>
      </c>
      <c r="M194">
        <v>332.01454467773402</v>
      </c>
      <c r="N194">
        <v>330.99661178588798</v>
      </c>
      <c r="O194">
        <f t="shared" si="6"/>
        <v>330.48350830078078</v>
      </c>
      <c r="P194">
        <f t="shared" si="7"/>
        <v>-2.3000000000000114</v>
      </c>
      <c r="Q194">
        <v>329.20336200000003</v>
      </c>
      <c r="R194">
        <v>301.09663810000001</v>
      </c>
      <c r="T194">
        <f t="shared" si="8"/>
        <v>0</v>
      </c>
    </row>
    <row r="195" spans="1:20" x14ac:dyDescent="0.3">
      <c r="A195" s="1">
        <v>43096</v>
      </c>
      <c r="B195" s="1">
        <v>43187</v>
      </c>
      <c r="C195">
        <v>329.0916497</v>
      </c>
      <c r="D195">
        <v>310.64999979999999</v>
      </c>
      <c r="E195">
        <v>321.2</v>
      </c>
      <c r="F195">
        <v>-10.55000019</v>
      </c>
      <c r="G195">
        <v>7.8916497229999996</v>
      </c>
      <c r="H195">
        <v>-10.55000019</v>
      </c>
      <c r="I195">
        <v>8.6170227179999994</v>
      </c>
      <c r="J195">
        <v>331.05502624511701</v>
      </c>
      <c r="K195">
        <v>330.37239761352498</v>
      </c>
      <c r="L195">
        <v>334.45981807708699</v>
      </c>
      <c r="M195">
        <v>337.04391117095901</v>
      </c>
      <c r="N195">
        <v>334.051204872131</v>
      </c>
      <c r="O195">
        <f t="shared" ref="O195:O258" si="9">AVERAGE(K195:N195)</f>
        <v>333.98183293342549</v>
      </c>
      <c r="P195">
        <f t="shared" ref="P195:P258" si="10">IF((O195-E195)*(D195-E195)&gt;0, ABS(D195-E195), -ABS(D195-E195))</f>
        <v>-10.550000199999999</v>
      </c>
      <c r="Q195">
        <v>324.86808730000001</v>
      </c>
      <c r="R195">
        <v>296.43191230000002</v>
      </c>
      <c r="T195">
        <f t="shared" ref="T195:T258" si="11">IF(AND(P195&gt;0, AND(O195&lt;Q195, O195&gt;R195)), 1, 0)</f>
        <v>0</v>
      </c>
    </row>
    <row r="196" spans="1:20" x14ac:dyDescent="0.3">
      <c r="A196" s="1">
        <v>43097</v>
      </c>
      <c r="B196" s="1">
        <v>43188</v>
      </c>
      <c r="C196">
        <v>335.8381723</v>
      </c>
      <c r="D196">
        <v>314.45000019999998</v>
      </c>
      <c r="E196">
        <v>325.64999999999998</v>
      </c>
      <c r="F196">
        <v>-11.19999981</v>
      </c>
      <c r="G196">
        <v>10.188172339999999</v>
      </c>
      <c r="H196">
        <v>-11.19999981</v>
      </c>
      <c r="I196">
        <v>8.6352032039999997</v>
      </c>
      <c r="J196">
        <v>329.17979230880701</v>
      </c>
      <c r="K196">
        <v>332.701407814025</v>
      </c>
      <c r="L196">
        <v>337.40012874603201</v>
      </c>
      <c r="M196">
        <v>338.11251487731897</v>
      </c>
      <c r="N196">
        <v>335.02067699432303</v>
      </c>
      <c r="O196">
        <f t="shared" si="9"/>
        <v>335.80868210792471</v>
      </c>
      <c r="P196">
        <f t="shared" si="10"/>
        <v>-11.199999800000001</v>
      </c>
      <c r="Q196">
        <v>328.69808549999999</v>
      </c>
      <c r="R196">
        <v>300.20191490000002</v>
      </c>
      <c r="T196">
        <f t="shared" si="11"/>
        <v>0</v>
      </c>
    </row>
    <row r="197" spans="1:20" x14ac:dyDescent="0.3">
      <c r="A197" s="1">
        <v>43098</v>
      </c>
      <c r="B197" s="1">
        <v>43189</v>
      </c>
      <c r="C197">
        <v>333.02295529999998</v>
      </c>
      <c r="D197">
        <v>314.54999959999998</v>
      </c>
      <c r="E197">
        <v>325.64999999999998</v>
      </c>
      <c r="F197">
        <v>-11.100000380000001</v>
      </c>
      <c r="G197">
        <v>7.3729553220000001</v>
      </c>
      <c r="H197">
        <v>-11.100000380000001</v>
      </c>
      <c r="I197">
        <v>8.6487421970000007</v>
      </c>
      <c r="J197">
        <v>329.67817392349201</v>
      </c>
      <c r="K197">
        <v>329.26191439628599</v>
      </c>
      <c r="L197">
        <v>336.08758296966499</v>
      </c>
      <c r="M197">
        <v>335.760168457031</v>
      </c>
      <c r="N197">
        <v>330.56402721404999</v>
      </c>
      <c r="O197">
        <f t="shared" si="9"/>
        <v>332.91842325925802</v>
      </c>
      <c r="P197">
        <f t="shared" si="10"/>
        <v>-11.100000399999999</v>
      </c>
      <c r="Q197">
        <v>328.82042419999999</v>
      </c>
      <c r="R197">
        <v>300.27957500000002</v>
      </c>
      <c r="T197">
        <f t="shared" si="11"/>
        <v>0</v>
      </c>
    </row>
    <row r="198" spans="1:20" x14ac:dyDescent="0.3">
      <c r="A198" s="1">
        <v>43101</v>
      </c>
      <c r="B198" s="1">
        <v>43192</v>
      </c>
      <c r="C198">
        <v>323.08684149999999</v>
      </c>
      <c r="D198">
        <v>313.45000019999998</v>
      </c>
      <c r="E198">
        <v>325.64999999999998</v>
      </c>
      <c r="F198">
        <v>12.19999981</v>
      </c>
      <c r="G198">
        <v>-2.5631585120000002</v>
      </c>
      <c r="H198">
        <v>-12.19999981</v>
      </c>
      <c r="I198">
        <v>8.6717526760000005</v>
      </c>
      <c r="J198">
        <v>331.23258867263701</v>
      </c>
      <c r="K198">
        <v>324.901296222209</v>
      </c>
      <c r="L198">
        <v>331.248474502563</v>
      </c>
      <c r="M198">
        <v>326.86917068958201</v>
      </c>
      <c r="N198">
        <v>325.918825501203</v>
      </c>
      <c r="O198">
        <f t="shared" si="9"/>
        <v>327.23444172888924</v>
      </c>
      <c r="P198">
        <f t="shared" si="10"/>
        <v>-12.199999800000001</v>
      </c>
      <c r="Q198">
        <v>327.75839209999998</v>
      </c>
      <c r="R198">
        <v>299.14160829999997</v>
      </c>
      <c r="T198">
        <f t="shared" si="11"/>
        <v>0</v>
      </c>
    </row>
    <row r="199" spans="1:20" x14ac:dyDescent="0.3">
      <c r="A199" s="1">
        <v>43102</v>
      </c>
      <c r="B199" s="1">
        <v>43193</v>
      </c>
      <c r="C199">
        <v>325.24404490000001</v>
      </c>
      <c r="D199">
        <v>312.8000002</v>
      </c>
      <c r="E199">
        <v>326.5</v>
      </c>
      <c r="F199">
        <v>13.69999981</v>
      </c>
      <c r="G199">
        <v>-1.2559551</v>
      </c>
      <c r="H199">
        <v>-13.69999981</v>
      </c>
      <c r="I199">
        <v>8.6901519890000003</v>
      </c>
      <c r="J199">
        <v>329.40648555755598</v>
      </c>
      <c r="K199">
        <v>329.13521194458002</v>
      </c>
      <c r="L199">
        <v>332.65405321121199</v>
      </c>
      <c r="M199">
        <v>327.60410225391303</v>
      </c>
      <c r="N199">
        <v>328.24985074996903</v>
      </c>
      <c r="O199">
        <f t="shared" si="9"/>
        <v>329.4108045399185</v>
      </c>
      <c r="P199">
        <f t="shared" si="10"/>
        <v>-13.699999800000001</v>
      </c>
      <c r="Q199">
        <v>327.13875100000001</v>
      </c>
      <c r="R199">
        <v>298.46124939999999</v>
      </c>
      <c r="T199">
        <f t="shared" si="11"/>
        <v>0</v>
      </c>
    </row>
    <row r="200" spans="1:20" x14ac:dyDescent="0.3">
      <c r="A200" s="1">
        <v>43103</v>
      </c>
      <c r="B200" s="1">
        <v>43194</v>
      </c>
      <c r="C200">
        <v>322.41863599999999</v>
      </c>
      <c r="D200">
        <v>307.55000039999999</v>
      </c>
      <c r="E200">
        <v>327.7</v>
      </c>
      <c r="F200">
        <v>20.149999619999999</v>
      </c>
      <c r="G200">
        <v>-5.2813639639999996</v>
      </c>
      <c r="H200">
        <v>-20.149999619999999</v>
      </c>
      <c r="I200">
        <v>8.7806458519999993</v>
      </c>
      <c r="J200">
        <v>326.960502398014</v>
      </c>
      <c r="K200">
        <v>326.42153747081699</v>
      </c>
      <c r="L200">
        <v>332.980535697937</v>
      </c>
      <c r="M200">
        <v>329.65231175422599</v>
      </c>
      <c r="N200">
        <v>328.38114894628501</v>
      </c>
      <c r="O200">
        <f t="shared" si="9"/>
        <v>329.35888346731628</v>
      </c>
      <c r="P200">
        <f t="shared" si="10"/>
        <v>-20.149999600000001</v>
      </c>
      <c r="Q200">
        <v>322.03806600000001</v>
      </c>
      <c r="R200">
        <v>293.06193469999999</v>
      </c>
      <c r="T200">
        <f t="shared" si="11"/>
        <v>0</v>
      </c>
    </row>
    <row r="201" spans="1:20" x14ac:dyDescent="0.3">
      <c r="A201" s="1">
        <v>43104</v>
      </c>
      <c r="B201" s="1">
        <v>43195</v>
      </c>
      <c r="C201">
        <v>321.88278439999999</v>
      </c>
      <c r="D201">
        <v>312.9499998</v>
      </c>
      <c r="E201">
        <v>325</v>
      </c>
      <c r="F201">
        <v>12.05000019</v>
      </c>
      <c r="G201">
        <v>-3.1172156329999998</v>
      </c>
      <c r="H201">
        <v>-12.05000019</v>
      </c>
      <c r="I201">
        <v>8.8002029589999999</v>
      </c>
      <c r="J201">
        <v>329.408049583435</v>
      </c>
      <c r="K201">
        <v>324.251790523529</v>
      </c>
      <c r="L201">
        <v>327.88357901573102</v>
      </c>
      <c r="M201">
        <v>328.069933414459</v>
      </c>
      <c r="N201">
        <v>325.28195658326098</v>
      </c>
      <c r="O201">
        <f t="shared" si="9"/>
        <v>326.371814884245</v>
      </c>
      <c r="P201">
        <f t="shared" si="10"/>
        <v>-12.050000199999999</v>
      </c>
      <c r="Q201">
        <v>327.47033470000002</v>
      </c>
      <c r="R201">
        <v>298.42966489999998</v>
      </c>
      <c r="T201">
        <f t="shared" si="11"/>
        <v>0</v>
      </c>
    </row>
    <row r="202" spans="1:20" x14ac:dyDescent="0.3">
      <c r="A202" s="1">
        <v>43105</v>
      </c>
      <c r="B202" s="1">
        <v>43196</v>
      </c>
      <c r="C202">
        <v>326.2646479</v>
      </c>
      <c r="D202">
        <v>311.2</v>
      </c>
      <c r="E202">
        <v>328.95</v>
      </c>
      <c r="F202">
        <v>17.75</v>
      </c>
      <c r="G202">
        <v>-2.6853520870000001</v>
      </c>
      <c r="H202">
        <v>-17.75</v>
      </c>
      <c r="I202">
        <v>8.7870778289999993</v>
      </c>
      <c r="J202">
        <v>333.42115659713699</v>
      </c>
      <c r="K202">
        <v>326.83102984428399</v>
      </c>
      <c r="L202">
        <v>330.17764360904602</v>
      </c>
      <c r="M202">
        <v>329.24272532462999</v>
      </c>
      <c r="N202">
        <v>324.66006298065099</v>
      </c>
      <c r="O202">
        <f t="shared" si="9"/>
        <v>327.72786543965276</v>
      </c>
      <c r="P202">
        <f t="shared" si="10"/>
        <v>17.75</v>
      </c>
      <c r="Q202">
        <v>325.69867840000001</v>
      </c>
      <c r="R202">
        <v>296.70132160000003</v>
      </c>
      <c r="T202">
        <f t="shared" si="11"/>
        <v>0</v>
      </c>
    </row>
    <row r="203" spans="1:20" x14ac:dyDescent="0.3">
      <c r="A203" s="1">
        <v>43108</v>
      </c>
      <c r="B203" s="1">
        <v>43199</v>
      </c>
      <c r="C203">
        <v>327.27341869999998</v>
      </c>
      <c r="D203">
        <v>312.9500008</v>
      </c>
      <c r="E203">
        <v>331.25</v>
      </c>
      <c r="F203">
        <v>18.299999239999998</v>
      </c>
      <c r="G203">
        <v>-3.9765813350000001</v>
      </c>
      <c r="H203">
        <v>-18.299999239999998</v>
      </c>
      <c r="I203">
        <v>8.6981674269999996</v>
      </c>
      <c r="J203">
        <v>336.861738204956</v>
      </c>
      <c r="K203">
        <v>330.61761111021002</v>
      </c>
      <c r="L203">
        <v>331.03146919608099</v>
      </c>
      <c r="M203">
        <v>330.466551661491</v>
      </c>
      <c r="N203">
        <v>324.95181608199999</v>
      </c>
      <c r="O203">
        <f t="shared" si="9"/>
        <v>329.26686201244553</v>
      </c>
      <c r="P203">
        <f t="shared" si="10"/>
        <v>18.299999200000002</v>
      </c>
      <c r="Q203">
        <v>327.30197700000002</v>
      </c>
      <c r="R203">
        <v>298.59802450000001</v>
      </c>
      <c r="T203">
        <f t="shared" si="11"/>
        <v>0</v>
      </c>
    </row>
    <row r="204" spans="1:20" x14ac:dyDescent="0.3">
      <c r="A204" s="1">
        <v>43109</v>
      </c>
      <c r="B204" s="1">
        <v>43200</v>
      </c>
      <c r="C204">
        <v>322.83882349999999</v>
      </c>
      <c r="D204">
        <v>313.45</v>
      </c>
      <c r="E204">
        <v>330.45</v>
      </c>
      <c r="F204">
        <v>17</v>
      </c>
      <c r="G204">
        <v>-7.6111764910000002</v>
      </c>
      <c r="H204">
        <v>-17</v>
      </c>
      <c r="I204">
        <v>8.6110026469999994</v>
      </c>
      <c r="J204">
        <v>335.01481266021699</v>
      </c>
      <c r="K204">
        <v>327.71477456092799</v>
      </c>
      <c r="L204">
        <v>328.88081593513402</v>
      </c>
      <c r="M204">
        <v>326.94342846870398</v>
      </c>
      <c r="N204">
        <v>325.46697111129703</v>
      </c>
      <c r="O204">
        <f t="shared" si="9"/>
        <v>327.25149751901574</v>
      </c>
      <c r="P204">
        <f t="shared" si="10"/>
        <v>17</v>
      </c>
      <c r="Q204">
        <v>327.6581544</v>
      </c>
      <c r="R204">
        <v>299.24184559999998</v>
      </c>
      <c r="T204">
        <f t="shared" si="11"/>
        <v>1</v>
      </c>
    </row>
    <row r="205" spans="1:20" x14ac:dyDescent="0.3">
      <c r="A205" s="1">
        <v>43110</v>
      </c>
      <c r="B205" s="1">
        <v>43201</v>
      </c>
      <c r="C205">
        <v>326.76429789999997</v>
      </c>
      <c r="D205">
        <v>312.45000040000002</v>
      </c>
      <c r="E205">
        <v>327.85</v>
      </c>
      <c r="F205">
        <v>15.399999619999999</v>
      </c>
      <c r="G205">
        <v>-1.085702062</v>
      </c>
      <c r="H205">
        <v>-15.399999619999999</v>
      </c>
      <c r="I205">
        <v>8.5749008320000009</v>
      </c>
      <c r="J205">
        <v>336.33745441436702</v>
      </c>
      <c r="K205">
        <v>327.57915354370999</v>
      </c>
      <c r="L205">
        <v>334.30874309539797</v>
      </c>
      <c r="M205">
        <v>331.07499823570203</v>
      </c>
      <c r="N205">
        <v>326.96309981346099</v>
      </c>
      <c r="O205">
        <f t="shared" si="9"/>
        <v>329.98149867206774</v>
      </c>
      <c r="P205">
        <f t="shared" si="10"/>
        <v>-15.399999600000001</v>
      </c>
      <c r="Q205">
        <v>326.59858680000002</v>
      </c>
      <c r="R205">
        <v>298.30141400000002</v>
      </c>
      <c r="T205">
        <f t="shared" si="11"/>
        <v>0</v>
      </c>
    </row>
    <row r="206" spans="1:20" x14ac:dyDescent="0.3">
      <c r="A206" s="1">
        <v>43111</v>
      </c>
      <c r="B206" s="1">
        <v>43202</v>
      </c>
      <c r="C206">
        <v>330.06422279999998</v>
      </c>
      <c r="D206">
        <v>311.75</v>
      </c>
      <c r="E206">
        <v>326.5</v>
      </c>
      <c r="F206">
        <v>-14.75</v>
      </c>
      <c r="G206">
        <v>3.5642228130000002</v>
      </c>
      <c r="H206">
        <v>-14.75</v>
      </c>
      <c r="I206">
        <v>8.5615552539999999</v>
      </c>
      <c r="J206">
        <v>334.40899038314802</v>
      </c>
      <c r="K206">
        <v>329.52707338333101</v>
      </c>
      <c r="L206">
        <v>335.427542686462</v>
      </c>
      <c r="M206">
        <v>330.91586065292302</v>
      </c>
      <c r="N206">
        <v>329.77779626846302</v>
      </c>
      <c r="O206">
        <f t="shared" si="9"/>
        <v>331.41206824779476</v>
      </c>
      <c r="P206">
        <f t="shared" si="10"/>
        <v>-14.75</v>
      </c>
      <c r="Q206">
        <v>325.87656620000001</v>
      </c>
      <c r="R206">
        <v>297.62343379999999</v>
      </c>
      <c r="T206">
        <f t="shared" si="11"/>
        <v>0</v>
      </c>
    </row>
    <row r="207" spans="1:20" x14ac:dyDescent="0.3">
      <c r="A207" s="1">
        <v>43112</v>
      </c>
      <c r="B207" s="1">
        <v>43203</v>
      </c>
      <c r="C207">
        <v>325.85337429999998</v>
      </c>
      <c r="D207">
        <v>314.45000040000002</v>
      </c>
      <c r="E207">
        <v>326.85000000000002</v>
      </c>
      <c r="F207">
        <v>12.399999619999999</v>
      </c>
      <c r="G207">
        <v>-0.99662572100000002</v>
      </c>
      <c r="H207">
        <v>-12.399999619999999</v>
      </c>
      <c r="I207">
        <v>8.5109402159999998</v>
      </c>
      <c r="J207">
        <v>328.862776136398</v>
      </c>
      <c r="K207">
        <v>327.17367876172</v>
      </c>
      <c r="L207">
        <v>329.41434440612699</v>
      </c>
      <c r="M207">
        <v>326.89478042200199</v>
      </c>
      <c r="N207">
        <v>327.55344537496501</v>
      </c>
      <c r="O207">
        <f t="shared" si="9"/>
        <v>327.75906224120354</v>
      </c>
      <c r="P207">
        <f t="shared" si="10"/>
        <v>-12.399999600000001</v>
      </c>
      <c r="Q207">
        <v>328.49305170000002</v>
      </c>
      <c r="R207">
        <v>300.406949</v>
      </c>
      <c r="T207">
        <f t="shared" si="11"/>
        <v>0</v>
      </c>
    </row>
    <row r="208" spans="1:20" x14ac:dyDescent="0.3">
      <c r="A208" s="1">
        <v>43115</v>
      </c>
      <c r="B208" s="1">
        <v>43206</v>
      </c>
      <c r="C208">
        <v>326.87511230000001</v>
      </c>
      <c r="D208">
        <v>314.3</v>
      </c>
      <c r="E208">
        <v>327.3</v>
      </c>
      <c r="F208">
        <v>13</v>
      </c>
      <c r="G208">
        <v>-0.42488765699999997</v>
      </c>
      <c r="H208">
        <v>-13</v>
      </c>
      <c r="I208">
        <v>8.4492516450000004</v>
      </c>
      <c r="J208">
        <v>328.91304771900099</v>
      </c>
      <c r="K208">
        <v>324.73985390663103</v>
      </c>
      <c r="L208">
        <v>330.32499365806501</v>
      </c>
      <c r="M208">
        <v>332.47656421661299</v>
      </c>
      <c r="N208">
        <v>330.90368442535402</v>
      </c>
      <c r="O208">
        <f t="shared" si="9"/>
        <v>329.61127405166576</v>
      </c>
      <c r="P208">
        <f t="shared" si="10"/>
        <v>-13</v>
      </c>
      <c r="Q208">
        <v>328.24126519999999</v>
      </c>
      <c r="R208">
        <v>300.35873479999998</v>
      </c>
      <c r="T208">
        <f t="shared" si="11"/>
        <v>0</v>
      </c>
    </row>
    <row r="209" spans="1:20" x14ac:dyDescent="0.3">
      <c r="A209" s="1">
        <v>43116</v>
      </c>
      <c r="B209" s="1">
        <v>43207</v>
      </c>
      <c r="C209">
        <v>323.39376019999997</v>
      </c>
      <c r="D209">
        <v>314.3999996</v>
      </c>
      <c r="E209">
        <v>330.5</v>
      </c>
      <c r="F209">
        <v>16.100000380000001</v>
      </c>
      <c r="G209">
        <v>-7.1062397959999997</v>
      </c>
      <c r="H209">
        <v>-16.100000380000001</v>
      </c>
      <c r="I209">
        <v>8.3157281179999991</v>
      </c>
      <c r="J209">
        <v>325.77518224716101</v>
      </c>
      <c r="K209">
        <v>324.62056159973099</v>
      </c>
      <c r="L209">
        <v>331.15025258064202</v>
      </c>
      <c r="M209">
        <v>330.59443604946102</v>
      </c>
      <c r="N209">
        <v>329.82606422901102</v>
      </c>
      <c r="O209">
        <f t="shared" si="9"/>
        <v>329.04782861471125</v>
      </c>
      <c r="P209">
        <f t="shared" si="10"/>
        <v>16.100000399999999</v>
      </c>
      <c r="Q209">
        <v>328.12095099999999</v>
      </c>
      <c r="R209">
        <v>300.67904820000001</v>
      </c>
      <c r="T209">
        <f t="shared" si="11"/>
        <v>0</v>
      </c>
    </row>
    <row r="210" spans="1:20" x14ac:dyDescent="0.3">
      <c r="A210" s="1">
        <v>43117</v>
      </c>
      <c r="B210" s="1">
        <v>43208</v>
      </c>
      <c r="C210">
        <v>322.43387999999999</v>
      </c>
      <c r="D210">
        <v>317.59999959999999</v>
      </c>
      <c r="E210">
        <v>329.2</v>
      </c>
      <c r="F210">
        <v>11.600000380000001</v>
      </c>
      <c r="G210">
        <v>-6.7661199569999999</v>
      </c>
      <c r="H210">
        <v>-11.600000380000001</v>
      </c>
      <c r="I210">
        <v>8.1924887910000006</v>
      </c>
      <c r="J210">
        <v>326.59264822006202</v>
      </c>
      <c r="K210">
        <v>323.87143726348802</v>
      </c>
      <c r="L210">
        <v>332.24886674880901</v>
      </c>
      <c r="M210">
        <v>329.04255978465</v>
      </c>
      <c r="N210">
        <v>329.849218082427</v>
      </c>
      <c r="O210">
        <f t="shared" si="9"/>
        <v>328.75302046984348</v>
      </c>
      <c r="P210">
        <f t="shared" si="10"/>
        <v>11.600000399999999</v>
      </c>
      <c r="Q210">
        <v>331.11760609999999</v>
      </c>
      <c r="R210">
        <v>304.08239309999999</v>
      </c>
      <c r="T210">
        <f t="shared" si="11"/>
        <v>1</v>
      </c>
    </row>
    <row r="211" spans="1:20" x14ac:dyDescent="0.3">
      <c r="A211" s="1">
        <v>43118</v>
      </c>
      <c r="B211" s="1">
        <v>43209</v>
      </c>
      <c r="C211">
        <v>320.72395169999999</v>
      </c>
      <c r="D211">
        <v>319.00000039999998</v>
      </c>
      <c r="E211">
        <v>329.4</v>
      </c>
      <c r="F211">
        <v>10.399999619999999</v>
      </c>
      <c r="G211">
        <v>-8.6760482789999998</v>
      </c>
      <c r="H211">
        <v>-10.399999619999999</v>
      </c>
      <c r="I211">
        <v>8.0608853479999993</v>
      </c>
      <c r="J211">
        <v>328.86275883912998</v>
      </c>
      <c r="K211">
        <v>322.734211349487</v>
      </c>
      <c r="L211">
        <v>330.076273822784</v>
      </c>
      <c r="M211">
        <v>329.93152161836599</v>
      </c>
      <c r="N211">
        <v>329.778303498029</v>
      </c>
      <c r="O211">
        <f t="shared" si="9"/>
        <v>328.1300775721665</v>
      </c>
      <c r="P211">
        <f t="shared" si="10"/>
        <v>10.399999600000001</v>
      </c>
      <c r="Q211">
        <v>332.30046119999997</v>
      </c>
      <c r="R211">
        <v>305.69953959999998</v>
      </c>
      <c r="T211">
        <f t="shared" si="11"/>
        <v>1</v>
      </c>
    </row>
    <row r="212" spans="1:20" x14ac:dyDescent="0.3">
      <c r="A212" s="1">
        <v>43119</v>
      </c>
      <c r="B212" s="1">
        <v>43210</v>
      </c>
      <c r="C212">
        <v>327.20180520000002</v>
      </c>
      <c r="D212">
        <v>316.90000020000002</v>
      </c>
      <c r="E212">
        <v>329.6</v>
      </c>
      <c r="F212">
        <v>12.69999981</v>
      </c>
      <c r="G212">
        <v>-2.3981947899999998</v>
      </c>
      <c r="H212">
        <v>-12.69999981</v>
      </c>
      <c r="I212">
        <v>7.916586015</v>
      </c>
      <c r="J212">
        <v>334.06509695053097</v>
      </c>
      <c r="K212">
        <v>327.507242774963</v>
      </c>
      <c r="L212">
        <v>331.94130549430798</v>
      </c>
      <c r="M212">
        <v>329.905131345987</v>
      </c>
      <c r="N212">
        <v>330.84086618423402</v>
      </c>
      <c r="O212">
        <f t="shared" si="9"/>
        <v>330.04863644987302</v>
      </c>
      <c r="P212">
        <f t="shared" si="10"/>
        <v>-12.699999800000001</v>
      </c>
      <c r="Q212">
        <v>329.96236709999999</v>
      </c>
      <c r="R212">
        <v>303.83763329999999</v>
      </c>
      <c r="T212">
        <f t="shared" si="11"/>
        <v>0</v>
      </c>
    </row>
    <row r="213" spans="1:20" x14ac:dyDescent="0.3">
      <c r="A213" s="1">
        <v>43122</v>
      </c>
      <c r="B213" s="1">
        <v>43213</v>
      </c>
      <c r="C213">
        <v>322.40250420000001</v>
      </c>
      <c r="D213">
        <v>317.1000004</v>
      </c>
      <c r="E213">
        <v>326.25</v>
      </c>
      <c r="F213">
        <v>9.1499996190000008</v>
      </c>
      <c r="G213">
        <v>-3.8474957939999999</v>
      </c>
      <c r="H213">
        <v>-9.1499996190000008</v>
      </c>
      <c r="I213">
        <v>7.8366797359999998</v>
      </c>
      <c r="J213">
        <v>329.81328511238098</v>
      </c>
      <c r="K213">
        <v>322.02032661437897</v>
      </c>
      <c r="L213">
        <v>327.60596466064402</v>
      </c>
      <c r="M213">
        <v>327.56453979015299</v>
      </c>
      <c r="N213">
        <v>329.33851075172402</v>
      </c>
      <c r="O213">
        <f t="shared" si="9"/>
        <v>326.63233545422503</v>
      </c>
      <c r="P213">
        <f t="shared" si="10"/>
        <v>-9.149999600000001</v>
      </c>
      <c r="Q213">
        <v>330.0305219</v>
      </c>
      <c r="R213">
        <v>304.16947879999998</v>
      </c>
      <c r="T213">
        <f t="shared" si="11"/>
        <v>0</v>
      </c>
    </row>
    <row r="214" spans="1:20" x14ac:dyDescent="0.3">
      <c r="A214" s="1">
        <v>43123</v>
      </c>
      <c r="B214" s="1">
        <v>43214</v>
      </c>
      <c r="C214">
        <v>318.6033754</v>
      </c>
      <c r="D214">
        <v>315.3500004</v>
      </c>
      <c r="E214">
        <v>331.25</v>
      </c>
      <c r="F214">
        <v>15.899999619999999</v>
      </c>
      <c r="G214">
        <v>-12.64662457</v>
      </c>
      <c r="H214">
        <v>-15.899999619999999</v>
      </c>
      <c r="I214">
        <v>7.6369487869999997</v>
      </c>
      <c r="J214">
        <v>332.97437250614098</v>
      </c>
      <c r="K214">
        <v>326.23473119735701</v>
      </c>
      <c r="L214">
        <v>327.43236708641001</v>
      </c>
      <c r="M214">
        <v>324.92825555801301</v>
      </c>
      <c r="N214">
        <v>326.815713882446</v>
      </c>
      <c r="O214">
        <f t="shared" si="9"/>
        <v>326.35276693105652</v>
      </c>
      <c r="P214">
        <f t="shared" si="10"/>
        <v>15.899999600000001</v>
      </c>
      <c r="Q214">
        <v>327.95096590000003</v>
      </c>
      <c r="R214">
        <v>302.74903490000003</v>
      </c>
      <c r="T214">
        <f t="shared" si="11"/>
        <v>1</v>
      </c>
    </row>
    <row r="215" spans="1:20" x14ac:dyDescent="0.3">
      <c r="A215" s="1">
        <v>43124</v>
      </c>
      <c r="B215" s="1">
        <v>43215</v>
      </c>
      <c r="C215">
        <v>321.75088840000001</v>
      </c>
      <c r="D215">
        <v>312.95000040000002</v>
      </c>
      <c r="E215">
        <v>331.6</v>
      </c>
      <c r="F215">
        <v>18.649999619999999</v>
      </c>
      <c r="G215">
        <v>-9.8491115570000005</v>
      </c>
      <c r="H215">
        <v>-18.649999619999999</v>
      </c>
      <c r="I215">
        <v>7.4256570220000002</v>
      </c>
      <c r="J215">
        <v>334.59797534942601</v>
      </c>
      <c r="K215">
        <v>327.76420674323998</v>
      </c>
      <c r="L215">
        <v>329.33159599304201</v>
      </c>
      <c r="M215">
        <v>328.345368480682</v>
      </c>
      <c r="N215">
        <v>334.727274751663</v>
      </c>
      <c r="O215">
        <f t="shared" si="9"/>
        <v>330.04211149215678</v>
      </c>
      <c r="P215">
        <f t="shared" si="10"/>
        <v>18.649999600000001</v>
      </c>
      <c r="Q215">
        <v>325.20233450000001</v>
      </c>
      <c r="R215">
        <v>300.69766629999998</v>
      </c>
      <c r="T215">
        <f t="shared" si="11"/>
        <v>0</v>
      </c>
    </row>
    <row r="216" spans="1:20" x14ac:dyDescent="0.3">
      <c r="A216" s="1">
        <v>43125</v>
      </c>
      <c r="B216" s="1">
        <v>43216</v>
      </c>
      <c r="C216">
        <v>327.13680529999999</v>
      </c>
      <c r="D216">
        <v>317.44999960000001</v>
      </c>
      <c r="E216">
        <v>334.3</v>
      </c>
      <c r="F216">
        <v>16.850000380000001</v>
      </c>
      <c r="G216">
        <v>-7.1631946559999999</v>
      </c>
      <c r="H216">
        <v>-16.850000380000001</v>
      </c>
      <c r="I216">
        <v>7.0869971669999998</v>
      </c>
      <c r="J216">
        <v>334.13811551332401</v>
      </c>
      <c r="K216">
        <v>330.38681797981201</v>
      </c>
      <c r="L216">
        <v>328.62066965103099</v>
      </c>
      <c r="M216">
        <v>325.95732669830301</v>
      </c>
      <c r="N216">
        <v>329.89837436675998</v>
      </c>
      <c r="O216">
        <f t="shared" si="9"/>
        <v>328.71579717397651</v>
      </c>
      <c r="P216">
        <f t="shared" si="10"/>
        <v>16.850000399999999</v>
      </c>
      <c r="Q216">
        <v>329.14354489999999</v>
      </c>
      <c r="R216">
        <v>305.75645429999997</v>
      </c>
      <c r="T216">
        <f t="shared" si="11"/>
        <v>1</v>
      </c>
    </row>
    <row r="217" spans="1:20" x14ac:dyDescent="0.3">
      <c r="A217" s="1">
        <v>43126</v>
      </c>
      <c r="B217" s="1">
        <v>43217</v>
      </c>
      <c r="C217">
        <v>326.92004509999998</v>
      </c>
      <c r="D217">
        <v>320.14999979999999</v>
      </c>
      <c r="E217">
        <v>335.95</v>
      </c>
      <c r="F217">
        <v>15.80000019</v>
      </c>
      <c r="G217">
        <v>-9.0299549100000007</v>
      </c>
      <c r="H217">
        <v>-15.80000019</v>
      </c>
      <c r="I217">
        <v>6.6647602240000001</v>
      </c>
      <c r="J217">
        <v>330.865989398956</v>
      </c>
      <c r="K217">
        <v>329.53758497238101</v>
      </c>
      <c r="L217">
        <v>330.128571701049</v>
      </c>
      <c r="M217">
        <v>325.17548675537103</v>
      </c>
      <c r="N217">
        <v>326.39559383392299</v>
      </c>
      <c r="O217">
        <f t="shared" si="9"/>
        <v>327.80930931568099</v>
      </c>
      <c r="P217">
        <f t="shared" si="10"/>
        <v>15.800000199999999</v>
      </c>
      <c r="Q217">
        <v>331.14685420000001</v>
      </c>
      <c r="R217">
        <v>309.15314540000003</v>
      </c>
      <c r="T217">
        <f t="shared" si="11"/>
        <v>1</v>
      </c>
    </row>
    <row r="218" spans="1:20" x14ac:dyDescent="0.3">
      <c r="A218" s="1">
        <v>43129</v>
      </c>
      <c r="B218" s="1">
        <v>43220</v>
      </c>
      <c r="C218">
        <v>328.11038680000001</v>
      </c>
      <c r="D218">
        <v>321.6499996</v>
      </c>
      <c r="E218">
        <v>338.5</v>
      </c>
      <c r="F218">
        <v>16.850000380000001</v>
      </c>
      <c r="G218">
        <v>-10.389613150000001</v>
      </c>
      <c r="H218">
        <v>-16.850000380000001</v>
      </c>
      <c r="I218">
        <v>6.0850732609999998</v>
      </c>
      <c r="J218">
        <v>334.64115357398902</v>
      </c>
      <c r="K218">
        <v>328.72652721405001</v>
      </c>
      <c r="L218">
        <v>329.789909362792</v>
      </c>
      <c r="M218">
        <v>329.53619575500397</v>
      </c>
      <c r="N218">
        <v>330.57759284973099</v>
      </c>
      <c r="O218">
        <f t="shared" si="9"/>
        <v>329.65755629539422</v>
      </c>
      <c r="P218">
        <f t="shared" si="10"/>
        <v>16.850000399999999</v>
      </c>
      <c r="Q218">
        <v>331.69037049999997</v>
      </c>
      <c r="R218">
        <v>311.60962869999997</v>
      </c>
      <c r="T218">
        <f t="shared" si="11"/>
        <v>1</v>
      </c>
    </row>
    <row r="219" spans="1:20" x14ac:dyDescent="0.3">
      <c r="A219" s="1">
        <v>43130</v>
      </c>
      <c r="B219" s="1">
        <v>43221</v>
      </c>
      <c r="C219">
        <v>322.39344640000002</v>
      </c>
      <c r="D219">
        <v>321.64999999999998</v>
      </c>
      <c r="E219">
        <v>333.9</v>
      </c>
      <c r="F219">
        <v>12.25</v>
      </c>
      <c r="G219">
        <v>-11.506553650000001</v>
      </c>
      <c r="H219">
        <v>-12.25</v>
      </c>
      <c r="I219">
        <v>5.6964619799999996</v>
      </c>
      <c r="J219">
        <v>330.29264464378298</v>
      </c>
      <c r="K219">
        <v>322.36184253692602</v>
      </c>
      <c r="L219">
        <v>324.36548461913998</v>
      </c>
      <c r="M219">
        <v>329.025874996185</v>
      </c>
      <c r="N219">
        <v>329.81223430633497</v>
      </c>
      <c r="O219">
        <f t="shared" si="9"/>
        <v>326.39135911464643</v>
      </c>
      <c r="P219">
        <f t="shared" si="10"/>
        <v>12.25</v>
      </c>
      <c r="Q219">
        <v>331.04916229999998</v>
      </c>
      <c r="R219">
        <v>312.25083769999998</v>
      </c>
      <c r="T219">
        <f t="shared" si="11"/>
        <v>1</v>
      </c>
    </row>
    <row r="220" spans="1:20" x14ac:dyDescent="0.3">
      <c r="A220" s="1">
        <v>43131</v>
      </c>
      <c r="B220" s="1">
        <v>43222</v>
      </c>
      <c r="C220">
        <v>329.43214289999997</v>
      </c>
      <c r="D220">
        <v>319.75000019999999</v>
      </c>
      <c r="E220">
        <v>334.45</v>
      </c>
      <c r="F220">
        <v>14.69999981</v>
      </c>
      <c r="G220">
        <v>-5.0178570750000002</v>
      </c>
      <c r="H220">
        <v>-14.69999981</v>
      </c>
      <c r="I220">
        <v>5.2125234039999997</v>
      </c>
      <c r="J220">
        <v>333.16241402626002</v>
      </c>
      <c r="K220">
        <v>324.23317928314202</v>
      </c>
      <c r="L220">
        <v>338.05627222061099</v>
      </c>
      <c r="M220">
        <v>328.41684074401797</v>
      </c>
      <c r="N220">
        <v>326.03020591735799</v>
      </c>
      <c r="O220">
        <f t="shared" si="9"/>
        <v>329.18412454128224</v>
      </c>
      <c r="P220">
        <f t="shared" si="10"/>
        <v>14.699999800000001</v>
      </c>
      <c r="Q220">
        <v>328.35066380000001</v>
      </c>
      <c r="R220">
        <v>311.14933660000003</v>
      </c>
      <c r="T220">
        <f t="shared" si="11"/>
        <v>0</v>
      </c>
    </row>
    <row r="221" spans="1:20" x14ac:dyDescent="0.3">
      <c r="A221" s="1">
        <v>43132</v>
      </c>
      <c r="B221" s="1">
        <v>43223</v>
      </c>
      <c r="C221">
        <v>332.2411424</v>
      </c>
      <c r="D221">
        <v>318.00000039999998</v>
      </c>
      <c r="E221">
        <v>333.65</v>
      </c>
      <c r="F221">
        <v>15.649999619999999</v>
      </c>
      <c r="G221">
        <v>-1.4088575839999999</v>
      </c>
      <c r="H221">
        <v>-15.649999619999999</v>
      </c>
      <c r="I221">
        <v>4.6967351329999998</v>
      </c>
      <c r="J221">
        <v>335.00886561870499</v>
      </c>
      <c r="K221">
        <v>325.270330810546</v>
      </c>
      <c r="L221">
        <v>336.80666079521097</v>
      </c>
      <c r="M221">
        <v>329.88030257225</v>
      </c>
      <c r="N221">
        <v>330.39608540534903</v>
      </c>
      <c r="O221">
        <f t="shared" si="9"/>
        <v>330.58834489583899</v>
      </c>
      <c r="P221">
        <f t="shared" si="10"/>
        <v>15.649999600000001</v>
      </c>
      <c r="Q221">
        <v>325.74961339999999</v>
      </c>
      <c r="R221">
        <v>310.25038740000002</v>
      </c>
      <c r="T221">
        <f t="shared" si="11"/>
        <v>0</v>
      </c>
    </row>
    <row r="222" spans="1:20" x14ac:dyDescent="0.3">
      <c r="A222" s="1">
        <v>43133</v>
      </c>
      <c r="B222" s="1">
        <v>43224</v>
      </c>
      <c r="C222">
        <v>331.74957740000002</v>
      </c>
      <c r="D222">
        <v>316.45000019999998</v>
      </c>
      <c r="E222">
        <v>327.39999999999998</v>
      </c>
      <c r="F222">
        <v>-10.94999981</v>
      </c>
      <c r="G222">
        <v>4.3495774269999998</v>
      </c>
      <c r="H222">
        <v>-10.94999981</v>
      </c>
      <c r="I222">
        <v>4.4438398640000001</v>
      </c>
      <c r="J222">
        <v>342.586649322509</v>
      </c>
      <c r="K222">
        <v>334.20563306808401</v>
      </c>
      <c r="L222">
        <v>340.42322483062702</v>
      </c>
      <c r="M222">
        <v>332.29769506454397</v>
      </c>
      <c r="N222">
        <v>331.846024417877</v>
      </c>
      <c r="O222">
        <f t="shared" si="9"/>
        <v>334.69314434528297</v>
      </c>
      <c r="P222">
        <f t="shared" si="10"/>
        <v>-10.949999800000001</v>
      </c>
      <c r="Q222">
        <v>323.78233599999999</v>
      </c>
      <c r="R222">
        <v>309.11766440000002</v>
      </c>
      <c r="T222">
        <f t="shared" si="11"/>
        <v>0</v>
      </c>
    </row>
    <row r="223" spans="1:20" x14ac:dyDescent="0.3">
      <c r="A223" s="1">
        <v>43136</v>
      </c>
      <c r="B223" s="1">
        <v>43227</v>
      </c>
      <c r="C223">
        <v>329.1026301</v>
      </c>
      <c r="D223">
        <v>316.4499998</v>
      </c>
      <c r="E223">
        <v>323</v>
      </c>
      <c r="F223">
        <v>-6.5500001909999996</v>
      </c>
      <c r="G223">
        <v>6.1026301380000003</v>
      </c>
      <c r="H223">
        <v>-6.5500001909999996</v>
      </c>
      <c r="I223">
        <v>4.3344813259999997</v>
      </c>
      <c r="J223">
        <v>341.125553131103</v>
      </c>
      <c r="K223">
        <v>331.01557254791197</v>
      </c>
      <c r="L223">
        <v>336.95775222778298</v>
      </c>
      <c r="M223">
        <v>331.25882053375199</v>
      </c>
      <c r="N223">
        <v>330.453960418701</v>
      </c>
      <c r="O223">
        <f t="shared" si="9"/>
        <v>332.42152643203696</v>
      </c>
      <c r="P223">
        <f t="shared" si="10"/>
        <v>-6.5500001999999995</v>
      </c>
      <c r="Q223">
        <v>323.60189400000002</v>
      </c>
      <c r="R223">
        <v>309.29810559999999</v>
      </c>
      <c r="T223">
        <f t="shared" si="11"/>
        <v>0</v>
      </c>
    </row>
    <row r="224" spans="1:20" x14ac:dyDescent="0.3">
      <c r="A224" s="1">
        <v>43137</v>
      </c>
      <c r="B224" s="1">
        <v>43228</v>
      </c>
      <c r="C224">
        <v>330.5297693</v>
      </c>
      <c r="D224">
        <v>314.05000009999998</v>
      </c>
      <c r="E224">
        <v>317.64999999999998</v>
      </c>
      <c r="F224">
        <v>-3.5999999049999998</v>
      </c>
      <c r="G224">
        <v>12.87976933</v>
      </c>
      <c r="H224">
        <v>-3.5999999049999998</v>
      </c>
      <c r="I224">
        <v>4.3228760350000002</v>
      </c>
      <c r="J224">
        <v>337.138826751708</v>
      </c>
      <c r="K224">
        <v>330.16216316223102</v>
      </c>
      <c r="L224">
        <v>334.351229095458</v>
      </c>
      <c r="M224">
        <v>324.03143253326402</v>
      </c>
      <c r="N224">
        <v>328.67931022644001</v>
      </c>
      <c r="O224">
        <f t="shared" si="9"/>
        <v>329.30603375434828</v>
      </c>
      <c r="P224">
        <f t="shared" si="10"/>
        <v>-3.5999999000000003</v>
      </c>
      <c r="Q224">
        <v>321.18274559999998</v>
      </c>
      <c r="R224">
        <v>306.91725459999998</v>
      </c>
      <c r="T224">
        <f t="shared" si="11"/>
        <v>0</v>
      </c>
    </row>
    <row r="225" spans="1:20" x14ac:dyDescent="0.3">
      <c r="A225" s="1">
        <v>43138</v>
      </c>
      <c r="B225" s="1">
        <v>43229</v>
      </c>
      <c r="C225">
        <v>321.53298000000001</v>
      </c>
      <c r="D225">
        <v>314.0500002</v>
      </c>
      <c r="E225">
        <v>309.5</v>
      </c>
      <c r="F225">
        <v>4.5500001909999996</v>
      </c>
      <c r="G225">
        <v>12.03297997</v>
      </c>
      <c r="H225">
        <v>4.5500001909999996</v>
      </c>
      <c r="I225">
        <v>4.270104034</v>
      </c>
      <c r="J225">
        <v>328.29527091979901</v>
      </c>
      <c r="K225">
        <v>320.927167892456</v>
      </c>
      <c r="L225">
        <v>325.05034160614002</v>
      </c>
      <c r="M225">
        <v>319.30104255676201</v>
      </c>
      <c r="N225">
        <v>324.780889511108</v>
      </c>
      <c r="O225">
        <f t="shared" si="9"/>
        <v>322.51486039161648</v>
      </c>
      <c r="P225">
        <f t="shared" si="10"/>
        <v>4.5500001999999995</v>
      </c>
      <c r="Q225">
        <v>321.09567179999999</v>
      </c>
      <c r="R225">
        <v>307.00432849999999</v>
      </c>
      <c r="T225">
        <f t="shared" si="11"/>
        <v>0</v>
      </c>
    </row>
    <row r="226" spans="1:20" x14ac:dyDescent="0.3">
      <c r="A226" s="1">
        <v>43139</v>
      </c>
      <c r="B226" s="1">
        <v>43230</v>
      </c>
      <c r="C226">
        <v>312.67035829999998</v>
      </c>
      <c r="D226">
        <v>315.8499999</v>
      </c>
      <c r="E226">
        <v>312.5</v>
      </c>
      <c r="F226">
        <v>3.3499999049999998</v>
      </c>
      <c r="G226">
        <v>0.17035827000000001</v>
      </c>
      <c r="H226">
        <v>3.3499999049999998</v>
      </c>
      <c r="I226">
        <v>4.2596718290000002</v>
      </c>
      <c r="J226">
        <v>321.793741226196</v>
      </c>
      <c r="K226">
        <v>313.79956662654803</v>
      </c>
      <c r="L226">
        <v>323.78662681579499</v>
      </c>
      <c r="M226">
        <v>312.80696070194199</v>
      </c>
      <c r="N226">
        <v>318.03747129440302</v>
      </c>
      <c r="O226">
        <f t="shared" si="9"/>
        <v>317.10765635967203</v>
      </c>
      <c r="P226">
        <f t="shared" si="10"/>
        <v>3.3499999000000003</v>
      </c>
      <c r="Q226">
        <v>322.8784584</v>
      </c>
      <c r="R226">
        <v>308.8215414</v>
      </c>
      <c r="T226">
        <f t="shared" si="11"/>
        <v>1</v>
      </c>
    </row>
    <row r="227" spans="1:20" x14ac:dyDescent="0.3">
      <c r="A227" s="1">
        <v>43140</v>
      </c>
      <c r="B227" s="1">
        <v>43231</v>
      </c>
      <c r="C227">
        <v>313.11772309999998</v>
      </c>
      <c r="D227">
        <v>317.65000020000002</v>
      </c>
      <c r="E227">
        <v>303.85000000000002</v>
      </c>
      <c r="F227">
        <v>13.80000019</v>
      </c>
      <c r="G227">
        <v>9.2677230829999999</v>
      </c>
      <c r="H227">
        <v>13.80000019</v>
      </c>
      <c r="I227">
        <v>4.0304241100000002</v>
      </c>
      <c r="J227">
        <v>320.67121276855403</v>
      </c>
      <c r="K227">
        <v>317.829889869689</v>
      </c>
      <c r="L227">
        <v>321.08074913024899</v>
      </c>
      <c r="M227">
        <v>308.16950998306203</v>
      </c>
      <c r="N227">
        <v>308.36985120773301</v>
      </c>
      <c r="O227">
        <f t="shared" si="9"/>
        <v>313.86250004768328</v>
      </c>
      <c r="P227">
        <f t="shared" si="10"/>
        <v>13.800000199999999</v>
      </c>
      <c r="Q227">
        <v>324.30020000000002</v>
      </c>
      <c r="R227">
        <v>310.99980040000003</v>
      </c>
      <c r="T227">
        <f t="shared" si="11"/>
        <v>1</v>
      </c>
    </row>
    <row r="228" spans="1:20" x14ac:dyDescent="0.3">
      <c r="A228" s="1">
        <v>43143</v>
      </c>
      <c r="B228" s="1">
        <v>43234</v>
      </c>
      <c r="C228">
        <v>307.84952879999997</v>
      </c>
      <c r="D228">
        <v>316.85000000000002</v>
      </c>
      <c r="E228">
        <v>308.10000000000002</v>
      </c>
      <c r="F228">
        <v>-8.75</v>
      </c>
      <c r="G228">
        <v>-0.25047123399999999</v>
      </c>
      <c r="H228">
        <v>8.75</v>
      </c>
      <c r="I228">
        <v>3.9323719659999998</v>
      </c>
      <c r="J228">
        <v>316.14885578155503</v>
      </c>
      <c r="K228">
        <v>308.83229908943099</v>
      </c>
      <c r="L228">
        <v>315.89081296920699</v>
      </c>
      <c r="M228">
        <v>305.73473415374701</v>
      </c>
      <c r="N228">
        <v>308.87439111471099</v>
      </c>
      <c r="O228">
        <f t="shared" si="9"/>
        <v>309.833059331774</v>
      </c>
      <c r="P228">
        <f t="shared" si="10"/>
        <v>8.75</v>
      </c>
      <c r="Q228">
        <v>323.33841369999999</v>
      </c>
      <c r="R228">
        <v>310.3615863</v>
      </c>
      <c r="T228">
        <f t="shared" si="11"/>
        <v>0</v>
      </c>
    </row>
    <row r="229" spans="1:20" x14ac:dyDescent="0.3">
      <c r="A229" s="1">
        <v>43144</v>
      </c>
      <c r="B229" s="1">
        <v>43235</v>
      </c>
      <c r="C229">
        <v>307.86058509999998</v>
      </c>
      <c r="D229">
        <v>313.74999989999998</v>
      </c>
      <c r="E229">
        <v>311.39999999999998</v>
      </c>
      <c r="F229">
        <v>-2.3499999049999998</v>
      </c>
      <c r="G229">
        <v>-3.5394148830000001</v>
      </c>
      <c r="H229">
        <v>2.3499999049999998</v>
      </c>
      <c r="I229">
        <v>3.905756046</v>
      </c>
      <c r="J229">
        <v>314.22930016517603</v>
      </c>
      <c r="K229">
        <v>316.33757104873598</v>
      </c>
      <c r="L229">
        <v>316.04355087280197</v>
      </c>
      <c r="M229">
        <v>309.02754297256399</v>
      </c>
      <c r="N229">
        <v>311.75482653975399</v>
      </c>
      <c r="O229">
        <f t="shared" si="9"/>
        <v>313.29087285846396</v>
      </c>
      <c r="P229">
        <f t="shared" si="10"/>
        <v>2.3499999000000003</v>
      </c>
      <c r="Q229">
        <v>320.19449739999999</v>
      </c>
      <c r="R229">
        <v>307.30550240000002</v>
      </c>
      <c r="T229">
        <f t="shared" si="11"/>
        <v>1</v>
      </c>
    </row>
    <row r="230" spans="1:20" x14ac:dyDescent="0.3">
      <c r="A230" s="1">
        <v>43145</v>
      </c>
      <c r="B230" s="1">
        <v>43236</v>
      </c>
      <c r="C230">
        <v>310.83076240000003</v>
      </c>
      <c r="D230">
        <v>314.89999999999998</v>
      </c>
      <c r="E230">
        <v>314.3</v>
      </c>
      <c r="F230">
        <v>-0.60000002399999997</v>
      </c>
      <c r="G230">
        <v>-3.4692375659999999</v>
      </c>
      <c r="H230">
        <v>0.60000002399999997</v>
      </c>
      <c r="I230">
        <v>3.9037429650000002</v>
      </c>
      <c r="J230">
        <v>311.15244989395097</v>
      </c>
      <c r="K230">
        <v>311.92663364410402</v>
      </c>
      <c r="L230">
        <v>319.35500125885</v>
      </c>
      <c r="M230">
        <v>309.94426326751699</v>
      </c>
      <c r="N230">
        <v>310.86490945816001</v>
      </c>
      <c r="O230">
        <f t="shared" si="9"/>
        <v>313.02270190715774</v>
      </c>
      <c r="P230">
        <f t="shared" si="10"/>
        <v>-0.59999999999996589</v>
      </c>
      <c r="Q230">
        <v>321.3411759</v>
      </c>
      <c r="R230">
        <v>308.45882410000002</v>
      </c>
      <c r="T230">
        <f t="shared" si="11"/>
        <v>0</v>
      </c>
    </row>
    <row r="231" spans="1:20" x14ac:dyDescent="0.3">
      <c r="A231" s="1">
        <v>43146</v>
      </c>
      <c r="B231" s="1">
        <v>43237</v>
      </c>
      <c r="C231">
        <v>312.01389080000001</v>
      </c>
      <c r="D231">
        <v>313.39999999999998</v>
      </c>
      <c r="E231">
        <v>314.3</v>
      </c>
      <c r="F231">
        <v>0.89999997600000003</v>
      </c>
      <c r="G231">
        <v>-2.2861092090000001</v>
      </c>
      <c r="H231">
        <v>-0.89999997600000003</v>
      </c>
      <c r="I231">
        <v>3.9094526100000002</v>
      </c>
      <c r="J231">
        <v>311.79701595306398</v>
      </c>
      <c r="K231">
        <v>313.75436412096002</v>
      </c>
      <c r="L231">
        <v>320.46647863388</v>
      </c>
      <c r="M231">
        <v>312.05298762321399</v>
      </c>
      <c r="N231">
        <v>312.862760472297</v>
      </c>
      <c r="O231">
        <f t="shared" si="9"/>
        <v>314.78414771258775</v>
      </c>
      <c r="P231">
        <f t="shared" si="10"/>
        <v>-0.90000000000003411</v>
      </c>
      <c r="Q231">
        <v>319.85059680000001</v>
      </c>
      <c r="R231">
        <v>306.94940320000001</v>
      </c>
      <c r="T231">
        <f t="shared" si="11"/>
        <v>0</v>
      </c>
    </row>
    <row r="232" spans="1:20" x14ac:dyDescent="0.3">
      <c r="A232" s="1">
        <v>43147</v>
      </c>
      <c r="B232" s="1">
        <v>43238</v>
      </c>
      <c r="C232">
        <v>319.33416010000002</v>
      </c>
      <c r="D232">
        <v>314.75</v>
      </c>
      <c r="E232">
        <v>314.3</v>
      </c>
      <c r="F232">
        <v>0.44999998800000002</v>
      </c>
      <c r="G232">
        <v>5.0341601369999998</v>
      </c>
      <c r="H232">
        <v>0.44999998800000002</v>
      </c>
      <c r="I232">
        <v>3.9078197619999999</v>
      </c>
      <c r="J232">
        <v>316.14170007705599</v>
      </c>
      <c r="K232">
        <v>320.830896186828</v>
      </c>
      <c r="L232">
        <v>323.97441177368103</v>
      </c>
      <c r="M232">
        <v>315.49877767562799</v>
      </c>
      <c r="N232">
        <v>315.57129876613601</v>
      </c>
      <c r="O232">
        <f t="shared" si="9"/>
        <v>318.96884610056827</v>
      </c>
      <c r="P232">
        <f t="shared" si="10"/>
        <v>0.44999999999998863</v>
      </c>
      <c r="Q232">
        <v>321.19790260000002</v>
      </c>
      <c r="R232">
        <v>308.30209739999998</v>
      </c>
      <c r="T232">
        <f t="shared" si="11"/>
        <v>1</v>
      </c>
    </row>
    <row r="233" spans="1:20" x14ac:dyDescent="0.3">
      <c r="A233" s="1">
        <v>43150</v>
      </c>
      <c r="B233" s="1">
        <v>43241</v>
      </c>
      <c r="C233">
        <v>317.78403650000001</v>
      </c>
      <c r="D233">
        <v>315.10000000000002</v>
      </c>
      <c r="E233">
        <v>316.25</v>
      </c>
      <c r="F233">
        <v>-1.1499999759999999</v>
      </c>
      <c r="G233">
        <v>1.5340365170000001</v>
      </c>
      <c r="H233">
        <v>-1.1499999759999999</v>
      </c>
      <c r="I233">
        <v>3.906680669</v>
      </c>
      <c r="J233">
        <v>318.07826232910099</v>
      </c>
      <c r="K233">
        <v>316.86890739202499</v>
      </c>
      <c r="L233">
        <v>323.74321699142399</v>
      </c>
      <c r="M233">
        <v>314.64570903778002</v>
      </c>
      <c r="N233">
        <v>317.46354591846398</v>
      </c>
      <c r="O233">
        <f t="shared" si="9"/>
        <v>318.18034483492323</v>
      </c>
      <c r="P233">
        <f t="shared" si="10"/>
        <v>-1.1499999999999773</v>
      </c>
      <c r="Q233">
        <v>321.54602310000001</v>
      </c>
      <c r="R233">
        <v>308.65397689999998</v>
      </c>
      <c r="T233">
        <f t="shared" si="11"/>
        <v>0</v>
      </c>
    </row>
    <row r="234" spans="1:20" x14ac:dyDescent="0.3">
      <c r="A234" s="1">
        <v>43151</v>
      </c>
      <c r="B234" s="1">
        <v>43242</v>
      </c>
      <c r="C234">
        <v>307.81844039999999</v>
      </c>
      <c r="D234">
        <v>315.0999999</v>
      </c>
      <c r="E234">
        <v>312</v>
      </c>
      <c r="F234">
        <v>-3.0999999049999998</v>
      </c>
      <c r="G234">
        <v>-4.1815595630000004</v>
      </c>
      <c r="H234">
        <v>3.0999999049999998</v>
      </c>
      <c r="I234">
        <v>3.8831477620000001</v>
      </c>
      <c r="J234">
        <v>313.12445366382599</v>
      </c>
      <c r="K234">
        <v>310.91621947288502</v>
      </c>
      <c r="L234">
        <v>321.03573894500698</v>
      </c>
      <c r="M234">
        <v>309.44903278350802</v>
      </c>
      <c r="N234">
        <v>313.02776825427998</v>
      </c>
      <c r="O234">
        <f t="shared" si="9"/>
        <v>313.60718986391998</v>
      </c>
      <c r="P234">
        <f t="shared" si="10"/>
        <v>3.0999999000000003</v>
      </c>
      <c r="Q234">
        <v>321.50719370000002</v>
      </c>
      <c r="R234">
        <v>308.69280609999998</v>
      </c>
      <c r="T234">
        <f t="shared" si="11"/>
        <v>1</v>
      </c>
    </row>
    <row r="235" spans="1:20" x14ac:dyDescent="0.3">
      <c r="A235" s="1">
        <v>43152</v>
      </c>
      <c r="B235" s="1">
        <v>43243</v>
      </c>
      <c r="C235">
        <v>310.20597509999999</v>
      </c>
      <c r="D235">
        <v>317.14999990000001</v>
      </c>
      <c r="E235">
        <v>314.05</v>
      </c>
      <c r="F235">
        <v>-3.0999999049999998</v>
      </c>
      <c r="G235">
        <v>-3.8440248970000002</v>
      </c>
      <c r="H235">
        <v>3.0999999049999998</v>
      </c>
      <c r="I235">
        <v>3.8845196340000001</v>
      </c>
      <c r="J235">
        <v>310.24436883926302</v>
      </c>
      <c r="K235">
        <v>312.53286199569698</v>
      </c>
      <c r="L235">
        <v>319.48717861175498</v>
      </c>
      <c r="M235">
        <v>311.71578078269903</v>
      </c>
      <c r="N235">
        <v>314.61490015983497</v>
      </c>
      <c r="O235">
        <f t="shared" si="9"/>
        <v>314.58768038749645</v>
      </c>
      <c r="P235">
        <f t="shared" si="10"/>
        <v>3.0999999000000003</v>
      </c>
      <c r="Q235">
        <v>323.55945730000002</v>
      </c>
      <c r="R235">
        <v>310.7405425</v>
      </c>
      <c r="T235">
        <f t="shared" si="11"/>
        <v>1</v>
      </c>
    </row>
    <row r="236" spans="1:20" x14ac:dyDescent="0.3">
      <c r="A236" s="1">
        <v>43153</v>
      </c>
      <c r="B236" s="1">
        <v>43244</v>
      </c>
      <c r="C236">
        <v>310.7596537</v>
      </c>
      <c r="D236">
        <v>316.54999980000002</v>
      </c>
      <c r="E236">
        <v>311.85000000000002</v>
      </c>
      <c r="F236">
        <v>-4.6999998090000004</v>
      </c>
      <c r="G236">
        <v>-1.0903463360000001</v>
      </c>
      <c r="H236">
        <v>4.6999998090000004</v>
      </c>
      <c r="I236">
        <v>3.8589132589999999</v>
      </c>
      <c r="J236">
        <v>310.70370099544499</v>
      </c>
      <c r="K236">
        <v>316.897736167907</v>
      </c>
      <c r="L236">
        <v>320.33650646209702</v>
      </c>
      <c r="M236">
        <v>312.37889037132197</v>
      </c>
      <c r="N236">
        <v>315.87681350707999</v>
      </c>
      <c r="O236">
        <f t="shared" si="9"/>
        <v>316.37248662710147</v>
      </c>
      <c r="P236">
        <f t="shared" si="10"/>
        <v>4.6999998000000005</v>
      </c>
      <c r="Q236">
        <v>322.91720670000001</v>
      </c>
      <c r="R236">
        <v>310.18279289999998</v>
      </c>
      <c r="T236">
        <f t="shared" si="11"/>
        <v>1</v>
      </c>
    </row>
    <row r="237" spans="1:20" x14ac:dyDescent="0.3">
      <c r="A237" s="1">
        <v>43154</v>
      </c>
      <c r="B237" s="1">
        <v>43245</v>
      </c>
      <c r="C237">
        <v>316.94751309999998</v>
      </c>
      <c r="D237">
        <v>317.3</v>
      </c>
      <c r="E237">
        <v>316.95</v>
      </c>
      <c r="F237">
        <v>-0.34999999399999998</v>
      </c>
      <c r="G237">
        <v>-2.4868809999999998E-3</v>
      </c>
      <c r="H237">
        <v>0.34999999399999998</v>
      </c>
      <c r="I237">
        <v>3.861089642</v>
      </c>
      <c r="J237">
        <v>317.98327476978301</v>
      </c>
      <c r="K237">
        <v>322.42582101821898</v>
      </c>
      <c r="L237">
        <v>322.32902545928903</v>
      </c>
      <c r="M237">
        <v>316.563655537366</v>
      </c>
      <c r="N237">
        <v>318.16466612815799</v>
      </c>
      <c r="O237">
        <f t="shared" si="9"/>
        <v>319.87079203575797</v>
      </c>
      <c r="P237">
        <f t="shared" si="10"/>
        <v>0.35000000000002274</v>
      </c>
      <c r="Q237">
        <v>323.67079790000003</v>
      </c>
      <c r="R237">
        <v>310.9292021</v>
      </c>
      <c r="T237">
        <f t="shared" si="11"/>
        <v>1</v>
      </c>
    </row>
    <row r="238" spans="1:20" x14ac:dyDescent="0.3">
      <c r="A238" s="1">
        <v>43157</v>
      </c>
      <c r="B238" s="1">
        <v>43248</v>
      </c>
      <c r="C238">
        <v>314.0393444</v>
      </c>
      <c r="D238">
        <v>318.10000000000002</v>
      </c>
      <c r="E238">
        <v>317.10000000000002</v>
      </c>
      <c r="F238">
        <v>-1</v>
      </c>
      <c r="G238">
        <v>-3.060655594</v>
      </c>
      <c r="H238">
        <v>1</v>
      </c>
      <c r="I238">
        <v>3.8691778530000001</v>
      </c>
      <c r="J238">
        <v>318.896838879585</v>
      </c>
      <c r="K238">
        <v>318.62667737007098</v>
      </c>
      <c r="L238">
        <v>319.71987018585202</v>
      </c>
      <c r="M238">
        <v>314.12842402458102</v>
      </c>
      <c r="N238">
        <v>315.50992808341903</v>
      </c>
      <c r="O238">
        <f t="shared" si="9"/>
        <v>316.99622491598075</v>
      </c>
      <c r="P238">
        <f t="shared" si="10"/>
        <v>-1</v>
      </c>
      <c r="Q238">
        <v>324.48414350000002</v>
      </c>
      <c r="R238">
        <v>311.71585649999997</v>
      </c>
      <c r="T238">
        <f t="shared" si="11"/>
        <v>0</v>
      </c>
    </row>
    <row r="239" spans="1:20" x14ac:dyDescent="0.3">
      <c r="A239" s="1">
        <v>43158</v>
      </c>
      <c r="B239" s="1">
        <v>43249</v>
      </c>
      <c r="C239">
        <v>306.51963999999998</v>
      </c>
      <c r="D239">
        <v>314.89999999999998</v>
      </c>
      <c r="E239">
        <v>315.75</v>
      </c>
      <c r="F239">
        <v>0.85000002399999997</v>
      </c>
      <c r="G239">
        <v>-9.230360031</v>
      </c>
      <c r="H239">
        <v>-0.85000002399999997</v>
      </c>
      <c r="I239">
        <v>3.8701230170000001</v>
      </c>
      <c r="J239">
        <v>312.74026322364801</v>
      </c>
      <c r="K239">
        <v>313.20879983901898</v>
      </c>
      <c r="L239">
        <v>314.17173206806098</v>
      </c>
      <c r="M239">
        <v>309.75625467300398</v>
      </c>
      <c r="N239">
        <v>308.94413328170702</v>
      </c>
      <c r="O239">
        <f t="shared" si="9"/>
        <v>311.52022996544775</v>
      </c>
      <c r="P239">
        <f t="shared" si="10"/>
        <v>0.85000000000002274</v>
      </c>
      <c r="Q239">
        <v>321.28570300000001</v>
      </c>
      <c r="R239">
        <v>308.514297</v>
      </c>
      <c r="T239">
        <f t="shared" si="11"/>
        <v>1</v>
      </c>
    </row>
    <row r="240" spans="1:20" x14ac:dyDescent="0.3">
      <c r="A240" s="1">
        <v>43159</v>
      </c>
      <c r="B240" s="1">
        <v>43250</v>
      </c>
      <c r="C240">
        <v>317.22065320000002</v>
      </c>
      <c r="D240">
        <v>307.54999989999999</v>
      </c>
      <c r="E240">
        <v>312.45</v>
      </c>
      <c r="F240">
        <v>-4.9000000950000002</v>
      </c>
      <c r="G240">
        <v>4.7706532480000003</v>
      </c>
      <c r="H240">
        <v>-4.9000000950000002</v>
      </c>
      <c r="I240">
        <v>3.9785221150000001</v>
      </c>
      <c r="J240">
        <v>320.60153217315599</v>
      </c>
      <c r="K240">
        <v>315.20621438026399</v>
      </c>
      <c r="L240">
        <v>319.56828613281198</v>
      </c>
      <c r="M240">
        <v>317.099684906005</v>
      </c>
      <c r="N240">
        <v>314.07235689163201</v>
      </c>
      <c r="O240">
        <f t="shared" si="9"/>
        <v>316.48663557767827</v>
      </c>
      <c r="P240">
        <f t="shared" si="10"/>
        <v>-4.9000000999999997</v>
      </c>
      <c r="Q240">
        <v>314.11456140000001</v>
      </c>
      <c r="R240">
        <v>300.98543840000002</v>
      </c>
      <c r="T240">
        <f t="shared" si="11"/>
        <v>0</v>
      </c>
    </row>
    <row r="241" spans="1:20" x14ac:dyDescent="0.3">
      <c r="A241" s="1">
        <v>43160</v>
      </c>
      <c r="B241" s="1">
        <v>43251</v>
      </c>
      <c r="C241">
        <v>315.72771949999998</v>
      </c>
      <c r="D241">
        <v>309.14999999999998</v>
      </c>
      <c r="E241">
        <v>312.45</v>
      </c>
      <c r="F241">
        <v>-3.2999999519999998</v>
      </c>
      <c r="G241">
        <v>3.2777194980000002</v>
      </c>
      <c r="H241">
        <v>-3.2999999519999998</v>
      </c>
      <c r="I241">
        <v>4.0388874430000001</v>
      </c>
      <c r="J241">
        <v>318.83790464401199</v>
      </c>
      <c r="K241">
        <v>314.87233324050902</v>
      </c>
      <c r="L241">
        <v>319.02759618759097</v>
      </c>
      <c r="M241">
        <v>318.28617448806699</v>
      </c>
      <c r="N241">
        <v>315.89584703445399</v>
      </c>
      <c r="O241">
        <f t="shared" si="9"/>
        <v>317.02048773765523</v>
      </c>
      <c r="P241">
        <f t="shared" si="10"/>
        <v>-3.3000000000000114</v>
      </c>
      <c r="Q241">
        <v>315.81416430000002</v>
      </c>
      <c r="R241">
        <v>302.48583580000002</v>
      </c>
      <c r="T241">
        <f t="shared" si="11"/>
        <v>0</v>
      </c>
    </row>
    <row r="242" spans="1:20" x14ac:dyDescent="0.3">
      <c r="A242" s="1">
        <v>43161</v>
      </c>
      <c r="B242" s="1">
        <v>43252</v>
      </c>
      <c r="C242">
        <v>314.19439349999999</v>
      </c>
      <c r="D242">
        <v>311.39999999999998</v>
      </c>
      <c r="E242">
        <v>308.14999999999998</v>
      </c>
      <c r="F242">
        <v>3.25</v>
      </c>
      <c r="G242">
        <v>6.0443935389999996</v>
      </c>
      <c r="H242">
        <v>3.25</v>
      </c>
      <c r="I242">
        <v>3.9663470159999998</v>
      </c>
      <c r="J242">
        <v>320.59081401824898</v>
      </c>
      <c r="K242">
        <v>312.56111946105898</v>
      </c>
      <c r="L242">
        <v>316.58579769134502</v>
      </c>
      <c r="M242">
        <v>315.36026182174601</v>
      </c>
      <c r="N242">
        <v>314.77052583694399</v>
      </c>
      <c r="O242">
        <f t="shared" si="9"/>
        <v>314.81942620277351</v>
      </c>
      <c r="P242">
        <f t="shared" si="10"/>
        <v>3.25</v>
      </c>
      <c r="Q242">
        <v>317.94447259999998</v>
      </c>
      <c r="R242">
        <v>304.85552740000003</v>
      </c>
      <c r="T242">
        <f t="shared" si="11"/>
        <v>1</v>
      </c>
    </row>
    <row r="243" spans="1:20" x14ac:dyDescent="0.3">
      <c r="A243" s="1">
        <v>43164</v>
      </c>
      <c r="B243" s="1">
        <v>43255</v>
      </c>
      <c r="C243">
        <v>314.16643299999998</v>
      </c>
      <c r="D243">
        <v>313.15000020000002</v>
      </c>
      <c r="E243">
        <v>303.85000000000002</v>
      </c>
      <c r="F243">
        <v>9.3000001910000005</v>
      </c>
      <c r="G243">
        <v>10.316432949999999</v>
      </c>
      <c r="H243">
        <v>9.3000001910000005</v>
      </c>
      <c r="I243">
        <v>3.6975128069999998</v>
      </c>
      <c r="J243">
        <v>318.590582466125</v>
      </c>
      <c r="K243">
        <v>314.13495883941602</v>
      </c>
      <c r="L243">
        <v>317.358780479431</v>
      </c>
      <c r="M243">
        <v>313.67380199432301</v>
      </c>
      <c r="N243">
        <v>311.753477668762</v>
      </c>
      <c r="O243">
        <f t="shared" si="9"/>
        <v>314.23025474548297</v>
      </c>
      <c r="P243">
        <f t="shared" si="10"/>
        <v>9.3000001999999995</v>
      </c>
      <c r="Q243">
        <v>319.25089630000002</v>
      </c>
      <c r="R243">
        <v>307.04910410000002</v>
      </c>
      <c r="T243">
        <f t="shared" si="11"/>
        <v>1</v>
      </c>
    </row>
    <row r="244" spans="1:20" x14ac:dyDescent="0.3">
      <c r="A244" s="1">
        <v>43165</v>
      </c>
      <c r="B244" s="1">
        <v>43256</v>
      </c>
      <c r="C244">
        <v>317.25701839999999</v>
      </c>
      <c r="D244">
        <v>313.75</v>
      </c>
      <c r="E244">
        <v>310.3</v>
      </c>
      <c r="F244">
        <v>3.4500000480000002</v>
      </c>
      <c r="G244">
        <v>6.9570183749999996</v>
      </c>
      <c r="H244">
        <v>3.4500000480000002</v>
      </c>
      <c r="I244">
        <v>3.6437286420000001</v>
      </c>
      <c r="J244">
        <v>320.39174633026101</v>
      </c>
      <c r="K244">
        <v>315.23023777008001</v>
      </c>
      <c r="L244">
        <v>319.64076976776101</v>
      </c>
      <c r="M244">
        <v>314.692205715179</v>
      </c>
      <c r="N244">
        <v>312.760601568222</v>
      </c>
      <c r="O244">
        <f t="shared" si="9"/>
        <v>315.58095370531049</v>
      </c>
      <c r="P244">
        <f t="shared" si="10"/>
        <v>3.4499999999999886</v>
      </c>
      <c r="Q244">
        <v>319.76215230000003</v>
      </c>
      <c r="R244">
        <v>307.7378478</v>
      </c>
      <c r="T244">
        <f t="shared" si="11"/>
        <v>1</v>
      </c>
    </row>
    <row r="245" spans="1:20" x14ac:dyDescent="0.3">
      <c r="A245" s="1">
        <v>43166</v>
      </c>
      <c r="B245" s="1">
        <v>43257</v>
      </c>
      <c r="C245">
        <v>316.90411779999999</v>
      </c>
      <c r="D245">
        <v>313.75</v>
      </c>
      <c r="E245">
        <v>310.45</v>
      </c>
      <c r="F245">
        <v>3.2999999519999998</v>
      </c>
      <c r="G245">
        <v>6.4541177750000003</v>
      </c>
      <c r="H245">
        <v>3.2999999519999998</v>
      </c>
      <c r="I245">
        <v>3.5918606240000002</v>
      </c>
      <c r="J245">
        <v>320.109222602844</v>
      </c>
      <c r="K245">
        <v>317.18689079284599</v>
      </c>
      <c r="L245">
        <v>320.49127120971599</v>
      </c>
      <c r="M245">
        <v>314.73434705734201</v>
      </c>
      <c r="N245">
        <v>311.90921576023101</v>
      </c>
      <c r="O245">
        <f t="shared" si="9"/>
        <v>316.08043120503373</v>
      </c>
      <c r="P245">
        <f t="shared" si="10"/>
        <v>3.3000000000000114</v>
      </c>
      <c r="Q245">
        <v>319.67657000000003</v>
      </c>
      <c r="R245">
        <v>307.82342990000001</v>
      </c>
      <c r="T245">
        <f t="shared" si="11"/>
        <v>1</v>
      </c>
    </row>
    <row r="246" spans="1:20" x14ac:dyDescent="0.3">
      <c r="A246" s="1">
        <v>43167</v>
      </c>
      <c r="B246" s="1">
        <v>43258</v>
      </c>
      <c r="C246">
        <v>316.16826809999998</v>
      </c>
      <c r="D246">
        <v>316.85000000000002</v>
      </c>
      <c r="E246">
        <v>313.60000000000002</v>
      </c>
      <c r="F246">
        <v>3.25</v>
      </c>
      <c r="G246">
        <v>2.5682680609999999</v>
      </c>
      <c r="H246">
        <v>3.25</v>
      </c>
      <c r="I246">
        <v>3.5838692760000002</v>
      </c>
      <c r="J246">
        <v>315.80566558837802</v>
      </c>
      <c r="K246">
        <v>317.98909626007003</v>
      </c>
      <c r="L246">
        <v>321.28806266784602</v>
      </c>
      <c r="M246">
        <v>317.21573910713198</v>
      </c>
      <c r="N246">
        <v>313.09397361278502</v>
      </c>
      <c r="O246">
        <f t="shared" si="9"/>
        <v>317.39671791195826</v>
      </c>
      <c r="P246">
        <f t="shared" si="10"/>
        <v>3.25</v>
      </c>
      <c r="Q246">
        <v>322.76338429999998</v>
      </c>
      <c r="R246">
        <v>310.9366157</v>
      </c>
      <c r="T246">
        <f t="shared" si="11"/>
        <v>1</v>
      </c>
    </row>
    <row r="247" spans="1:20" x14ac:dyDescent="0.3">
      <c r="A247" s="1">
        <v>43168</v>
      </c>
      <c r="B247" s="1">
        <v>43259</v>
      </c>
      <c r="C247">
        <v>320.5954438</v>
      </c>
      <c r="D247">
        <v>313.3</v>
      </c>
      <c r="E247">
        <v>317.10000000000002</v>
      </c>
      <c r="F247">
        <v>-3.7999999519999998</v>
      </c>
      <c r="G247">
        <v>3.4954438209999998</v>
      </c>
      <c r="H247">
        <v>-3.7999999519999998</v>
      </c>
      <c r="I247">
        <v>3.5935544259999999</v>
      </c>
      <c r="J247">
        <v>320.62957010269099</v>
      </c>
      <c r="K247">
        <v>318.65353498458802</v>
      </c>
      <c r="L247">
        <v>321.62865314483599</v>
      </c>
      <c r="M247">
        <v>317.544771468639</v>
      </c>
      <c r="N247">
        <v>312.95381221771203</v>
      </c>
      <c r="O247">
        <f t="shared" si="9"/>
        <v>317.69519295394377</v>
      </c>
      <c r="P247">
        <f t="shared" si="10"/>
        <v>-3.8000000000000114</v>
      </c>
      <c r="Q247">
        <v>319.22936490000001</v>
      </c>
      <c r="R247">
        <v>307.37063519999998</v>
      </c>
      <c r="T247">
        <f t="shared" si="11"/>
        <v>0</v>
      </c>
    </row>
    <row r="248" spans="1:20" x14ac:dyDescent="0.3">
      <c r="A248" s="1">
        <v>43171</v>
      </c>
      <c r="B248" s="1">
        <v>43262</v>
      </c>
      <c r="C248">
        <v>318.2561546</v>
      </c>
      <c r="D248">
        <v>316.14999999999998</v>
      </c>
      <c r="E248">
        <v>320.10000000000002</v>
      </c>
      <c r="F248">
        <v>3.9500000480000002</v>
      </c>
      <c r="G248">
        <v>-1.8438453669999999</v>
      </c>
      <c r="H248">
        <v>-3.9500000480000002</v>
      </c>
      <c r="I248">
        <v>3.5521090019999999</v>
      </c>
      <c r="J248">
        <v>322.72129640579197</v>
      </c>
      <c r="K248">
        <v>320.485693848133</v>
      </c>
      <c r="L248">
        <v>324.59250173568699</v>
      </c>
      <c r="M248">
        <v>317.124518013</v>
      </c>
      <c r="N248">
        <v>316.51622161865203</v>
      </c>
      <c r="O248">
        <f t="shared" si="9"/>
        <v>319.67973380386798</v>
      </c>
      <c r="P248">
        <f t="shared" si="10"/>
        <v>3.9500000000000455</v>
      </c>
      <c r="Q248">
        <v>322.01097979999997</v>
      </c>
      <c r="R248">
        <v>310.28902010000002</v>
      </c>
      <c r="T248">
        <f t="shared" si="11"/>
        <v>1</v>
      </c>
    </row>
    <row r="249" spans="1:20" x14ac:dyDescent="0.3">
      <c r="A249" s="1">
        <v>43172</v>
      </c>
      <c r="B249" s="1">
        <v>43263</v>
      </c>
      <c r="C249">
        <v>313.46670440000003</v>
      </c>
      <c r="D249">
        <v>315.6500001</v>
      </c>
      <c r="E249">
        <v>321.5</v>
      </c>
      <c r="F249">
        <v>5.8499999049999998</v>
      </c>
      <c r="G249">
        <v>-8.0332956309999997</v>
      </c>
      <c r="H249">
        <v>-5.8499999049999998</v>
      </c>
      <c r="I249">
        <v>3.4760354019999999</v>
      </c>
      <c r="J249">
        <v>318.509448528289</v>
      </c>
      <c r="K249">
        <v>320.41984355449603</v>
      </c>
      <c r="L249">
        <v>325.33335685729901</v>
      </c>
      <c r="M249">
        <v>320.36492013931201</v>
      </c>
      <c r="N249">
        <v>314.04384088516201</v>
      </c>
      <c r="O249">
        <f t="shared" si="9"/>
        <v>320.04049035906723</v>
      </c>
      <c r="P249">
        <f t="shared" si="10"/>
        <v>5.8499999000000003</v>
      </c>
      <c r="Q249">
        <v>321.38545850000003</v>
      </c>
      <c r="R249">
        <v>309.91454169999997</v>
      </c>
      <c r="T249">
        <f t="shared" si="11"/>
        <v>1</v>
      </c>
    </row>
    <row r="250" spans="1:20" x14ac:dyDescent="0.3">
      <c r="A250" s="1">
        <v>43173</v>
      </c>
      <c r="B250" s="1">
        <v>43264</v>
      </c>
      <c r="C250">
        <v>321.5744737</v>
      </c>
      <c r="D250">
        <v>315.64999990000001</v>
      </c>
      <c r="E250">
        <v>321.55</v>
      </c>
      <c r="F250">
        <v>-5.9000000950000002</v>
      </c>
      <c r="G250">
        <v>2.4473703999999999E-2</v>
      </c>
      <c r="H250">
        <v>-5.9000000950000002</v>
      </c>
      <c r="I250">
        <v>3.3944546120000001</v>
      </c>
      <c r="J250">
        <v>319.59492712020801</v>
      </c>
      <c r="K250">
        <v>320.39848260879501</v>
      </c>
      <c r="L250">
        <v>323.20732049942001</v>
      </c>
      <c r="M250">
        <v>321.98845206499101</v>
      </c>
      <c r="N250">
        <v>316.12325744628902</v>
      </c>
      <c r="O250">
        <f t="shared" si="9"/>
        <v>320.42937815487375</v>
      </c>
      <c r="P250">
        <f t="shared" si="10"/>
        <v>5.9000000999999997</v>
      </c>
      <c r="Q250">
        <v>321.25085000000001</v>
      </c>
      <c r="R250">
        <v>310.04914980000001</v>
      </c>
      <c r="T250">
        <f t="shared" si="11"/>
        <v>1</v>
      </c>
    </row>
    <row r="251" spans="1:20" x14ac:dyDescent="0.3">
      <c r="A251" s="1">
        <v>43174</v>
      </c>
      <c r="B251" s="1">
        <v>43265</v>
      </c>
      <c r="C251">
        <v>320.359531</v>
      </c>
      <c r="D251">
        <v>310.40000020000002</v>
      </c>
      <c r="E251">
        <v>322.85000000000002</v>
      </c>
      <c r="F251">
        <v>12.44999981</v>
      </c>
      <c r="G251">
        <v>-2.4904689790000001</v>
      </c>
      <c r="H251">
        <v>-12.44999981</v>
      </c>
      <c r="I251">
        <v>3.3246131929999998</v>
      </c>
      <c r="J251">
        <v>317.82740793228101</v>
      </c>
      <c r="K251">
        <v>321.51133749485001</v>
      </c>
      <c r="L251">
        <v>324.28796217441499</v>
      </c>
      <c r="M251">
        <v>321.63851008415202</v>
      </c>
      <c r="N251">
        <v>318.38926038741999</v>
      </c>
      <c r="O251">
        <f t="shared" si="9"/>
        <v>321.45676753520922</v>
      </c>
      <c r="P251">
        <f t="shared" si="10"/>
        <v>12.449999800000001</v>
      </c>
      <c r="Q251">
        <v>315.88561199999998</v>
      </c>
      <c r="R251">
        <v>304.91438840000001</v>
      </c>
      <c r="T251">
        <f t="shared" si="11"/>
        <v>0</v>
      </c>
    </row>
    <row r="252" spans="1:20" x14ac:dyDescent="0.3">
      <c r="A252" s="1">
        <v>43175</v>
      </c>
      <c r="B252" s="1">
        <v>43266</v>
      </c>
      <c r="C252">
        <v>318.42146250000002</v>
      </c>
      <c r="D252">
        <v>309.1999998</v>
      </c>
      <c r="E252">
        <v>322</v>
      </c>
      <c r="F252">
        <v>12.80000019</v>
      </c>
      <c r="G252">
        <v>-3.5785374640000001</v>
      </c>
      <c r="H252">
        <v>-12.80000019</v>
      </c>
      <c r="I252">
        <v>3.3019538210000001</v>
      </c>
      <c r="J252">
        <v>315.48657464981</v>
      </c>
      <c r="K252">
        <v>318.37822103500298</v>
      </c>
      <c r="L252">
        <v>321.495493531227</v>
      </c>
      <c r="M252">
        <v>317.35938262939402</v>
      </c>
      <c r="N252">
        <v>315.14462041854802</v>
      </c>
      <c r="O252">
        <f t="shared" si="9"/>
        <v>318.09442940354302</v>
      </c>
      <c r="P252">
        <f t="shared" si="10"/>
        <v>12.800000199999999</v>
      </c>
      <c r="Q252">
        <v>314.64822359999999</v>
      </c>
      <c r="R252">
        <v>303.75177600000001</v>
      </c>
      <c r="T252">
        <f t="shared" si="11"/>
        <v>0</v>
      </c>
    </row>
    <row r="253" spans="1:20" x14ac:dyDescent="0.3">
      <c r="A253" s="1">
        <v>43178</v>
      </c>
      <c r="B253" s="1">
        <v>43269</v>
      </c>
      <c r="C253">
        <v>320.03506670000002</v>
      </c>
      <c r="D253">
        <v>305.85000000000002</v>
      </c>
      <c r="E253">
        <v>319.85000000000002</v>
      </c>
      <c r="F253">
        <v>-14</v>
      </c>
      <c r="G253">
        <v>0.1850667</v>
      </c>
      <c r="H253">
        <v>-14</v>
      </c>
      <c r="I253">
        <v>3.4426154250000001</v>
      </c>
      <c r="J253">
        <v>318.09733436107598</v>
      </c>
      <c r="K253">
        <v>317.772843694686</v>
      </c>
      <c r="L253">
        <v>324.70044336318898</v>
      </c>
      <c r="M253">
        <v>321.131218886375</v>
      </c>
      <c r="N253">
        <v>316.977187490463</v>
      </c>
      <c r="O253">
        <f t="shared" si="9"/>
        <v>320.14542335867827</v>
      </c>
      <c r="P253">
        <f t="shared" si="10"/>
        <v>-14</v>
      </c>
      <c r="Q253">
        <v>311.53031549999997</v>
      </c>
      <c r="R253">
        <v>300.16968450000002</v>
      </c>
      <c r="T253">
        <f t="shared" si="11"/>
        <v>0</v>
      </c>
    </row>
    <row r="254" spans="1:20" x14ac:dyDescent="0.3">
      <c r="A254" s="1">
        <v>43179</v>
      </c>
      <c r="B254" s="1">
        <v>43270</v>
      </c>
      <c r="C254">
        <v>320.59617609999998</v>
      </c>
      <c r="D254">
        <v>301.34999920000001</v>
      </c>
      <c r="E254">
        <v>321.3</v>
      </c>
      <c r="F254">
        <v>19.950000760000002</v>
      </c>
      <c r="G254">
        <v>-0.70382392400000005</v>
      </c>
      <c r="H254">
        <v>-19.950000760000002</v>
      </c>
      <c r="I254">
        <v>3.7405120360000002</v>
      </c>
      <c r="J254">
        <v>316.77607898712102</v>
      </c>
      <c r="K254">
        <v>318.57454304695102</v>
      </c>
      <c r="L254">
        <v>324.10232334136901</v>
      </c>
      <c r="M254">
        <v>317.15759496688798</v>
      </c>
      <c r="N254">
        <v>317.417424964904</v>
      </c>
      <c r="O254">
        <f t="shared" si="9"/>
        <v>319.31297158002803</v>
      </c>
      <c r="P254">
        <f t="shared" si="10"/>
        <v>19.950000799999998</v>
      </c>
      <c r="Q254">
        <v>307.52184410000001</v>
      </c>
      <c r="R254">
        <v>295.17815439999998</v>
      </c>
      <c r="T254">
        <f t="shared" si="11"/>
        <v>0</v>
      </c>
    </row>
    <row r="255" spans="1:20" x14ac:dyDescent="0.3">
      <c r="A255" s="1">
        <v>43180</v>
      </c>
      <c r="B255" s="1">
        <v>43271</v>
      </c>
      <c r="C255">
        <v>319.5750266</v>
      </c>
      <c r="D255">
        <v>304.20000040000002</v>
      </c>
      <c r="E255">
        <v>321.60000000000002</v>
      </c>
      <c r="F255">
        <v>17.399999619999999</v>
      </c>
      <c r="G255">
        <v>-2.0249733920000001</v>
      </c>
      <c r="H255">
        <v>-17.399999619999999</v>
      </c>
      <c r="I255">
        <v>3.8529362549999999</v>
      </c>
      <c r="J255">
        <v>313.32919940948398</v>
      </c>
      <c r="K255">
        <v>318.15231881141602</v>
      </c>
      <c r="L255">
        <v>323.54152724742801</v>
      </c>
      <c r="M255">
        <v>318.42725000381398</v>
      </c>
      <c r="N255">
        <v>315.58986721038798</v>
      </c>
      <c r="O255">
        <f t="shared" si="9"/>
        <v>318.92774081826144</v>
      </c>
      <c r="P255">
        <f t="shared" si="10"/>
        <v>17.399999600000001</v>
      </c>
      <c r="Q255">
        <v>310.55734519999999</v>
      </c>
      <c r="R255">
        <v>297.8426556</v>
      </c>
      <c r="T255">
        <f t="shared" si="11"/>
        <v>0</v>
      </c>
    </row>
    <row r="256" spans="1:20" x14ac:dyDescent="0.3">
      <c r="A256" s="1">
        <v>43181</v>
      </c>
      <c r="B256" s="1">
        <v>43272</v>
      </c>
      <c r="C256">
        <v>324.10854540000003</v>
      </c>
      <c r="D256">
        <v>300.74999960000002</v>
      </c>
      <c r="E256">
        <v>322.10000000000002</v>
      </c>
      <c r="F256">
        <v>-21.350000380000001</v>
      </c>
      <c r="G256">
        <v>2.008545399</v>
      </c>
      <c r="H256">
        <v>-21.350000380000001</v>
      </c>
      <c r="I256">
        <v>4.0838499639999997</v>
      </c>
      <c r="J256">
        <v>312.89794216156002</v>
      </c>
      <c r="K256">
        <v>321.53210428953099</v>
      </c>
      <c r="L256">
        <v>325.818952417373</v>
      </c>
      <c r="M256">
        <v>320.016306972503</v>
      </c>
      <c r="N256">
        <v>317.24241361617999</v>
      </c>
      <c r="O256">
        <f t="shared" si="9"/>
        <v>321.15244432389676</v>
      </c>
      <c r="P256">
        <f t="shared" si="10"/>
        <v>21.350000399999999</v>
      </c>
      <c r="Q256">
        <v>307.48835209999999</v>
      </c>
      <c r="R256">
        <v>294.01164720000003</v>
      </c>
      <c r="T256">
        <f t="shared" si="11"/>
        <v>0</v>
      </c>
    </row>
    <row r="257" spans="1:20" x14ac:dyDescent="0.3">
      <c r="A257" s="1">
        <v>43182</v>
      </c>
      <c r="B257" s="1">
        <v>43273</v>
      </c>
      <c r="C257">
        <v>326.61244199999999</v>
      </c>
      <c r="D257">
        <v>303.6500001</v>
      </c>
      <c r="E257">
        <v>311.5</v>
      </c>
      <c r="F257">
        <v>-7.8499999049999998</v>
      </c>
      <c r="G257">
        <v>15.11244202</v>
      </c>
      <c r="H257">
        <v>-7.8499999049999998</v>
      </c>
      <c r="I257">
        <v>4.2709527339999998</v>
      </c>
      <c r="J257">
        <v>324.24791336059502</v>
      </c>
      <c r="K257">
        <v>325.959190368652</v>
      </c>
      <c r="L257">
        <v>328.695518493652</v>
      </c>
      <c r="M257">
        <v>326.00776958465502</v>
      </c>
      <c r="N257">
        <v>323.511742591857</v>
      </c>
      <c r="O257">
        <f t="shared" si="9"/>
        <v>326.04355525970402</v>
      </c>
      <c r="P257">
        <f t="shared" si="10"/>
        <v>-7.8499999000000003</v>
      </c>
      <c r="Q257">
        <v>310.69707210000001</v>
      </c>
      <c r="R257">
        <v>296.60292809999999</v>
      </c>
      <c r="T257">
        <f t="shared" si="11"/>
        <v>0</v>
      </c>
    </row>
    <row r="258" spans="1:20" x14ac:dyDescent="0.3">
      <c r="A258" s="1">
        <v>43185</v>
      </c>
      <c r="B258" s="1">
        <v>43276</v>
      </c>
      <c r="C258">
        <v>329.00330919999999</v>
      </c>
      <c r="D258">
        <v>303.25</v>
      </c>
      <c r="E258">
        <v>314.5</v>
      </c>
      <c r="F258">
        <v>-11.25</v>
      </c>
      <c r="G258">
        <v>14.503309249999999</v>
      </c>
      <c r="H258">
        <v>-11.25</v>
      </c>
      <c r="I258">
        <v>4.4690734819999998</v>
      </c>
      <c r="J258">
        <v>325.54833030700598</v>
      </c>
      <c r="K258">
        <v>326.28633022308298</v>
      </c>
      <c r="L258">
        <v>332.27528762817298</v>
      </c>
      <c r="M258">
        <v>320.97106075286803</v>
      </c>
      <c r="N258">
        <v>326.17054080963101</v>
      </c>
      <c r="O258">
        <f t="shared" si="9"/>
        <v>326.42580485343876</v>
      </c>
      <c r="P258">
        <f t="shared" si="10"/>
        <v>-11.25</v>
      </c>
      <c r="Q258">
        <v>310.62397120000003</v>
      </c>
      <c r="R258">
        <v>295.87602879999997</v>
      </c>
      <c r="T258">
        <f t="shared" si="11"/>
        <v>0</v>
      </c>
    </row>
    <row r="259" spans="1:20" x14ac:dyDescent="0.3">
      <c r="A259" s="1">
        <v>43186</v>
      </c>
      <c r="B259" s="1">
        <v>43277</v>
      </c>
      <c r="C259">
        <v>323.07705820000001</v>
      </c>
      <c r="D259">
        <v>302.39999999999998</v>
      </c>
      <c r="E259">
        <v>315.14999999999998</v>
      </c>
      <c r="F259">
        <v>-12.75</v>
      </c>
      <c r="G259">
        <v>7.9270582200000002</v>
      </c>
      <c r="H259">
        <v>-12.75</v>
      </c>
      <c r="I259">
        <v>4.6798890780000004</v>
      </c>
      <c r="J259">
        <v>318.42177190780598</v>
      </c>
      <c r="K259">
        <v>319.53614225387503</v>
      </c>
      <c r="L259">
        <v>323.01202192306499</v>
      </c>
      <c r="M259">
        <v>315.69067206382698</v>
      </c>
      <c r="N259">
        <v>318.35166540145798</v>
      </c>
      <c r="O259">
        <f t="shared" ref="O259:O276" si="12">AVERAGE(K259:N259)</f>
        <v>319.1476254105562</v>
      </c>
      <c r="P259">
        <f t="shared" ref="P259:P276" si="13">IF((O259-E259)*(D259-E259)&gt;0, ABS(D259-E259), -ABS(D259-E259))</f>
        <v>-12.75</v>
      </c>
      <c r="Q259">
        <v>310.12181700000002</v>
      </c>
      <c r="R259">
        <v>294.67818299999999</v>
      </c>
      <c r="T259">
        <f t="shared" ref="T259:T276" si="14">IF(AND(P259&gt;0, AND(O259&lt;Q259, O259&gt;R259)), 1, 0)</f>
        <v>0</v>
      </c>
    </row>
    <row r="260" spans="1:20" x14ac:dyDescent="0.3">
      <c r="A260" s="1">
        <v>43187</v>
      </c>
      <c r="B260" s="1">
        <v>43278</v>
      </c>
      <c r="C260">
        <v>323.36600629999998</v>
      </c>
      <c r="D260">
        <v>301.54999959999998</v>
      </c>
      <c r="E260">
        <v>310.64999999999998</v>
      </c>
      <c r="F260">
        <v>-9.1000003809999992</v>
      </c>
      <c r="G260">
        <v>12.71600628</v>
      </c>
      <c r="H260">
        <v>-9.1000003809999992</v>
      </c>
      <c r="I260">
        <v>4.898046731</v>
      </c>
      <c r="J260">
        <v>316.51084651947002</v>
      </c>
      <c r="K260">
        <v>319.25310268402097</v>
      </c>
      <c r="L260">
        <v>324.681294822692</v>
      </c>
      <c r="M260">
        <v>317.52793588638298</v>
      </c>
      <c r="N260">
        <v>317.39046230316097</v>
      </c>
      <c r="O260">
        <f t="shared" si="12"/>
        <v>319.71319892406422</v>
      </c>
      <c r="P260">
        <f t="shared" si="13"/>
        <v>-9.100000399999999</v>
      </c>
      <c r="Q260">
        <v>309.63177669999999</v>
      </c>
      <c r="R260">
        <v>293.46822250000002</v>
      </c>
      <c r="T260">
        <f t="shared" si="14"/>
        <v>0</v>
      </c>
    </row>
    <row r="261" spans="1:20" x14ac:dyDescent="0.3">
      <c r="A261" s="1">
        <v>43188</v>
      </c>
      <c r="B261" s="1">
        <v>43279</v>
      </c>
      <c r="C261">
        <v>322.4143497</v>
      </c>
      <c r="D261">
        <v>299.09999959999999</v>
      </c>
      <c r="E261">
        <v>314.45</v>
      </c>
      <c r="F261">
        <v>-15.350000380000001</v>
      </c>
      <c r="G261">
        <v>7.964349747</v>
      </c>
      <c r="H261">
        <v>-15.350000380000001</v>
      </c>
      <c r="I261">
        <v>5.20590537</v>
      </c>
      <c r="J261">
        <v>313.764618706703</v>
      </c>
      <c r="K261">
        <v>316.84321279525699</v>
      </c>
      <c r="L261">
        <v>322.44981594085601</v>
      </c>
      <c r="M261">
        <v>317.91505403518602</v>
      </c>
      <c r="N261">
        <v>316.20912559032399</v>
      </c>
      <c r="O261">
        <f t="shared" si="12"/>
        <v>318.35430209040578</v>
      </c>
      <c r="P261">
        <f t="shared" si="13"/>
        <v>-15.350000399999999</v>
      </c>
      <c r="Q261">
        <v>307.68974350000002</v>
      </c>
      <c r="R261">
        <v>290.51025579999998</v>
      </c>
      <c r="T261">
        <f t="shared" si="14"/>
        <v>0</v>
      </c>
    </row>
    <row r="262" spans="1:20" x14ac:dyDescent="0.3">
      <c r="A262" s="1">
        <v>43189</v>
      </c>
      <c r="B262" s="1">
        <v>43280</v>
      </c>
      <c r="C262">
        <v>319.28711299999998</v>
      </c>
      <c r="D262">
        <v>299.99999980000001</v>
      </c>
      <c r="E262">
        <v>314.55</v>
      </c>
      <c r="F262">
        <v>-14.55000019</v>
      </c>
      <c r="G262">
        <v>4.7371129989999998</v>
      </c>
      <c r="H262">
        <v>-14.55000019</v>
      </c>
      <c r="I262">
        <v>5.4514220529999999</v>
      </c>
      <c r="J262">
        <v>308.95251255035402</v>
      </c>
      <c r="K262">
        <v>309.41967754363998</v>
      </c>
      <c r="L262">
        <v>318.44006447791998</v>
      </c>
      <c r="M262">
        <v>313.748293030262</v>
      </c>
      <c r="N262">
        <v>313.310453104972</v>
      </c>
      <c r="O262">
        <f t="shared" si="12"/>
        <v>313.72962203919849</v>
      </c>
      <c r="P262">
        <f t="shared" si="13"/>
        <v>14.550000199999999</v>
      </c>
      <c r="Q262">
        <v>308.99484619999998</v>
      </c>
      <c r="R262">
        <v>291.00515339999998</v>
      </c>
      <c r="T262">
        <f t="shared" si="14"/>
        <v>0</v>
      </c>
    </row>
    <row r="263" spans="1:20" x14ac:dyDescent="0.3">
      <c r="A263" s="1">
        <v>43192</v>
      </c>
      <c r="B263" s="1">
        <v>43283</v>
      </c>
      <c r="C263">
        <v>304.16414950000001</v>
      </c>
      <c r="D263">
        <v>292.90000079999999</v>
      </c>
      <c r="E263">
        <v>313.45</v>
      </c>
      <c r="F263">
        <v>20.549999239999998</v>
      </c>
      <c r="G263">
        <v>-9.2858505250000007</v>
      </c>
      <c r="H263">
        <v>-20.549999239999998</v>
      </c>
      <c r="I263">
        <v>5.9894175509999998</v>
      </c>
      <c r="J263">
        <v>304.79464836120599</v>
      </c>
      <c r="K263">
        <v>303.13093299865699</v>
      </c>
      <c r="L263">
        <v>305.89390964507999</v>
      </c>
      <c r="M263">
        <v>307.82349796295102</v>
      </c>
      <c r="N263">
        <v>303.57554454803397</v>
      </c>
      <c r="O263">
        <f t="shared" si="12"/>
        <v>305.10597128868051</v>
      </c>
      <c r="P263">
        <f t="shared" si="13"/>
        <v>20.549999200000002</v>
      </c>
      <c r="Q263">
        <v>302.78253969999997</v>
      </c>
      <c r="R263">
        <v>283.01746179999998</v>
      </c>
      <c r="T263">
        <f t="shared" si="14"/>
        <v>0</v>
      </c>
    </row>
    <row r="264" spans="1:20" x14ac:dyDescent="0.3">
      <c r="A264" s="1">
        <v>43193</v>
      </c>
      <c r="B264" s="1">
        <v>43284</v>
      </c>
      <c r="C264">
        <v>305.94558460000002</v>
      </c>
      <c r="D264">
        <v>293.75000080000001</v>
      </c>
      <c r="E264">
        <v>312.8</v>
      </c>
      <c r="F264">
        <v>19.049999239999998</v>
      </c>
      <c r="G264">
        <v>-6.8544154170000002</v>
      </c>
      <c r="H264">
        <v>-19.049999239999998</v>
      </c>
      <c r="I264">
        <v>6.429470534</v>
      </c>
      <c r="J264">
        <v>306.55228404998701</v>
      </c>
      <c r="K264">
        <v>307.701122570037</v>
      </c>
      <c r="L264">
        <v>305.19319229125898</v>
      </c>
      <c r="M264">
        <v>305.340614604949</v>
      </c>
      <c r="N264">
        <v>305.91890125274602</v>
      </c>
      <c r="O264">
        <f t="shared" si="12"/>
        <v>306.03845767974775</v>
      </c>
      <c r="P264">
        <f t="shared" si="13"/>
        <v>19.049999200000002</v>
      </c>
      <c r="Q264">
        <v>304.35862709999998</v>
      </c>
      <c r="R264">
        <v>283.14137440000002</v>
      </c>
      <c r="T264">
        <f t="shared" si="14"/>
        <v>0</v>
      </c>
    </row>
    <row r="265" spans="1:20" x14ac:dyDescent="0.3">
      <c r="A265" s="1">
        <v>43194</v>
      </c>
      <c r="B265" s="1">
        <v>43285</v>
      </c>
      <c r="C265">
        <v>307.00463919999999</v>
      </c>
      <c r="D265">
        <v>292.55</v>
      </c>
      <c r="E265">
        <v>307.55</v>
      </c>
      <c r="F265">
        <v>15</v>
      </c>
      <c r="G265">
        <v>-0.54536080399999998</v>
      </c>
      <c r="H265">
        <v>-15</v>
      </c>
      <c r="I265">
        <v>6.8578537940000004</v>
      </c>
      <c r="J265">
        <v>302.64062862396202</v>
      </c>
      <c r="K265">
        <v>306.53597908019998</v>
      </c>
      <c r="L265">
        <v>303.43725900650003</v>
      </c>
      <c r="M265">
        <v>304.888023424148</v>
      </c>
      <c r="N265">
        <v>302.51015071868898</v>
      </c>
      <c r="O265">
        <f t="shared" si="12"/>
        <v>304.34285305738422</v>
      </c>
      <c r="P265">
        <f t="shared" si="13"/>
        <v>15</v>
      </c>
      <c r="Q265">
        <v>303.8654588</v>
      </c>
      <c r="R265">
        <v>281.23454120000002</v>
      </c>
      <c r="T265">
        <f t="shared" si="14"/>
        <v>0</v>
      </c>
    </row>
    <row r="266" spans="1:20" x14ac:dyDescent="0.3">
      <c r="A266" s="1">
        <v>43195</v>
      </c>
      <c r="B266" s="1">
        <v>43286</v>
      </c>
      <c r="C266">
        <v>306.23026909999999</v>
      </c>
      <c r="D266">
        <v>291.99999919999999</v>
      </c>
      <c r="E266">
        <v>312.95</v>
      </c>
      <c r="F266">
        <v>20.950000760000002</v>
      </c>
      <c r="G266">
        <v>-6.7197308539999998</v>
      </c>
      <c r="H266">
        <v>-20.950000760000002</v>
      </c>
      <c r="I266">
        <v>7.2946155389999996</v>
      </c>
      <c r="J266">
        <v>301.76500816345202</v>
      </c>
      <c r="K266">
        <v>306.71514911651599</v>
      </c>
      <c r="L266">
        <v>304.839897346496</v>
      </c>
      <c r="M266">
        <v>306.69760532379098</v>
      </c>
      <c r="N266">
        <v>301.72075862884498</v>
      </c>
      <c r="O266">
        <f t="shared" si="12"/>
        <v>304.993352603912</v>
      </c>
      <c r="P266">
        <f t="shared" si="13"/>
        <v>20.950000799999998</v>
      </c>
      <c r="Q266">
        <v>304.03611489999997</v>
      </c>
      <c r="R266">
        <v>279.96388359999997</v>
      </c>
      <c r="T266">
        <f t="shared" si="14"/>
        <v>0</v>
      </c>
    </row>
    <row r="267" spans="1:20" x14ac:dyDescent="0.3">
      <c r="A267" s="1">
        <v>43196</v>
      </c>
      <c r="B267" s="1">
        <v>43287</v>
      </c>
      <c r="C267">
        <v>310.28860930000002</v>
      </c>
      <c r="D267">
        <v>293.59999959999999</v>
      </c>
      <c r="E267">
        <v>311.2</v>
      </c>
      <c r="F267">
        <v>17.600000380000001</v>
      </c>
      <c r="G267">
        <v>-0.91139072200000004</v>
      </c>
      <c r="H267">
        <v>-17.600000380000001</v>
      </c>
      <c r="I267">
        <v>7.6342920999999997</v>
      </c>
      <c r="J267">
        <v>306.143138599395</v>
      </c>
      <c r="K267">
        <v>308.050535631179</v>
      </c>
      <c r="L267">
        <v>307.79526872634801</v>
      </c>
      <c r="M267">
        <v>304.60237855911203</v>
      </c>
      <c r="N267">
        <v>301.91060371398902</v>
      </c>
      <c r="O267">
        <f t="shared" si="12"/>
        <v>305.58969665765699</v>
      </c>
      <c r="P267">
        <f t="shared" si="13"/>
        <v>17.600000399999999</v>
      </c>
      <c r="Q267">
        <v>306.1965816</v>
      </c>
      <c r="R267">
        <v>281.0034177</v>
      </c>
      <c r="T267">
        <f t="shared" si="14"/>
        <v>1</v>
      </c>
    </row>
    <row r="268" spans="1:20" x14ac:dyDescent="0.3">
      <c r="A268" s="1">
        <v>43199</v>
      </c>
      <c r="B268" s="1">
        <v>43290</v>
      </c>
      <c r="C268">
        <v>310.1053526</v>
      </c>
      <c r="D268">
        <v>296.24999919999999</v>
      </c>
      <c r="E268">
        <v>312.95</v>
      </c>
      <c r="F268">
        <v>16.700000760000002</v>
      </c>
      <c r="G268">
        <v>-2.8446474080000002</v>
      </c>
      <c r="H268">
        <v>-16.700000760000002</v>
      </c>
      <c r="I268">
        <v>7.8618244480000001</v>
      </c>
      <c r="J268">
        <v>308.26638193130401</v>
      </c>
      <c r="K268">
        <v>309.94821019172599</v>
      </c>
      <c r="L268">
        <v>309.52529139518703</v>
      </c>
      <c r="M268">
        <v>306.17847700119</v>
      </c>
      <c r="N268">
        <v>307.40109701156598</v>
      </c>
      <c r="O268">
        <f t="shared" si="12"/>
        <v>308.26326889991725</v>
      </c>
      <c r="P268">
        <f t="shared" si="13"/>
        <v>16.700000799999998</v>
      </c>
      <c r="Q268">
        <v>309.22200959999998</v>
      </c>
      <c r="R268">
        <v>283.27798890000003</v>
      </c>
      <c r="T268">
        <f t="shared" si="14"/>
        <v>1</v>
      </c>
    </row>
    <row r="269" spans="1:20" x14ac:dyDescent="0.3">
      <c r="A269" s="1">
        <v>43200</v>
      </c>
      <c r="B269" s="1">
        <v>43291</v>
      </c>
      <c r="C269">
        <v>310.9721839</v>
      </c>
      <c r="D269">
        <v>296.95</v>
      </c>
      <c r="E269">
        <v>313.45</v>
      </c>
      <c r="F269">
        <v>16.5</v>
      </c>
      <c r="G269">
        <v>-2.477816105</v>
      </c>
      <c r="H269">
        <v>-16.5</v>
      </c>
      <c r="I269">
        <v>8.0530036500000008</v>
      </c>
      <c r="J269">
        <v>304.81676406860299</v>
      </c>
      <c r="K269">
        <v>308.83224840164098</v>
      </c>
      <c r="L269">
        <v>309.44643421172998</v>
      </c>
      <c r="M269">
        <v>306.55896587371802</v>
      </c>
      <c r="N269">
        <v>309.14524860381999</v>
      </c>
      <c r="O269">
        <f t="shared" si="12"/>
        <v>308.49572427272722</v>
      </c>
      <c r="P269">
        <f t="shared" si="13"/>
        <v>16.5</v>
      </c>
      <c r="Q269">
        <v>310.23745600000001</v>
      </c>
      <c r="R269">
        <v>283.66254400000003</v>
      </c>
      <c r="T269">
        <f t="shared" si="14"/>
        <v>1</v>
      </c>
    </row>
    <row r="270" spans="1:20" x14ac:dyDescent="0.3">
      <c r="A270" s="1">
        <v>43201</v>
      </c>
      <c r="B270" s="1">
        <v>43292</v>
      </c>
      <c r="C270">
        <v>311.23545109999998</v>
      </c>
      <c r="D270">
        <v>295.30000039999999</v>
      </c>
      <c r="E270">
        <v>312.45</v>
      </c>
      <c r="F270">
        <v>17.149999619999999</v>
      </c>
      <c r="G270">
        <v>-1.214548945</v>
      </c>
      <c r="H270">
        <v>-17.149999619999999</v>
      </c>
      <c r="I270">
        <v>8.2815882009999999</v>
      </c>
      <c r="J270">
        <v>307.21450252532901</v>
      </c>
      <c r="K270">
        <v>312.94923169612798</v>
      </c>
      <c r="L270">
        <v>311.01721997261001</v>
      </c>
      <c r="M270">
        <v>307.78065605163499</v>
      </c>
      <c r="N270">
        <v>309.32080502510001</v>
      </c>
      <c r="O270">
        <f t="shared" si="12"/>
        <v>310.26697818636825</v>
      </c>
      <c r="P270">
        <f t="shared" si="13"/>
        <v>17.149999600000001</v>
      </c>
      <c r="Q270">
        <v>308.9646209</v>
      </c>
      <c r="R270">
        <v>281.63537980000001</v>
      </c>
      <c r="T270">
        <f t="shared" si="14"/>
        <v>0</v>
      </c>
    </row>
    <row r="271" spans="1:20" x14ac:dyDescent="0.3">
      <c r="A271" s="1">
        <v>43202</v>
      </c>
      <c r="B271" s="1">
        <v>43293</v>
      </c>
      <c r="C271">
        <v>306.76230049999998</v>
      </c>
      <c r="D271">
        <v>296</v>
      </c>
      <c r="E271">
        <v>311.75</v>
      </c>
      <c r="F271">
        <v>15.75</v>
      </c>
      <c r="G271">
        <v>-4.9876995089999996</v>
      </c>
      <c r="H271">
        <v>-15.75</v>
      </c>
      <c r="I271">
        <v>8.4787483909999999</v>
      </c>
      <c r="J271">
        <v>301.25407409667901</v>
      </c>
      <c r="K271">
        <v>307.74033689498901</v>
      </c>
      <c r="L271">
        <v>307.23728132247902</v>
      </c>
      <c r="M271">
        <v>307.19117021560601</v>
      </c>
      <c r="N271">
        <v>308.64500665664599</v>
      </c>
      <c r="O271">
        <f t="shared" si="12"/>
        <v>307.70344877243002</v>
      </c>
      <c r="P271">
        <f t="shared" si="13"/>
        <v>15.75</v>
      </c>
      <c r="Q271">
        <v>309.98993480000001</v>
      </c>
      <c r="R271">
        <v>282.01006519999999</v>
      </c>
      <c r="T271">
        <f t="shared" si="14"/>
        <v>1</v>
      </c>
    </row>
    <row r="272" spans="1:20" x14ac:dyDescent="0.3">
      <c r="A272" s="1">
        <v>43203</v>
      </c>
      <c r="B272" s="1">
        <v>43294</v>
      </c>
      <c r="C272">
        <v>312.60520330000003</v>
      </c>
      <c r="D272">
        <v>299.09999959999999</v>
      </c>
      <c r="E272">
        <v>314.45</v>
      </c>
      <c r="F272">
        <v>15.350000380000001</v>
      </c>
      <c r="G272">
        <v>-1.8447966579999999</v>
      </c>
      <c r="H272">
        <v>-15.350000380000001</v>
      </c>
      <c r="I272">
        <v>8.5792699339999992</v>
      </c>
      <c r="J272">
        <v>308.72408456802299</v>
      </c>
      <c r="K272">
        <v>309.80277605056699</v>
      </c>
      <c r="L272">
        <v>312.56312437057397</v>
      </c>
      <c r="M272">
        <v>311.16116089820798</v>
      </c>
      <c r="N272">
        <v>310.49655408859201</v>
      </c>
      <c r="O272">
        <f t="shared" si="12"/>
        <v>311.00590385198524</v>
      </c>
      <c r="P272">
        <f t="shared" si="13"/>
        <v>15.350000399999999</v>
      </c>
      <c r="Q272">
        <v>313.25579499999998</v>
      </c>
      <c r="R272">
        <v>284.9442042</v>
      </c>
      <c r="T272">
        <f t="shared" si="14"/>
        <v>1</v>
      </c>
    </row>
    <row r="273" spans="1:20" x14ac:dyDescent="0.3">
      <c r="A273" s="1">
        <v>43206</v>
      </c>
      <c r="B273" s="1">
        <v>43297</v>
      </c>
      <c r="C273">
        <v>303.52672460000002</v>
      </c>
      <c r="D273">
        <v>298.19999960000001</v>
      </c>
      <c r="E273">
        <v>314.3</v>
      </c>
      <c r="F273">
        <v>16.100000380000001</v>
      </c>
      <c r="G273">
        <v>-10.773275379999999</v>
      </c>
      <c r="H273">
        <v>-16.100000380000001</v>
      </c>
      <c r="I273">
        <v>8.6916496730000006</v>
      </c>
      <c r="J273">
        <v>302.725120353698</v>
      </c>
      <c r="K273">
        <v>304.42069129943798</v>
      </c>
      <c r="L273">
        <v>305.84372406005798</v>
      </c>
      <c r="M273">
        <v>308.677935409545</v>
      </c>
      <c r="N273">
        <v>309.060548114776</v>
      </c>
      <c r="O273">
        <f t="shared" si="12"/>
        <v>307.00072472095428</v>
      </c>
      <c r="P273">
        <f t="shared" si="13"/>
        <v>16.100000399999999</v>
      </c>
      <c r="Q273">
        <v>312.54122159999997</v>
      </c>
      <c r="R273">
        <v>283.85877770000002</v>
      </c>
      <c r="T273">
        <f t="shared" si="14"/>
        <v>1</v>
      </c>
    </row>
    <row r="274" spans="1:20" x14ac:dyDescent="0.3">
      <c r="A274" s="1">
        <v>43207</v>
      </c>
      <c r="B274" s="1">
        <v>43298</v>
      </c>
      <c r="C274">
        <v>305.18777119999999</v>
      </c>
      <c r="D274">
        <v>297.35000079999998</v>
      </c>
      <c r="E274">
        <v>314.39999999999998</v>
      </c>
      <c r="F274">
        <v>17.049999239999998</v>
      </c>
      <c r="G274">
        <v>-9.2122287749999998</v>
      </c>
      <c r="H274">
        <v>-17.049999239999998</v>
      </c>
      <c r="I274">
        <v>8.8127259250000005</v>
      </c>
      <c r="J274">
        <v>305.54620780944799</v>
      </c>
      <c r="K274">
        <v>307.922324085235</v>
      </c>
      <c r="L274">
        <v>308.40871801376301</v>
      </c>
      <c r="M274">
        <v>309.03904714584303</v>
      </c>
      <c r="N274">
        <v>313.04654803275997</v>
      </c>
      <c r="O274">
        <f t="shared" si="12"/>
        <v>309.60415931940025</v>
      </c>
      <c r="P274">
        <f t="shared" si="13"/>
        <v>17.049999200000002</v>
      </c>
      <c r="Q274">
        <v>311.89099850000002</v>
      </c>
      <c r="R274">
        <v>282.80900300000002</v>
      </c>
      <c r="T274">
        <f t="shared" si="14"/>
        <v>1</v>
      </c>
    </row>
    <row r="275" spans="1:20" x14ac:dyDescent="0.3">
      <c r="A275" s="1">
        <v>43208</v>
      </c>
      <c r="B275" s="1">
        <v>43299</v>
      </c>
      <c r="C275">
        <v>307.0343929</v>
      </c>
      <c r="D275">
        <v>297.05000080000002</v>
      </c>
      <c r="E275">
        <v>317.60000000000002</v>
      </c>
      <c r="F275">
        <v>20.549999239999998</v>
      </c>
      <c r="G275">
        <v>-10.56560707</v>
      </c>
      <c r="H275">
        <v>-20.549999239999998</v>
      </c>
      <c r="I275">
        <v>8.8939108519999994</v>
      </c>
      <c r="J275">
        <v>302.39122161865203</v>
      </c>
      <c r="K275">
        <v>304.543259239196</v>
      </c>
      <c r="L275">
        <v>307.60024223327599</v>
      </c>
      <c r="M275">
        <v>309.52233371734599</v>
      </c>
      <c r="N275">
        <v>307.76238975524899</v>
      </c>
      <c r="O275">
        <f t="shared" si="12"/>
        <v>307.35705623626677</v>
      </c>
      <c r="P275">
        <f t="shared" si="13"/>
        <v>20.549999200000002</v>
      </c>
      <c r="Q275">
        <v>311.72495370000001</v>
      </c>
      <c r="R275">
        <v>282.37504790000003</v>
      </c>
      <c r="T275">
        <f t="shared" si="14"/>
        <v>1</v>
      </c>
    </row>
    <row r="276" spans="1:20" x14ac:dyDescent="0.3">
      <c r="A276" s="1">
        <v>43209</v>
      </c>
      <c r="B276" s="1">
        <v>43300</v>
      </c>
      <c r="C276">
        <v>303.99986460000002</v>
      </c>
      <c r="D276">
        <v>296.0499992</v>
      </c>
      <c r="E276">
        <v>319</v>
      </c>
      <c r="F276">
        <v>22.950000760000002</v>
      </c>
      <c r="G276">
        <v>-15.000135419999999</v>
      </c>
      <c r="H276">
        <v>-22.950000760000002</v>
      </c>
      <c r="I276">
        <v>8.9623449720000004</v>
      </c>
      <c r="J276">
        <v>301.44144248962402</v>
      </c>
      <c r="K276">
        <v>303.271330833435</v>
      </c>
      <c r="L276">
        <v>307.11762046813902</v>
      </c>
      <c r="M276">
        <v>308.11404609680102</v>
      </c>
      <c r="N276">
        <v>303.976755142211</v>
      </c>
      <c r="O276">
        <f t="shared" si="12"/>
        <v>305.61993813514653</v>
      </c>
      <c r="P276">
        <f t="shared" si="13"/>
        <v>22.950000799999998</v>
      </c>
      <c r="Q276">
        <v>310.83786839999999</v>
      </c>
      <c r="R276">
        <v>281.26213000000001</v>
      </c>
      <c r="T276">
        <f t="shared" si="14"/>
        <v>1</v>
      </c>
    </row>
    <row r="277" spans="1:20" x14ac:dyDescent="0.3">
      <c r="A277" t="s">
        <v>12</v>
      </c>
      <c r="B277" t="s">
        <v>13</v>
      </c>
      <c r="P277">
        <f>COUNTIF(P2:P276, "&gt;0")/275</f>
        <v>0.70545454545454545</v>
      </c>
      <c r="T277">
        <f>SUM(T2:T276)/275</f>
        <v>0.49818181818181817</v>
      </c>
    </row>
    <row r="278" spans="1:20" x14ac:dyDescent="0.3">
      <c r="A278">
        <v>0.78909090900000001</v>
      </c>
      <c r="B278">
        <v>12.379982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vdiff_65_65_10_20_0.001_500_20_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2018-09-02T11:56:13Z</dcterms:created>
  <dcterms:modified xsi:type="dcterms:W3CDTF">2018-09-02T11:56:13Z</dcterms:modified>
</cp:coreProperties>
</file>