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DeepMoney\results_vdiff_l2_reg\"/>
    </mc:Choice>
  </mc:AlternateContent>
  <bookViews>
    <workbookView xWindow="0" yWindow="0" windowWidth="28800" windowHeight="12390"/>
  </bookViews>
  <sheets>
    <sheet name="vdiff_l2_reg_65_1_100_0.001_200" sheetId="1" r:id="rId1"/>
  </sheets>
  <calcPr calcId="0"/>
</workbook>
</file>

<file path=xl/calcChain.xml><?xml version="1.0" encoding="utf-8"?>
<calcChain xmlns="http://schemas.openxmlformats.org/spreadsheetml/2006/main">
  <c r="U268" i="1" l="1"/>
  <c r="T268" i="1"/>
  <c r="S268" i="1"/>
  <c r="S36" i="1"/>
  <c r="T36" i="1"/>
  <c r="U36" i="1"/>
  <c r="S37" i="1"/>
  <c r="T37" i="1"/>
  <c r="U37" i="1"/>
  <c r="S38" i="1"/>
  <c r="T38" i="1"/>
  <c r="U38" i="1"/>
  <c r="S39" i="1"/>
  <c r="T39" i="1"/>
  <c r="U39" i="1"/>
  <c r="S40" i="1"/>
  <c r="T40" i="1"/>
  <c r="U40" i="1"/>
  <c r="S41" i="1"/>
  <c r="T41" i="1"/>
  <c r="U41" i="1"/>
  <c r="S42" i="1"/>
  <c r="T42" i="1"/>
  <c r="U42" i="1"/>
  <c r="S43" i="1"/>
  <c r="T43" i="1"/>
  <c r="U43" i="1"/>
  <c r="S44" i="1"/>
  <c r="T44" i="1"/>
  <c r="U44" i="1"/>
  <c r="S45" i="1"/>
  <c r="T45" i="1"/>
  <c r="U45" i="1"/>
  <c r="S46" i="1"/>
  <c r="T46" i="1"/>
  <c r="U46" i="1"/>
  <c r="S47" i="1"/>
  <c r="T47" i="1"/>
  <c r="U47" i="1"/>
  <c r="S48" i="1"/>
  <c r="T48" i="1"/>
  <c r="U48" i="1"/>
  <c r="S49" i="1"/>
  <c r="T49" i="1"/>
  <c r="U49" i="1"/>
  <c r="S50" i="1"/>
  <c r="T50" i="1"/>
  <c r="U50" i="1"/>
  <c r="S51" i="1"/>
  <c r="T51" i="1"/>
  <c r="U51" i="1"/>
  <c r="S52" i="1"/>
  <c r="T52" i="1"/>
  <c r="U52" i="1"/>
  <c r="S53" i="1"/>
  <c r="T53" i="1"/>
  <c r="U53" i="1"/>
  <c r="S54" i="1"/>
  <c r="T54" i="1"/>
  <c r="U54" i="1"/>
  <c r="S55" i="1"/>
  <c r="T55" i="1"/>
  <c r="U55" i="1"/>
  <c r="S56" i="1"/>
  <c r="T56" i="1"/>
  <c r="U56" i="1"/>
  <c r="S57" i="1"/>
  <c r="T57" i="1"/>
  <c r="U57" i="1"/>
  <c r="S58" i="1"/>
  <c r="T58" i="1"/>
  <c r="U58" i="1"/>
  <c r="S59" i="1"/>
  <c r="T59" i="1"/>
  <c r="U59" i="1"/>
  <c r="S60" i="1"/>
  <c r="T60" i="1"/>
  <c r="U60" i="1"/>
  <c r="S61" i="1"/>
  <c r="T61" i="1"/>
  <c r="U61" i="1"/>
  <c r="S62" i="1"/>
  <c r="T62" i="1"/>
  <c r="U62" i="1"/>
  <c r="S63" i="1"/>
  <c r="T63" i="1"/>
  <c r="U63" i="1"/>
  <c r="S64" i="1"/>
  <c r="T64" i="1"/>
  <c r="U64" i="1"/>
  <c r="S65" i="1"/>
  <c r="T65" i="1"/>
  <c r="U65" i="1"/>
  <c r="S66" i="1"/>
  <c r="T66" i="1"/>
  <c r="U66" i="1"/>
  <c r="S67" i="1"/>
  <c r="T67" i="1"/>
  <c r="U67" i="1"/>
  <c r="S68" i="1"/>
  <c r="T68" i="1"/>
  <c r="U68" i="1"/>
  <c r="S69" i="1"/>
  <c r="T69" i="1"/>
  <c r="U69" i="1"/>
  <c r="S70" i="1"/>
  <c r="T70" i="1"/>
  <c r="U70" i="1"/>
  <c r="S71" i="1"/>
  <c r="T71" i="1"/>
  <c r="U71" i="1"/>
  <c r="S72" i="1"/>
  <c r="T72" i="1"/>
  <c r="U72" i="1"/>
  <c r="S73" i="1"/>
  <c r="T73" i="1"/>
  <c r="U73" i="1"/>
  <c r="S74" i="1"/>
  <c r="T74" i="1"/>
  <c r="U74" i="1"/>
  <c r="S75" i="1"/>
  <c r="T75" i="1"/>
  <c r="U75" i="1"/>
  <c r="S76" i="1"/>
  <c r="T76" i="1"/>
  <c r="U76" i="1"/>
  <c r="S77" i="1"/>
  <c r="T77" i="1"/>
  <c r="U77" i="1"/>
  <c r="S78" i="1"/>
  <c r="T78" i="1"/>
  <c r="U78" i="1"/>
  <c r="S79" i="1"/>
  <c r="T79" i="1"/>
  <c r="U79" i="1"/>
  <c r="S80" i="1"/>
  <c r="T80" i="1"/>
  <c r="U80" i="1"/>
  <c r="S81" i="1"/>
  <c r="T81" i="1"/>
  <c r="U81" i="1"/>
  <c r="S82" i="1"/>
  <c r="T82" i="1"/>
  <c r="U82" i="1"/>
  <c r="S83" i="1"/>
  <c r="T83" i="1"/>
  <c r="U83" i="1"/>
  <c r="S84" i="1"/>
  <c r="T84" i="1"/>
  <c r="U84" i="1"/>
  <c r="S85" i="1"/>
  <c r="T85" i="1"/>
  <c r="U85" i="1"/>
  <c r="S86" i="1"/>
  <c r="T86" i="1"/>
  <c r="U86" i="1"/>
  <c r="S87" i="1"/>
  <c r="T87" i="1"/>
  <c r="U87" i="1"/>
  <c r="S88" i="1"/>
  <c r="T88" i="1"/>
  <c r="U88" i="1"/>
  <c r="S89" i="1"/>
  <c r="T89" i="1"/>
  <c r="U89" i="1"/>
  <c r="S90" i="1"/>
  <c r="T90" i="1"/>
  <c r="U90" i="1"/>
  <c r="S91" i="1"/>
  <c r="T91" i="1"/>
  <c r="U91" i="1"/>
  <c r="S92" i="1"/>
  <c r="T92" i="1"/>
  <c r="U92" i="1"/>
  <c r="S93" i="1"/>
  <c r="T93" i="1"/>
  <c r="U93" i="1"/>
  <c r="S94" i="1"/>
  <c r="T94" i="1"/>
  <c r="U94" i="1"/>
  <c r="S95" i="1"/>
  <c r="T95" i="1"/>
  <c r="U95" i="1"/>
  <c r="S96" i="1"/>
  <c r="T96" i="1"/>
  <c r="U96" i="1"/>
  <c r="S97" i="1"/>
  <c r="T97" i="1"/>
  <c r="U97" i="1"/>
  <c r="S98" i="1"/>
  <c r="T98" i="1"/>
  <c r="U98" i="1"/>
  <c r="S99" i="1"/>
  <c r="T99" i="1"/>
  <c r="U99" i="1"/>
  <c r="S100" i="1"/>
  <c r="T100" i="1"/>
  <c r="U100" i="1"/>
  <c r="S101" i="1"/>
  <c r="T101" i="1"/>
  <c r="U101" i="1"/>
  <c r="S102" i="1"/>
  <c r="T102" i="1"/>
  <c r="U102" i="1"/>
  <c r="S103" i="1"/>
  <c r="T103" i="1"/>
  <c r="U103" i="1"/>
  <c r="S104" i="1"/>
  <c r="T104" i="1"/>
  <c r="U104" i="1"/>
  <c r="S105" i="1"/>
  <c r="T105" i="1"/>
  <c r="U105" i="1"/>
  <c r="S106" i="1"/>
  <c r="T106" i="1"/>
  <c r="U106" i="1"/>
  <c r="S107" i="1"/>
  <c r="T107" i="1"/>
  <c r="U107" i="1"/>
  <c r="S108" i="1"/>
  <c r="T108" i="1"/>
  <c r="U108" i="1"/>
  <c r="S109" i="1"/>
  <c r="T109" i="1"/>
  <c r="U109" i="1"/>
  <c r="S110" i="1"/>
  <c r="T110" i="1"/>
  <c r="U110" i="1"/>
  <c r="S111" i="1"/>
  <c r="T111" i="1"/>
  <c r="U111" i="1"/>
  <c r="S112" i="1"/>
  <c r="T112" i="1"/>
  <c r="U112" i="1"/>
  <c r="S113" i="1"/>
  <c r="T113" i="1"/>
  <c r="U113" i="1"/>
  <c r="S114" i="1"/>
  <c r="T114" i="1"/>
  <c r="U114" i="1"/>
  <c r="S115" i="1"/>
  <c r="T115" i="1"/>
  <c r="U115" i="1"/>
  <c r="S116" i="1"/>
  <c r="T116" i="1"/>
  <c r="U116" i="1"/>
  <c r="S117" i="1"/>
  <c r="T117" i="1"/>
  <c r="U117" i="1"/>
  <c r="S118" i="1"/>
  <c r="T118" i="1"/>
  <c r="U118" i="1"/>
  <c r="S119" i="1"/>
  <c r="T119" i="1"/>
  <c r="U119" i="1"/>
  <c r="S120" i="1"/>
  <c r="T120" i="1"/>
  <c r="U120" i="1"/>
  <c r="S121" i="1"/>
  <c r="T121" i="1"/>
  <c r="U121" i="1"/>
  <c r="S122" i="1"/>
  <c r="T122" i="1"/>
  <c r="U122" i="1"/>
  <c r="S123" i="1"/>
  <c r="T123" i="1"/>
  <c r="U123" i="1"/>
  <c r="S124" i="1"/>
  <c r="T124" i="1"/>
  <c r="U124" i="1"/>
  <c r="S125" i="1"/>
  <c r="T125" i="1"/>
  <c r="U125" i="1"/>
  <c r="S126" i="1"/>
  <c r="T126" i="1"/>
  <c r="U126" i="1"/>
  <c r="S127" i="1"/>
  <c r="T127" i="1"/>
  <c r="U127" i="1"/>
  <c r="S128" i="1"/>
  <c r="T128" i="1"/>
  <c r="U128" i="1"/>
  <c r="S129" i="1"/>
  <c r="T129" i="1"/>
  <c r="U129" i="1"/>
  <c r="S130" i="1"/>
  <c r="T130" i="1"/>
  <c r="U130" i="1"/>
  <c r="S131" i="1"/>
  <c r="T131" i="1"/>
  <c r="U131" i="1"/>
  <c r="S132" i="1"/>
  <c r="T132" i="1"/>
  <c r="U132" i="1"/>
  <c r="S133" i="1"/>
  <c r="T133" i="1"/>
  <c r="U133" i="1"/>
  <c r="S134" i="1"/>
  <c r="T134" i="1"/>
  <c r="U134" i="1"/>
  <c r="S135" i="1"/>
  <c r="T135" i="1"/>
  <c r="U135" i="1"/>
  <c r="S136" i="1"/>
  <c r="T136" i="1"/>
  <c r="U136" i="1"/>
  <c r="S137" i="1"/>
  <c r="T137" i="1"/>
  <c r="U137" i="1"/>
  <c r="S138" i="1"/>
  <c r="T138" i="1"/>
  <c r="U138" i="1"/>
  <c r="S139" i="1"/>
  <c r="T139" i="1"/>
  <c r="U139" i="1"/>
  <c r="S140" i="1"/>
  <c r="T140" i="1"/>
  <c r="U140" i="1"/>
  <c r="S141" i="1"/>
  <c r="T141" i="1"/>
  <c r="U141" i="1"/>
  <c r="S142" i="1"/>
  <c r="T142" i="1"/>
  <c r="U142" i="1"/>
  <c r="S143" i="1"/>
  <c r="T143" i="1"/>
  <c r="U143" i="1"/>
  <c r="S144" i="1"/>
  <c r="T144" i="1"/>
  <c r="U144" i="1"/>
  <c r="S145" i="1"/>
  <c r="T145" i="1"/>
  <c r="U145" i="1"/>
  <c r="S146" i="1"/>
  <c r="T146" i="1"/>
  <c r="U146" i="1"/>
  <c r="S147" i="1"/>
  <c r="T147" i="1"/>
  <c r="U147" i="1"/>
  <c r="S148" i="1"/>
  <c r="T148" i="1"/>
  <c r="U148" i="1"/>
  <c r="S149" i="1"/>
  <c r="T149" i="1"/>
  <c r="U149" i="1"/>
  <c r="S150" i="1"/>
  <c r="T150" i="1"/>
  <c r="U150" i="1"/>
  <c r="S151" i="1"/>
  <c r="T151" i="1"/>
  <c r="U151" i="1"/>
  <c r="S152" i="1"/>
  <c r="T152" i="1"/>
  <c r="U152" i="1"/>
  <c r="S153" i="1"/>
  <c r="T153" i="1"/>
  <c r="U153" i="1"/>
  <c r="S154" i="1"/>
  <c r="T154" i="1"/>
  <c r="U154" i="1"/>
  <c r="S155" i="1"/>
  <c r="T155" i="1"/>
  <c r="U155" i="1"/>
  <c r="S156" i="1"/>
  <c r="T156" i="1"/>
  <c r="U156" i="1"/>
  <c r="S157" i="1"/>
  <c r="T157" i="1"/>
  <c r="U157" i="1"/>
  <c r="S158" i="1"/>
  <c r="T158" i="1"/>
  <c r="U158" i="1"/>
  <c r="S159" i="1"/>
  <c r="T159" i="1"/>
  <c r="U159" i="1"/>
  <c r="S160" i="1"/>
  <c r="T160" i="1"/>
  <c r="U160" i="1"/>
  <c r="S161" i="1"/>
  <c r="T161" i="1"/>
  <c r="U161" i="1"/>
  <c r="S162" i="1"/>
  <c r="T162" i="1"/>
  <c r="U162" i="1"/>
  <c r="S163" i="1"/>
  <c r="T163" i="1"/>
  <c r="U163" i="1"/>
  <c r="S164" i="1"/>
  <c r="T164" i="1"/>
  <c r="U164" i="1"/>
  <c r="S165" i="1"/>
  <c r="T165" i="1"/>
  <c r="U165" i="1"/>
  <c r="S166" i="1"/>
  <c r="T166" i="1"/>
  <c r="U166" i="1"/>
  <c r="S167" i="1"/>
  <c r="T167" i="1"/>
  <c r="U167" i="1"/>
  <c r="S168" i="1"/>
  <c r="T168" i="1"/>
  <c r="U168" i="1"/>
  <c r="S169" i="1"/>
  <c r="T169" i="1"/>
  <c r="U169" i="1"/>
  <c r="S170" i="1"/>
  <c r="T170" i="1"/>
  <c r="U170" i="1"/>
  <c r="S171" i="1"/>
  <c r="T171" i="1"/>
  <c r="U171" i="1"/>
  <c r="S172" i="1"/>
  <c r="T172" i="1"/>
  <c r="U172" i="1"/>
  <c r="S173" i="1"/>
  <c r="T173" i="1"/>
  <c r="U173" i="1"/>
  <c r="S174" i="1"/>
  <c r="T174" i="1"/>
  <c r="U174" i="1"/>
  <c r="S175" i="1"/>
  <c r="T175" i="1"/>
  <c r="U175" i="1"/>
  <c r="S176" i="1"/>
  <c r="T176" i="1"/>
  <c r="U176" i="1"/>
  <c r="S177" i="1"/>
  <c r="T177" i="1"/>
  <c r="U177" i="1"/>
  <c r="S178" i="1"/>
  <c r="T178" i="1"/>
  <c r="U178" i="1"/>
  <c r="S179" i="1"/>
  <c r="T179" i="1"/>
  <c r="U179" i="1"/>
  <c r="S180" i="1"/>
  <c r="T180" i="1"/>
  <c r="U180" i="1"/>
  <c r="S181" i="1"/>
  <c r="T181" i="1"/>
  <c r="U181" i="1"/>
  <c r="S182" i="1"/>
  <c r="T182" i="1"/>
  <c r="U182" i="1"/>
  <c r="S183" i="1"/>
  <c r="T183" i="1"/>
  <c r="U183" i="1"/>
  <c r="S184" i="1"/>
  <c r="T184" i="1"/>
  <c r="U184" i="1"/>
  <c r="S185" i="1"/>
  <c r="T185" i="1"/>
  <c r="U185" i="1"/>
  <c r="S186" i="1"/>
  <c r="T186" i="1"/>
  <c r="U186" i="1"/>
  <c r="S187" i="1"/>
  <c r="T187" i="1"/>
  <c r="U187" i="1"/>
  <c r="S188" i="1"/>
  <c r="T188" i="1"/>
  <c r="U188" i="1"/>
  <c r="S189" i="1"/>
  <c r="T189" i="1"/>
  <c r="U189" i="1"/>
  <c r="S190" i="1"/>
  <c r="T190" i="1"/>
  <c r="U190" i="1"/>
  <c r="S191" i="1"/>
  <c r="T191" i="1"/>
  <c r="U191" i="1"/>
  <c r="S192" i="1"/>
  <c r="T192" i="1"/>
  <c r="U192" i="1"/>
  <c r="S193" i="1"/>
  <c r="T193" i="1"/>
  <c r="U193" i="1"/>
  <c r="S194" i="1"/>
  <c r="T194" i="1"/>
  <c r="U194" i="1"/>
  <c r="S195" i="1"/>
  <c r="T195" i="1"/>
  <c r="U195" i="1"/>
  <c r="S196" i="1"/>
  <c r="T196" i="1"/>
  <c r="U196" i="1"/>
  <c r="S197" i="1"/>
  <c r="T197" i="1"/>
  <c r="U197" i="1"/>
  <c r="S198" i="1"/>
  <c r="T198" i="1"/>
  <c r="U198" i="1"/>
  <c r="S199" i="1"/>
  <c r="T199" i="1"/>
  <c r="U199" i="1"/>
  <c r="S200" i="1"/>
  <c r="T200" i="1"/>
  <c r="U200" i="1"/>
  <c r="S201" i="1"/>
  <c r="T201" i="1"/>
  <c r="U201" i="1"/>
  <c r="S202" i="1"/>
  <c r="T202" i="1"/>
  <c r="U202" i="1"/>
  <c r="S203" i="1"/>
  <c r="T203" i="1"/>
  <c r="U203" i="1"/>
  <c r="S204" i="1"/>
  <c r="T204" i="1"/>
  <c r="U204" i="1"/>
  <c r="S205" i="1"/>
  <c r="T205" i="1"/>
  <c r="U205" i="1"/>
  <c r="S206" i="1"/>
  <c r="T206" i="1"/>
  <c r="U206" i="1"/>
  <c r="S207" i="1"/>
  <c r="T207" i="1"/>
  <c r="U207" i="1"/>
  <c r="S208" i="1"/>
  <c r="T208" i="1"/>
  <c r="U208" i="1"/>
  <c r="S209" i="1"/>
  <c r="T209" i="1"/>
  <c r="U209" i="1"/>
  <c r="S210" i="1"/>
  <c r="T210" i="1"/>
  <c r="U210" i="1"/>
  <c r="S211" i="1"/>
  <c r="T211" i="1"/>
  <c r="U211" i="1"/>
  <c r="S212" i="1"/>
  <c r="T212" i="1"/>
  <c r="U212" i="1"/>
  <c r="S213" i="1"/>
  <c r="T213" i="1"/>
  <c r="U213" i="1"/>
  <c r="S214" i="1"/>
  <c r="T214" i="1"/>
  <c r="U214" i="1"/>
  <c r="S215" i="1"/>
  <c r="T215" i="1"/>
  <c r="U215" i="1"/>
  <c r="S216" i="1"/>
  <c r="T216" i="1"/>
  <c r="U216" i="1"/>
  <c r="S217" i="1"/>
  <c r="T217" i="1"/>
  <c r="U217" i="1"/>
  <c r="S218" i="1"/>
  <c r="T218" i="1"/>
  <c r="U218" i="1"/>
  <c r="S219" i="1"/>
  <c r="T219" i="1"/>
  <c r="U219" i="1"/>
  <c r="S220" i="1"/>
  <c r="T220" i="1"/>
  <c r="U220" i="1"/>
  <c r="S221" i="1"/>
  <c r="T221" i="1"/>
  <c r="U221" i="1"/>
  <c r="S222" i="1"/>
  <c r="T222" i="1"/>
  <c r="U222" i="1"/>
  <c r="S223" i="1"/>
  <c r="T223" i="1"/>
  <c r="U223" i="1"/>
  <c r="S224" i="1"/>
  <c r="T224" i="1"/>
  <c r="U224" i="1"/>
  <c r="S225" i="1"/>
  <c r="T225" i="1"/>
  <c r="U225" i="1"/>
  <c r="S226" i="1"/>
  <c r="T226" i="1"/>
  <c r="U226" i="1"/>
  <c r="S227" i="1"/>
  <c r="T227" i="1"/>
  <c r="U227" i="1"/>
  <c r="S228" i="1"/>
  <c r="T228" i="1"/>
  <c r="U228" i="1"/>
  <c r="S229" i="1"/>
  <c r="T229" i="1"/>
  <c r="U229" i="1"/>
  <c r="S230" i="1"/>
  <c r="T230" i="1"/>
  <c r="U230" i="1"/>
  <c r="S231" i="1"/>
  <c r="T231" i="1"/>
  <c r="U231" i="1"/>
  <c r="S232" i="1"/>
  <c r="T232" i="1"/>
  <c r="U232" i="1"/>
  <c r="S233" i="1"/>
  <c r="T233" i="1"/>
  <c r="U233" i="1"/>
  <c r="S234" i="1"/>
  <c r="T234" i="1"/>
  <c r="U234" i="1"/>
  <c r="S235" i="1"/>
  <c r="T235" i="1"/>
  <c r="U235" i="1"/>
  <c r="S236" i="1"/>
  <c r="T236" i="1"/>
  <c r="U236" i="1"/>
  <c r="S237" i="1"/>
  <c r="T237" i="1"/>
  <c r="U237" i="1"/>
  <c r="S238" i="1"/>
  <c r="T238" i="1"/>
  <c r="U238" i="1"/>
  <c r="S239" i="1"/>
  <c r="T239" i="1"/>
  <c r="U239" i="1"/>
  <c r="S240" i="1"/>
  <c r="T240" i="1"/>
  <c r="U240" i="1"/>
  <c r="S241" i="1"/>
  <c r="T241" i="1"/>
  <c r="U241" i="1"/>
  <c r="S242" i="1"/>
  <c r="T242" i="1"/>
  <c r="U242" i="1"/>
  <c r="S243" i="1"/>
  <c r="T243" i="1"/>
  <c r="U243" i="1"/>
  <c r="S244" i="1"/>
  <c r="T244" i="1"/>
  <c r="U244" i="1"/>
  <c r="S245" i="1"/>
  <c r="T245" i="1"/>
  <c r="U245" i="1"/>
  <c r="S246" i="1"/>
  <c r="T246" i="1"/>
  <c r="U246" i="1"/>
  <c r="S247" i="1"/>
  <c r="T247" i="1"/>
  <c r="U247" i="1"/>
  <c r="S248" i="1"/>
  <c r="T248" i="1"/>
  <c r="U248" i="1"/>
  <c r="S249" i="1"/>
  <c r="T249" i="1"/>
  <c r="U249" i="1"/>
  <c r="S250" i="1"/>
  <c r="T250" i="1"/>
  <c r="U250" i="1"/>
  <c r="S251" i="1"/>
  <c r="T251" i="1"/>
  <c r="U251" i="1"/>
  <c r="S252" i="1"/>
  <c r="T252" i="1"/>
  <c r="U252" i="1"/>
  <c r="S253" i="1"/>
  <c r="T253" i="1"/>
  <c r="U253" i="1"/>
  <c r="S254" i="1"/>
  <c r="T254" i="1"/>
  <c r="U254" i="1"/>
  <c r="S255" i="1"/>
  <c r="T255" i="1"/>
  <c r="U255" i="1"/>
  <c r="S256" i="1"/>
  <c r="T256" i="1"/>
  <c r="U256" i="1"/>
  <c r="S257" i="1"/>
  <c r="T257" i="1"/>
  <c r="U257" i="1"/>
  <c r="S258" i="1"/>
  <c r="T258" i="1"/>
  <c r="U258" i="1"/>
  <c r="S259" i="1"/>
  <c r="T259" i="1"/>
  <c r="U259" i="1"/>
  <c r="S260" i="1"/>
  <c r="T260" i="1"/>
  <c r="U260" i="1"/>
  <c r="S261" i="1"/>
  <c r="T261" i="1"/>
  <c r="U261" i="1"/>
  <c r="S262" i="1"/>
  <c r="T262" i="1"/>
  <c r="U262" i="1"/>
  <c r="S263" i="1"/>
  <c r="T263" i="1"/>
  <c r="U263" i="1"/>
  <c r="S264" i="1"/>
  <c r="T264" i="1"/>
  <c r="U264" i="1"/>
  <c r="S265" i="1"/>
  <c r="T265" i="1"/>
  <c r="U265" i="1"/>
  <c r="S266" i="1"/>
  <c r="T266" i="1"/>
  <c r="U266" i="1"/>
  <c r="S267" i="1"/>
  <c r="T267" i="1"/>
  <c r="U267" i="1"/>
  <c r="S18" i="1"/>
  <c r="T18" i="1"/>
  <c r="U18" i="1"/>
  <c r="S19" i="1"/>
  <c r="T19" i="1"/>
  <c r="U19" i="1"/>
  <c r="S20" i="1"/>
  <c r="T20" i="1"/>
  <c r="U20" i="1"/>
  <c r="S21" i="1"/>
  <c r="T21" i="1"/>
  <c r="U21" i="1"/>
  <c r="S22" i="1"/>
  <c r="T22" i="1"/>
  <c r="U22" i="1"/>
  <c r="S23" i="1"/>
  <c r="T23" i="1"/>
  <c r="U23" i="1"/>
  <c r="S24" i="1"/>
  <c r="T24" i="1"/>
  <c r="U24" i="1"/>
  <c r="S25" i="1"/>
  <c r="T25" i="1"/>
  <c r="U25" i="1"/>
  <c r="S26" i="1"/>
  <c r="T26" i="1"/>
  <c r="U26" i="1"/>
  <c r="S27" i="1"/>
  <c r="T27" i="1"/>
  <c r="U27" i="1"/>
  <c r="S28" i="1"/>
  <c r="T28" i="1"/>
  <c r="U28" i="1"/>
  <c r="S29" i="1"/>
  <c r="T29" i="1"/>
  <c r="U29" i="1"/>
  <c r="S30" i="1"/>
  <c r="T30" i="1"/>
  <c r="U30" i="1"/>
  <c r="S31" i="1"/>
  <c r="T31" i="1"/>
  <c r="U31" i="1"/>
  <c r="S32" i="1"/>
  <c r="T32" i="1"/>
  <c r="U32" i="1"/>
  <c r="S33" i="1"/>
  <c r="T33" i="1"/>
  <c r="U33" i="1"/>
  <c r="S34" i="1"/>
  <c r="T34" i="1"/>
  <c r="U34" i="1"/>
  <c r="S35" i="1"/>
  <c r="T35" i="1"/>
  <c r="U35" i="1"/>
  <c r="S3" i="1"/>
  <c r="T3" i="1"/>
  <c r="U3" i="1"/>
  <c r="S4" i="1"/>
  <c r="T4" i="1"/>
  <c r="U4" i="1"/>
  <c r="S5" i="1"/>
  <c r="T5" i="1"/>
  <c r="U5" i="1"/>
  <c r="S6" i="1"/>
  <c r="T6" i="1"/>
  <c r="U6" i="1"/>
  <c r="S7" i="1"/>
  <c r="T7" i="1"/>
  <c r="U7" i="1"/>
  <c r="S8" i="1"/>
  <c r="T8" i="1"/>
  <c r="U8" i="1"/>
  <c r="S9" i="1"/>
  <c r="T9" i="1"/>
  <c r="U9" i="1"/>
  <c r="S10" i="1"/>
  <c r="T10" i="1"/>
  <c r="U10" i="1"/>
  <c r="S11" i="1"/>
  <c r="T11" i="1"/>
  <c r="U11" i="1"/>
  <c r="S12" i="1"/>
  <c r="T12" i="1"/>
  <c r="U12" i="1"/>
  <c r="S13" i="1"/>
  <c r="T13" i="1"/>
  <c r="U13" i="1"/>
  <c r="S14" i="1"/>
  <c r="T14" i="1"/>
  <c r="U14" i="1"/>
  <c r="S15" i="1"/>
  <c r="T15" i="1"/>
  <c r="U15" i="1"/>
  <c r="S16" i="1"/>
  <c r="T16" i="1"/>
  <c r="U16" i="1"/>
  <c r="S17" i="1"/>
  <c r="T17" i="1"/>
  <c r="U17" i="1"/>
  <c r="U2" i="1"/>
  <c r="T2" i="1"/>
  <c r="S2" i="1"/>
  <c r="Q2" i="1"/>
  <c r="Q268" i="1" s="1"/>
  <c r="P2" i="1"/>
  <c r="P268" i="1" s="1"/>
  <c r="R268" i="1"/>
  <c r="P3" i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P135" i="1"/>
  <c r="Q135" i="1"/>
  <c r="R135" i="1"/>
  <c r="P136" i="1"/>
  <c r="Q136" i="1"/>
  <c r="R136" i="1"/>
  <c r="P137" i="1"/>
  <c r="Q137" i="1"/>
  <c r="R137" i="1"/>
  <c r="P138" i="1"/>
  <c r="Q138" i="1"/>
  <c r="R138" i="1"/>
  <c r="P139" i="1"/>
  <c r="Q139" i="1"/>
  <c r="R139" i="1"/>
  <c r="P140" i="1"/>
  <c r="Q140" i="1"/>
  <c r="R140" i="1"/>
  <c r="P141" i="1"/>
  <c r="Q141" i="1"/>
  <c r="R141" i="1"/>
  <c r="P142" i="1"/>
  <c r="Q142" i="1"/>
  <c r="R142" i="1"/>
  <c r="P143" i="1"/>
  <c r="Q143" i="1"/>
  <c r="R143" i="1"/>
  <c r="P144" i="1"/>
  <c r="Q144" i="1"/>
  <c r="R144" i="1"/>
  <c r="P145" i="1"/>
  <c r="Q145" i="1"/>
  <c r="R145" i="1"/>
  <c r="P146" i="1"/>
  <c r="Q146" i="1"/>
  <c r="R146" i="1"/>
  <c r="P147" i="1"/>
  <c r="Q147" i="1"/>
  <c r="R147" i="1"/>
  <c r="P148" i="1"/>
  <c r="Q148" i="1"/>
  <c r="R148" i="1"/>
  <c r="P149" i="1"/>
  <c r="Q149" i="1"/>
  <c r="R149" i="1"/>
  <c r="P150" i="1"/>
  <c r="Q150" i="1"/>
  <c r="R150" i="1"/>
  <c r="P151" i="1"/>
  <c r="Q151" i="1"/>
  <c r="R151" i="1"/>
  <c r="P152" i="1"/>
  <c r="Q152" i="1"/>
  <c r="R152" i="1"/>
  <c r="P153" i="1"/>
  <c r="Q153" i="1"/>
  <c r="R153" i="1"/>
  <c r="P154" i="1"/>
  <c r="Q154" i="1"/>
  <c r="R154" i="1"/>
  <c r="P155" i="1"/>
  <c r="Q155" i="1"/>
  <c r="R155" i="1"/>
  <c r="P156" i="1"/>
  <c r="Q156" i="1"/>
  <c r="R156" i="1"/>
  <c r="P157" i="1"/>
  <c r="Q157" i="1"/>
  <c r="R157" i="1"/>
  <c r="P158" i="1"/>
  <c r="Q158" i="1"/>
  <c r="R158" i="1"/>
  <c r="P159" i="1"/>
  <c r="Q159" i="1"/>
  <c r="R159" i="1"/>
  <c r="P160" i="1"/>
  <c r="Q160" i="1"/>
  <c r="R160" i="1"/>
  <c r="P161" i="1"/>
  <c r="Q161" i="1"/>
  <c r="R161" i="1"/>
  <c r="P162" i="1"/>
  <c r="Q162" i="1"/>
  <c r="R162" i="1"/>
  <c r="P163" i="1"/>
  <c r="Q163" i="1"/>
  <c r="R163" i="1"/>
  <c r="P164" i="1"/>
  <c r="Q164" i="1"/>
  <c r="R164" i="1"/>
  <c r="P165" i="1"/>
  <c r="Q165" i="1"/>
  <c r="R165" i="1"/>
  <c r="P166" i="1"/>
  <c r="Q166" i="1"/>
  <c r="R166" i="1"/>
  <c r="P167" i="1"/>
  <c r="Q167" i="1"/>
  <c r="R167" i="1"/>
  <c r="P168" i="1"/>
  <c r="Q168" i="1"/>
  <c r="R168" i="1"/>
  <c r="P169" i="1"/>
  <c r="Q169" i="1"/>
  <c r="R169" i="1"/>
  <c r="P170" i="1"/>
  <c r="Q170" i="1"/>
  <c r="R170" i="1"/>
  <c r="P171" i="1"/>
  <c r="Q171" i="1"/>
  <c r="R171" i="1"/>
  <c r="P172" i="1"/>
  <c r="Q172" i="1"/>
  <c r="R172" i="1"/>
  <c r="P173" i="1"/>
  <c r="Q173" i="1"/>
  <c r="R173" i="1"/>
  <c r="P174" i="1"/>
  <c r="Q174" i="1"/>
  <c r="R174" i="1"/>
  <c r="P175" i="1"/>
  <c r="Q175" i="1"/>
  <c r="R175" i="1"/>
  <c r="P176" i="1"/>
  <c r="Q176" i="1"/>
  <c r="R176" i="1"/>
  <c r="P177" i="1"/>
  <c r="Q177" i="1"/>
  <c r="R177" i="1"/>
  <c r="P178" i="1"/>
  <c r="Q178" i="1"/>
  <c r="R178" i="1"/>
  <c r="P179" i="1"/>
  <c r="Q179" i="1"/>
  <c r="R179" i="1"/>
  <c r="P180" i="1"/>
  <c r="Q180" i="1"/>
  <c r="R180" i="1"/>
  <c r="P181" i="1"/>
  <c r="Q181" i="1"/>
  <c r="R181" i="1"/>
  <c r="P182" i="1"/>
  <c r="Q182" i="1"/>
  <c r="R182" i="1"/>
  <c r="P183" i="1"/>
  <c r="Q183" i="1"/>
  <c r="R183" i="1"/>
  <c r="P184" i="1"/>
  <c r="Q184" i="1"/>
  <c r="R184" i="1"/>
  <c r="P185" i="1"/>
  <c r="Q185" i="1"/>
  <c r="R185" i="1"/>
  <c r="P186" i="1"/>
  <c r="Q186" i="1"/>
  <c r="R186" i="1"/>
  <c r="P187" i="1"/>
  <c r="Q187" i="1"/>
  <c r="R187" i="1"/>
  <c r="P188" i="1"/>
  <c r="Q188" i="1"/>
  <c r="R188" i="1"/>
  <c r="P189" i="1"/>
  <c r="Q189" i="1"/>
  <c r="R189" i="1"/>
  <c r="P190" i="1"/>
  <c r="Q190" i="1"/>
  <c r="R190" i="1"/>
  <c r="P191" i="1"/>
  <c r="Q191" i="1"/>
  <c r="R191" i="1"/>
  <c r="P192" i="1"/>
  <c r="Q192" i="1"/>
  <c r="R192" i="1"/>
  <c r="P193" i="1"/>
  <c r="Q193" i="1"/>
  <c r="R193" i="1"/>
  <c r="P194" i="1"/>
  <c r="Q194" i="1"/>
  <c r="R194" i="1"/>
  <c r="P195" i="1"/>
  <c r="Q195" i="1"/>
  <c r="R195" i="1"/>
  <c r="P196" i="1"/>
  <c r="Q196" i="1"/>
  <c r="R196" i="1"/>
  <c r="P197" i="1"/>
  <c r="Q197" i="1"/>
  <c r="R197" i="1"/>
  <c r="P198" i="1"/>
  <c r="Q198" i="1"/>
  <c r="R198" i="1"/>
  <c r="P199" i="1"/>
  <c r="Q199" i="1"/>
  <c r="R199" i="1"/>
  <c r="P200" i="1"/>
  <c r="Q200" i="1"/>
  <c r="R200" i="1"/>
  <c r="P201" i="1"/>
  <c r="Q201" i="1"/>
  <c r="R201" i="1"/>
  <c r="P202" i="1"/>
  <c r="Q202" i="1"/>
  <c r="R202" i="1"/>
  <c r="P203" i="1"/>
  <c r="Q203" i="1"/>
  <c r="R203" i="1"/>
  <c r="P204" i="1"/>
  <c r="Q204" i="1"/>
  <c r="R204" i="1"/>
  <c r="P205" i="1"/>
  <c r="Q205" i="1"/>
  <c r="R205" i="1"/>
  <c r="P206" i="1"/>
  <c r="Q206" i="1"/>
  <c r="R206" i="1"/>
  <c r="P207" i="1"/>
  <c r="Q207" i="1"/>
  <c r="R207" i="1"/>
  <c r="P208" i="1"/>
  <c r="Q208" i="1"/>
  <c r="R208" i="1"/>
  <c r="P209" i="1"/>
  <c r="Q209" i="1"/>
  <c r="R209" i="1"/>
  <c r="P210" i="1"/>
  <c r="Q210" i="1"/>
  <c r="R210" i="1"/>
  <c r="P211" i="1"/>
  <c r="Q211" i="1"/>
  <c r="R211" i="1"/>
  <c r="P212" i="1"/>
  <c r="Q212" i="1"/>
  <c r="R212" i="1"/>
  <c r="P213" i="1"/>
  <c r="Q213" i="1"/>
  <c r="R213" i="1"/>
  <c r="P214" i="1"/>
  <c r="Q214" i="1"/>
  <c r="R214" i="1"/>
  <c r="P215" i="1"/>
  <c r="Q215" i="1"/>
  <c r="R215" i="1"/>
  <c r="P216" i="1"/>
  <c r="Q216" i="1"/>
  <c r="R216" i="1"/>
  <c r="P217" i="1"/>
  <c r="Q217" i="1"/>
  <c r="R217" i="1"/>
  <c r="P218" i="1"/>
  <c r="Q218" i="1"/>
  <c r="R218" i="1"/>
  <c r="P219" i="1"/>
  <c r="Q219" i="1"/>
  <c r="R219" i="1"/>
  <c r="P220" i="1"/>
  <c r="Q220" i="1"/>
  <c r="R220" i="1"/>
  <c r="P221" i="1"/>
  <c r="Q221" i="1"/>
  <c r="R221" i="1"/>
  <c r="P222" i="1"/>
  <c r="Q222" i="1"/>
  <c r="R222" i="1"/>
  <c r="P223" i="1"/>
  <c r="Q223" i="1"/>
  <c r="R223" i="1"/>
  <c r="P224" i="1"/>
  <c r="Q224" i="1"/>
  <c r="R224" i="1"/>
  <c r="P225" i="1"/>
  <c r="Q225" i="1"/>
  <c r="R225" i="1"/>
  <c r="P226" i="1"/>
  <c r="Q226" i="1"/>
  <c r="R226" i="1"/>
  <c r="P227" i="1"/>
  <c r="Q227" i="1"/>
  <c r="R227" i="1"/>
  <c r="P228" i="1"/>
  <c r="Q228" i="1"/>
  <c r="R228" i="1"/>
  <c r="P229" i="1"/>
  <c r="Q229" i="1"/>
  <c r="R229" i="1"/>
  <c r="P230" i="1"/>
  <c r="Q230" i="1"/>
  <c r="R230" i="1"/>
  <c r="P231" i="1"/>
  <c r="Q231" i="1"/>
  <c r="R231" i="1"/>
  <c r="P232" i="1"/>
  <c r="Q232" i="1"/>
  <c r="R232" i="1"/>
  <c r="P233" i="1"/>
  <c r="Q233" i="1"/>
  <c r="R233" i="1"/>
  <c r="P234" i="1"/>
  <c r="Q234" i="1"/>
  <c r="R234" i="1"/>
  <c r="P235" i="1"/>
  <c r="Q235" i="1"/>
  <c r="R235" i="1"/>
  <c r="P236" i="1"/>
  <c r="Q236" i="1"/>
  <c r="R236" i="1"/>
  <c r="P237" i="1"/>
  <c r="Q237" i="1"/>
  <c r="R237" i="1"/>
  <c r="P238" i="1"/>
  <c r="Q238" i="1"/>
  <c r="R238" i="1"/>
  <c r="P239" i="1"/>
  <c r="Q239" i="1"/>
  <c r="R239" i="1"/>
  <c r="P240" i="1"/>
  <c r="Q240" i="1"/>
  <c r="R240" i="1"/>
  <c r="P241" i="1"/>
  <c r="Q241" i="1"/>
  <c r="R241" i="1"/>
  <c r="P242" i="1"/>
  <c r="Q242" i="1"/>
  <c r="R242" i="1"/>
  <c r="P243" i="1"/>
  <c r="Q243" i="1"/>
  <c r="R243" i="1"/>
  <c r="P244" i="1"/>
  <c r="Q244" i="1"/>
  <c r="R244" i="1"/>
  <c r="P245" i="1"/>
  <c r="Q245" i="1"/>
  <c r="R245" i="1"/>
  <c r="P246" i="1"/>
  <c r="Q246" i="1"/>
  <c r="R246" i="1"/>
  <c r="P247" i="1"/>
  <c r="Q247" i="1"/>
  <c r="R247" i="1"/>
  <c r="P248" i="1"/>
  <c r="Q248" i="1"/>
  <c r="R248" i="1"/>
  <c r="P249" i="1"/>
  <c r="Q249" i="1"/>
  <c r="R249" i="1"/>
  <c r="P250" i="1"/>
  <c r="Q250" i="1"/>
  <c r="R250" i="1"/>
  <c r="P251" i="1"/>
  <c r="Q251" i="1"/>
  <c r="R251" i="1"/>
  <c r="P252" i="1"/>
  <c r="Q252" i="1"/>
  <c r="R252" i="1"/>
  <c r="P253" i="1"/>
  <c r="Q253" i="1"/>
  <c r="R253" i="1"/>
  <c r="P254" i="1"/>
  <c r="Q254" i="1"/>
  <c r="R254" i="1"/>
  <c r="P255" i="1"/>
  <c r="Q255" i="1"/>
  <c r="R255" i="1"/>
  <c r="P256" i="1"/>
  <c r="Q256" i="1"/>
  <c r="R256" i="1"/>
  <c r="P257" i="1"/>
  <c r="Q257" i="1"/>
  <c r="R257" i="1"/>
  <c r="P258" i="1"/>
  <c r="Q258" i="1"/>
  <c r="R258" i="1"/>
  <c r="P259" i="1"/>
  <c r="Q259" i="1"/>
  <c r="R259" i="1"/>
  <c r="P260" i="1"/>
  <c r="Q260" i="1"/>
  <c r="R260" i="1"/>
  <c r="P261" i="1"/>
  <c r="Q261" i="1"/>
  <c r="R261" i="1"/>
  <c r="P262" i="1"/>
  <c r="Q262" i="1"/>
  <c r="R262" i="1"/>
  <c r="P263" i="1"/>
  <c r="Q263" i="1"/>
  <c r="R263" i="1"/>
  <c r="P264" i="1"/>
  <c r="Q264" i="1"/>
  <c r="R264" i="1"/>
  <c r="P265" i="1"/>
  <c r="Q265" i="1"/>
  <c r="R265" i="1"/>
  <c r="P266" i="1"/>
  <c r="Q266" i="1"/>
  <c r="R266" i="1"/>
  <c r="P267" i="1"/>
  <c r="Q267" i="1"/>
  <c r="R267" i="1"/>
  <c r="R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</calcChain>
</file>

<file path=xl/sharedStrings.xml><?xml version="1.0" encoding="utf-8"?>
<sst xmlns="http://schemas.openxmlformats.org/spreadsheetml/2006/main" count="22" uniqueCount="15">
  <si>
    <t>date_base</t>
  </si>
  <si>
    <t>date_pred</t>
  </si>
  <si>
    <t>index_pred</t>
  </si>
  <si>
    <t>index_real</t>
  </si>
  <si>
    <t>index_today</t>
  </si>
  <si>
    <t>loss_profits</t>
  </si>
  <si>
    <t>prediction</t>
  </si>
  <si>
    <t>real</t>
  </si>
  <si>
    <t>accuracy</t>
  </si>
  <si>
    <t xml:space="preserve"> RMSE</t>
  </si>
  <si>
    <t>CNN한달후</t>
    <phoneticPr fontId="18" type="noConversion"/>
  </si>
  <si>
    <t>CNN+LSTM</t>
    <phoneticPr fontId="18" type="noConversion"/>
  </si>
  <si>
    <t>CNN</t>
    <phoneticPr fontId="18" type="noConversion"/>
  </si>
  <si>
    <t>LSTM+CNN</t>
    <phoneticPr fontId="18" type="noConversion"/>
  </si>
  <si>
    <t>LSTM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</si>
</sst>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8"/>
  <sheetViews>
    <sheetView tabSelected="1" topLeftCell="B1" workbookViewId="0">
      <selection activeCell="B267" sqref="A267:XFD267"/>
    </sheetView>
  </sheetViews>
  <sheetFormatPr defaultRowHeight="16.5" x14ac:dyDescent="0.3"/>
  <cols>
    <col min="1" max="1" width="11.5" customWidth="1"/>
    <col min="2" max="2" width="10.125" customWidth="1"/>
    <col min="3" max="3" width="10.625" customWidth="1"/>
    <col min="4" max="4" width="10" customWidth="1"/>
    <col min="5" max="5" width="10.625" customWidth="1"/>
    <col min="10" max="10" width="11.5" customWidth="1"/>
    <col min="11" max="11" width="10.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0</v>
      </c>
      <c r="K1" t="s">
        <v>4</v>
      </c>
      <c r="L1" t="s">
        <v>10</v>
      </c>
      <c r="M1" t="s">
        <v>2</v>
      </c>
      <c r="N1" t="s">
        <v>3</v>
      </c>
      <c r="O1" t="s">
        <v>11</v>
      </c>
      <c r="P1" t="s">
        <v>14</v>
      </c>
      <c r="Q1" t="s">
        <v>12</v>
      </c>
      <c r="R1" t="s">
        <v>13</v>
      </c>
      <c r="S1" t="s">
        <v>14</v>
      </c>
      <c r="T1" t="s">
        <v>12</v>
      </c>
      <c r="U1" t="s">
        <v>13</v>
      </c>
    </row>
    <row r="2" spans="1:21" x14ac:dyDescent="0.3">
      <c r="A2" s="1">
        <v>42825</v>
      </c>
      <c r="B2" s="1">
        <v>42916</v>
      </c>
      <c r="C2">
        <v>304.29781494140599</v>
      </c>
      <c r="D2">
        <v>311.55000076293902</v>
      </c>
      <c r="E2">
        <v>281.60000000000002</v>
      </c>
      <c r="F2">
        <v>29.9500007629394</v>
      </c>
      <c r="G2">
        <v>22.6978149414062</v>
      </c>
      <c r="H2">
        <v>29.9500007629394</v>
      </c>
      <c r="J2" s="1">
        <v>42825</v>
      </c>
      <c r="K2">
        <v>281.60000000000002</v>
      </c>
      <c r="L2">
        <v>287.8</v>
      </c>
      <c r="M2">
        <v>304.29781494140599</v>
      </c>
      <c r="N2">
        <v>311.55000076293902</v>
      </c>
      <c r="O2">
        <f>(L2+M2)/2</f>
        <v>296.048907470703</v>
      </c>
      <c r="P2">
        <f>IF((K2-M2)*(K2-N2)&gt;0, 1, 0)</f>
        <v>1</v>
      </c>
      <c r="Q2">
        <f>IF((K2-L2)*(K2-N2)&gt;0, 1, 0)</f>
        <v>1</v>
      </c>
      <c r="R2">
        <f>IF((K2-O2)*(K2-N2)&gt;0, 1, 0)</f>
        <v>1</v>
      </c>
      <c r="S2">
        <f>POWER(M2-N2, 2)</f>
        <v>52.594199190044748</v>
      </c>
      <c r="T2">
        <f>POWER(N2-L2,2)</f>
        <v>564.06253623960356</v>
      </c>
      <c r="U2">
        <f>POWER(O2-N2, 2)</f>
        <v>240.28389325460458</v>
      </c>
    </row>
    <row r="3" spans="1:21" x14ac:dyDescent="0.3">
      <c r="A3" s="1">
        <v>42828</v>
      </c>
      <c r="B3" s="1">
        <v>42919</v>
      </c>
      <c r="C3">
        <v>295.81318225860502</v>
      </c>
      <c r="D3">
        <v>311.94999923706001</v>
      </c>
      <c r="E3">
        <v>281.89999999999998</v>
      </c>
      <c r="F3">
        <v>30.049999237060501</v>
      </c>
      <c r="G3">
        <v>13.9131822586059</v>
      </c>
      <c r="H3">
        <v>30.049999237060501</v>
      </c>
      <c r="J3" s="1">
        <v>42828</v>
      </c>
      <c r="K3">
        <v>281.89999999999998</v>
      </c>
      <c r="L3">
        <v>287.8</v>
      </c>
      <c r="M3">
        <v>295.81318225860502</v>
      </c>
      <c r="N3">
        <v>311.94999923706001</v>
      </c>
      <c r="O3">
        <f t="shared" ref="O3:O66" si="0">(L3+M3)/2</f>
        <v>291.80659112930255</v>
      </c>
      <c r="P3">
        <f t="shared" ref="P3:P66" si="1">IF((K3-M3)*(K3-N3)&gt;0, 1, 0)</f>
        <v>1</v>
      </c>
      <c r="Q3">
        <f t="shared" ref="Q3:Q66" si="2">IF((K3-L3)*(K3-N3)&gt;0, 1, 0)</f>
        <v>1</v>
      </c>
      <c r="R3">
        <f t="shared" ref="R3:R66" si="3">IF((K3-O3)*(K3-N3)&gt;0, 1, 0)</f>
        <v>1</v>
      </c>
      <c r="S3">
        <f t="shared" ref="S3:S18" si="4">POWER(M3-N3, 2)</f>
        <v>260.39686219615317</v>
      </c>
      <c r="T3">
        <f t="shared" ref="T3:T18" si="5">POWER(N3-L3,2)</f>
        <v>583.22246314999859</v>
      </c>
      <c r="U3">
        <f t="shared" ref="U3:U18" si="6">POWER(O3-N3, 2)</f>
        <v>405.7568901956692</v>
      </c>
    </row>
    <row r="4" spans="1:21" x14ac:dyDescent="0.3">
      <c r="A4" s="1">
        <v>42829</v>
      </c>
      <c r="B4" s="1">
        <v>42920</v>
      </c>
      <c r="C4">
        <v>291.30534420013402</v>
      </c>
      <c r="D4">
        <v>309.64999923706</v>
      </c>
      <c r="E4">
        <v>281.35000000000002</v>
      </c>
      <c r="F4">
        <v>28.299999237060501</v>
      </c>
      <c r="G4">
        <v>9.9553442001342702</v>
      </c>
      <c r="H4">
        <v>28.299999237060501</v>
      </c>
      <c r="J4" s="1">
        <v>42829</v>
      </c>
      <c r="K4">
        <v>281.35000000000002</v>
      </c>
      <c r="L4">
        <v>290.05</v>
      </c>
      <c r="M4">
        <v>291.30534420013402</v>
      </c>
      <c r="N4">
        <v>309.64999923706</v>
      </c>
      <c r="O4">
        <f t="shared" si="0"/>
        <v>290.67767210006701</v>
      </c>
      <c r="P4">
        <f t="shared" si="1"/>
        <v>1</v>
      </c>
      <c r="Q4">
        <f t="shared" si="2"/>
        <v>1</v>
      </c>
      <c r="R4">
        <f t="shared" si="3"/>
        <v>1</v>
      </c>
      <c r="S4">
        <f t="shared" si="4"/>
        <v>336.52636842381395</v>
      </c>
      <c r="T4">
        <f t="shared" si="5"/>
        <v>384.15997009275219</v>
      </c>
      <c r="U4">
        <f t="shared" si="6"/>
        <v>359.94919699308053</v>
      </c>
    </row>
    <row r="5" spans="1:21" x14ac:dyDescent="0.3">
      <c r="A5" s="1">
        <v>42830</v>
      </c>
      <c r="B5" s="1">
        <v>42921</v>
      </c>
      <c r="C5">
        <v>290.59310684204098</v>
      </c>
      <c r="D5">
        <v>311.10000000000002</v>
      </c>
      <c r="E5">
        <v>280.85000000000002</v>
      </c>
      <c r="F5">
        <v>30.25</v>
      </c>
      <c r="G5">
        <v>9.7431068420410103</v>
      </c>
      <c r="H5">
        <v>30.25</v>
      </c>
      <c r="J5" s="1">
        <v>42830</v>
      </c>
      <c r="K5">
        <v>280.85000000000002</v>
      </c>
      <c r="L5">
        <v>290.05</v>
      </c>
      <c r="M5">
        <v>290.59310684204098</v>
      </c>
      <c r="N5">
        <v>311.10000000000002</v>
      </c>
      <c r="O5">
        <f t="shared" si="0"/>
        <v>290.3215534210205</v>
      </c>
      <c r="P5">
        <f t="shared" si="1"/>
        <v>1</v>
      </c>
      <c r="Q5">
        <f t="shared" si="2"/>
        <v>1</v>
      </c>
      <c r="R5">
        <f t="shared" si="3"/>
        <v>1</v>
      </c>
      <c r="S5">
        <f t="shared" si="4"/>
        <v>420.53266699194734</v>
      </c>
      <c r="T5">
        <f t="shared" si="5"/>
        <v>443.10250000000048</v>
      </c>
      <c r="U5">
        <f t="shared" si="6"/>
        <v>431.74384223550595</v>
      </c>
    </row>
    <row r="6" spans="1:21" x14ac:dyDescent="0.3">
      <c r="A6" s="1">
        <v>42831</v>
      </c>
      <c r="B6" s="1">
        <v>42922</v>
      </c>
      <c r="C6">
        <v>288.24231090545601</v>
      </c>
      <c r="D6">
        <v>311.10000076293898</v>
      </c>
      <c r="E6">
        <v>279.89999999999998</v>
      </c>
      <c r="F6">
        <v>31.2000007629394</v>
      </c>
      <c r="G6">
        <v>8.3423109054565394</v>
      </c>
      <c r="H6">
        <v>31.2000007629394</v>
      </c>
      <c r="J6" s="1">
        <v>42831</v>
      </c>
      <c r="K6">
        <v>279.89999999999998</v>
      </c>
      <c r="L6">
        <v>292.75</v>
      </c>
      <c r="M6">
        <v>288.24231090545601</v>
      </c>
      <c r="N6">
        <v>311.10000076293898</v>
      </c>
      <c r="O6">
        <f t="shared" si="0"/>
        <v>290.49615545272798</v>
      </c>
      <c r="P6">
        <f t="shared" si="1"/>
        <v>1</v>
      </c>
      <c r="Q6">
        <f t="shared" si="2"/>
        <v>1</v>
      </c>
      <c r="R6">
        <f t="shared" si="3"/>
        <v>1</v>
      </c>
      <c r="S6">
        <f t="shared" si="4"/>
        <v>522.47398562087972</v>
      </c>
      <c r="T6">
        <f t="shared" si="5"/>
        <v>336.72252799986097</v>
      </c>
      <c r="U6">
        <f t="shared" si="6"/>
        <v>424.51844156710382</v>
      </c>
    </row>
    <row r="7" spans="1:21" x14ac:dyDescent="0.3">
      <c r="A7" s="1">
        <v>42832</v>
      </c>
      <c r="B7" s="1">
        <v>42923</v>
      </c>
      <c r="C7">
        <v>288.21008205413801</v>
      </c>
      <c r="D7">
        <v>310.25</v>
      </c>
      <c r="E7">
        <v>279.25</v>
      </c>
      <c r="F7">
        <v>31</v>
      </c>
      <c r="G7">
        <v>8.96008205413818</v>
      </c>
      <c r="H7">
        <v>31</v>
      </c>
      <c r="J7" s="1">
        <v>42832</v>
      </c>
      <c r="K7">
        <v>279.25</v>
      </c>
      <c r="L7">
        <v>292.75</v>
      </c>
      <c r="M7">
        <v>288.21008205413801</v>
      </c>
      <c r="N7">
        <v>310.25</v>
      </c>
      <c r="O7">
        <f t="shared" si="0"/>
        <v>290.48004102706898</v>
      </c>
      <c r="P7">
        <f t="shared" si="1"/>
        <v>1</v>
      </c>
      <c r="Q7">
        <f t="shared" si="2"/>
        <v>1</v>
      </c>
      <c r="R7">
        <f t="shared" si="3"/>
        <v>1</v>
      </c>
      <c r="S7">
        <f t="shared" si="4"/>
        <v>485.75798306032925</v>
      </c>
      <c r="T7">
        <f t="shared" si="5"/>
        <v>306.25</v>
      </c>
      <c r="U7">
        <f t="shared" si="6"/>
        <v>390.85127779137582</v>
      </c>
    </row>
    <row r="8" spans="1:21" x14ac:dyDescent="0.3">
      <c r="A8" s="1">
        <v>42835</v>
      </c>
      <c r="B8" s="1">
        <v>42926</v>
      </c>
      <c r="C8">
        <v>294.51868286132799</v>
      </c>
      <c r="D8">
        <v>310.80000152587797</v>
      </c>
      <c r="E8">
        <v>277.64999999999998</v>
      </c>
      <c r="F8">
        <v>33.150001525878899</v>
      </c>
      <c r="G8">
        <v>16.8686828613281</v>
      </c>
      <c r="H8">
        <v>33.150001525878899</v>
      </c>
      <c r="J8" s="1">
        <v>42835</v>
      </c>
      <c r="K8">
        <v>277.64999999999998</v>
      </c>
      <c r="L8">
        <v>300.7</v>
      </c>
      <c r="M8">
        <v>294.51868286132799</v>
      </c>
      <c r="N8">
        <v>310.80000152587797</v>
      </c>
      <c r="O8">
        <f t="shared" si="0"/>
        <v>297.60934143066402</v>
      </c>
      <c r="P8">
        <f t="shared" si="1"/>
        <v>1</v>
      </c>
      <c r="Q8">
        <f t="shared" si="2"/>
        <v>1</v>
      </c>
      <c r="R8">
        <f t="shared" si="3"/>
        <v>1</v>
      </c>
      <c r="S8">
        <f t="shared" si="4"/>
        <v>265.08133745662371</v>
      </c>
      <c r="T8">
        <f t="shared" si="5"/>
        <v>102.01003082273763</v>
      </c>
      <c r="U8">
        <f t="shared" si="6"/>
        <v>173.99351374746988</v>
      </c>
    </row>
    <row r="9" spans="1:21" x14ac:dyDescent="0.3">
      <c r="A9" s="1">
        <v>42836</v>
      </c>
      <c r="B9" s="1">
        <v>42927</v>
      </c>
      <c r="C9">
        <v>290.70656147003098</v>
      </c>
      <c r="D9">
        <v>312.69999923706001</v>
      </c>
      <c r="E9">
        <v>275.89999999999998</v>
      </c>
      <c r="F9">
        <v>36.799999237060497</v>
      </c>
      <c r="G9">
        <v>14.806561470031699</v>
      </c>
      <c r="H9">
        <v>36.799999237060497</v>
      </c>
      <c r="J9" s="1">
        <v>42836</v>
      </c>
      <c r="K9">
        <v>275.89999999999998</v>
      </c>
      <c r="L9">
        <v>300.7</v>
      </c>
      <c r="M9">
        <v>290.70656147003098</v>
      </c>
      <c r="N9">
        <v>312.69999923706001</v>
      </c>
      <c r="O9">
        <f t="shared" si="0"/>
        <v>295.70328073501548</v>
      </c>
      <c r="P9">
        <f t="shared" si="1"/>
        <v>1</v>
      </c>
      <c r="Q9">
        <f t="shared" si="2"/>
        <v>1</v>
      </c>
      <c r="R9">
        <f t="shared" si="3"/>
        <v>1</v>
      </c>
      <c r="S9">
        <f t="shared" si="4"/>
        <v>483.71130481217915</v>
      </c>
      <c r="T9">
        <f t="shared" si="5"/>
        <v>143.99998168944114</v>
      </c>
      <c r="U9">
        <f t="shared" si="6"/>
        <v>288.88843983774285</v>
      </c>
    </row>
    <row r="10" spans="1:21" x14ac:dyDescent="0.3">
      <c r="A10" s="1">
        <v>42837</v>
      </c>
      <c r="B10" s="1">
        <v>42928</v>
      </c>
      <c r="C10">
        <v>285.69869537353497</v>
      </c>
      <c r="D10">
        <v>312.60000152587799</v>
      </c>
      <c r="E10">
        <v>276.95</v>
      </c>
      <c r="F10">
        <v>35.650001525878899</v>
      </c>
      <c r="G10">
        <v>8.7486953735351491</v>
      </c>
      <c r="H10">
        <v>35.650001525878899</v>
      </c>
      <c r="J10" s="1">
        <v>42837</v>
      </c>
      <c r="K10">
        <v>276.95</v>
      </c>
      <c r="L10">
        <v>296.45</v>
      </c>
      <c r="M10">
        <v>285.69869537353497</v>
      </c>
      <c r="N10">
        <v>312.60000152587799</v>
      </c>
      <c r="O10">
        <f t="shared" si="0"/>
        <v>291.07434768676751</v>
      </c>
      <c r="P10">
        <f t="shared" si="1"/>
        <v>1</v>
      </c>
      <c r="Q10">
        <f t="shared" si="2"/>
        <v>1</v>
      </c>
      <c r="R10">
        <f t="shared" si="3"/>
        <v>1</v>
      </c>
      <c r="S10">
        <f t="shared" si="4"/>
        <v>723.6802727020879</v>
      </c>
      <c r="T10">
        <f t="shared" si="5"/>
        <v>260.82254928586161</v>
      </c>
      <c r="U10">
        <f t="shared" si="6"/>
        <v>463.35377320121154</v>
      </c>
    </row>
    <row r="11" spans="1:21" x14ac:dyDescent="0.3">
      <c r="A11" s="1">
        <v>42838</v>
      </c>
      <c r="B11" s="1">
        <v>42929</v>
      </c>
      <c r="C11">
        <v>292.28634300231897</v>
      </c>
      <c r="D11">
        <v>316.55000152587797</v>
      </c>
      <c r="E11">
        <v>279.14999999999998</v>
      </c>
      <c r="F11">
        <v>37.400001525878899</v>
      </c>
      <c r="G11">
        <v>13.1363430023193</v>
      </c>
      <c r="H11">
        <v>37.400001525878899</v>
      </c>
      <c r="J11" s="1">
        <v>42838</v>
      </c>
      <c r="K11">
        <v>279.14999999999998</v>
      </c>
      <c r="L11">
        <v>300.10000000000002</v>
      </c>
      <c r="M11">
        <v>292.28634300231897</v>
      </c>
      <c r="N11">
        <v>316.55000152587797</v>
      </c>
      <c r="O11">
        <f t="shared" si="0"/>
        <v>296.1931715011595</v>
      </c>
      <c r="P11">
        <f t="shared" si="1"/>
        <v>1</v>
      </c>
      <c r="Q11">
        <f t="shared" si="2"/>
        <v>1</v>
      </c>
      <c r="R11">
        <f t="shared" si="3"/>
        <v>1</v>
      </c>
      <c r="S11">
        <f t="shared" si="4"/>
        <v>588.72512494787736</v>
      </c>
      <c r="T11">
        <f t="shared" si="5"/>
        <v>270.60255020138692</v>
      </c>
      <c r="U11">
        <f t="shared" si="6"/>
        <v>414.40052865527963</v>
      </c>
    </row>
    <row r="12" spans="1:21" x14ac:dyDescent="0.3">
      <c r="A12" s="1">
        <v>42839</v>
      </c>
      <c r="B12" s="1">
        <v>42930</v>
      </c>
      <c r="C12">
        <v>282.825358104705</v>
      </c>
      <c r="D12">
        <v>316.7</v>
      </c>
      <c r="E12">
        <v>277.7</v>
      </c>
      <c r="F12">
        <v>39</v>
      </c>
      <c r="G12">
        <v>5.1253581047058097</v>
      </c>
      <c r="H12">
        <v>39</v>
      </c>
      <c r="J12" s="1">
        <v>42839</v>
      </c>
      <c r="K12">
        <v>277.7</v>
      </c>
      <c r="L12">
        <v>298.64999999999998</v>
      </c>
      <c r="M12">
        <v>282.825358104705</v>
      </c>
      <c r="N12">
        <v>316.7</v>
      </c>
      <c r="O12">
        <f t="shared" si="0"/>
        <v>290.73767905235252</v>
      </c>
      <c r="P12">
        <f t="shared" si="1"/>
        <v>1</v>
      </c>
      <c r="Q12">
        <f t="shared" si="2"/>
        <v>1</v>
      </c>
      <c r="R12">
        <f t="shared" si="3"/>
        <v>1</v>
      </c>
      <c r="S12">
        <f t="shared" si="4"/>
        <v>1147.4913635344742</v>
      </c>
      <c r="T12">
        <f t="shared" si="5"/>
        <v>325.80250000000041</v>
      </c>
      <c r="U12">
        <f t="shared" si="6"/>
        <v>674.0421089886546</v>
      </c>
    </row>
    <row r="13" spans="1:21" x14ac:dyDescent="0.3">
      <c r="A13" s="1">
        <v>42842</v>
      </c>
      <c r="B13" s="1">
        <v>42933</v>
      </c>
      <c r="C13">
        <v>289.48398342132498</v>
      </c>
      <c r="D13">
        <v>317.49999847412101</v>
      </c>
      <c r="E13">
        <v>278.64999999999998</v>
      </c>
      <c r="F13">
        <v>38.849998474121001</v>
      </c>
      <c r="G13">
        <v>10.8339834213256</v>
      </c>
      <c r="H13">
        <v>38.849998474121001</v>
      </c>
      <c r="J13" s="1">
        <v>42842</v>
      </c>
      <c r="K13">
        <v>278.64999999999998</v>
      </c>
      <c r="L13">
        <v>299.64999999999998</v>
      </c>
      <c r="M13">
        <v>289.48398342132498</v>
      </c>
      <c r="N13">
        <v>317.49999847412101</v>
      </c>
      <c r="O13">
        <f t="shared" si="0"/>
        <v>294.56699171066248</v>
      </c>
      <c r="P13">
        <f t="shared" si="1"/>
        <v>1</v>
      </c>
      <c r="Q13">
        <f t="shared" si="2"/>
        <v>1</v>
      </c>
      <c r="R13">
        <f t="shared" si="3"/>
        <v>1</v>
      </c>
      <c r="S13">
        <f t="shared" si="4"/>
        <v>784.89709943849402</v>
      </c>
      <c r="T13">
        <f t="shared" si="5"/>
        <v>318.62244552612333</v>
      </c>
      <c r="U13">
        <f t="shared" si="6"/>
        <v>525.922799212835</v>
      </c>
    </row>
    <row r="14" spans="1:21" x14ac:dyDescent="0.3">
      <c r="A14" s="1">
        <v>42843</v>
      </c>
      <c r="B14" s="1">
        <v>42934</v>
      </c>
      <c r="C14">
        <v>292.903599357605</v>
      </c>
      <c r="D14">
        <v>318.05000076293902</v>
      </c>
      <c r="E14">
        <v>278.35000000000002</v>
      </c>
      <c r="F14">
        <v>39.700000762939403</v>
      </c>
      <c r="G14">
        <v>14.553599357604901</v>
      </c>
      <c r="H14">
        <v>39.700000762939403</v>
      </c>
      <c r="J14" s="1">
        <v>42843</v>
      </c>
      <c r="K14">
        <v>278.35000000000002</v>
      </c>
      <c r="L14">
        <v>299.25</v>
      </c>
      <c r="M14">
        <v>292.903599357605</v>
      </c>
      <c r="N14">
        <v>318.05000076293902</v>
      </c>
      <c r="O14">
        <f t="shared" si="0"/>
        <v>296.0767996788025</v>
      </c>
      <c r="P14">
        <f t="shared" si="1"/>
        <v>1</v>
      </c>
      <c r="Q14">
        <f t="shared" si="2"/>
        <v>1</v>
      </c>
      <c r="R14">
        <f t="shared" si="3"/>
        <v>1</v>
      </c>
      <c r="S14">
        <f t="shared" si="4"/>
        <v>632.34150363818469</v>
      </c>
      <c r="T14">
        <f t="shared" si="5"/>
        <v>353.44002868650779</v>
      </c>
      <c r="U14">
        <f t="shared" si="6"/>
        <v>482.8215658838983</v>
      </c>
    </row>
    <row r="15" spans="1:21" x14ac:dyDescent="0.3">
      <c r="A15" s="1">
        <v>42844</v>
      </c>
      <c r="B15" s="1">
        <v>42935</v>
      </c>
      <c r="C15">
        <v>301.52851829528799</v>
      </c>
      <c r="D15">
        <v>318.699998474121</v>
      </c>
      <c r="E15">
        <v>276.85000000000002</v>
      </c>
      <c r="F15">
        <v>41.849998474121001</v>
      </c>
      <c r="G15">
        <v>24.678518295288001</v>
      </c>
      <c r="H15">
        <v>41.849998474121001</v>
      </c>
      <c r="J15" s="1">
        <v>42844</v>
      </c>
      <c r="K15">
        <v>276.85000000000002</v>
      </c>
      <c r="L15">
        <v>299.5</v>
      </c>
      <c r="M15">
        <v>301.52851829528799</v>
      </c>
      <c r="N15">
        <v>318.699998474121</v>
      </c>
      <c r="O15">
        <f t="shared" si="0"/>
        <v>300.514259147644</v>
      </c>
      <c r="P15">
        <f t="shared" si="1"/>
        <v>1</v>
      </c>
      <c r="Q15">
        <f t="shared" si="2"/>
        <v>1</v>
      </c>
      <c r="R15">
        <f t="shared" si="3"/>
        <v>1</v>
      </c>
      <c r="S15">
        <f t="shared" si="4"/>
        <v>294.85973153205487</v>
      </c>
      <c r="T15">
        <f t="shared" si="5"/>
        <v>368.63994140624885</v>
      </c>
      <c r="U15">
        <f t="shared" si="6"/>
        <v>330.72111485057235</v>
      </c>
    </row>
    <row r="16" spans="1:21" x14ac:dyDescent="0.3">
      <c r="A16" s="1">
        <v>42845</v>
      </c>
      <c r="B16" s="1">
        <v>42936</v>
      </c>
      <c r="C16">
        <v>294.514097213745</v>
      </c>
      <c r="D16">
        <v>319.59999847412098</v>
      </c>
      <c r="E16">
        <v>278.25</v>
      </c>
      <c r="F16">
        <v>41.349998474121001</v>
      </c>
      <c r="G16">
        <v>16.264097213745099</v>
      </c>
      <c r="H16">
        <v>41.349998474121001</v>
      </c>
      <c r="J16" s="1">
        <v>42845</v>
      </c>
      <c r="K16">
        <v>278.25</v>
      </c>
      <c r="L16">
        <v>298.64999999999998</v>
      </c>
      <c r="M16">
        <v>294.514097213745</v>
      </c>
      <c r="N16">
        <v>319.59999847412098</v>
      </c>
      <c r="O16">
        <f t="shared" si="0"/>
        <v>296.58204860687249</v>
      </c>
      <c r="P16">
        <f t="shared" si="1"/>
        <v>1</v>
      </c>
      <c r="Q16">
        <f t="shared" si="2"/>
        <v>1</v>
      </c>
      <c r="R16">
        <f t="shared" si="3"/>
        <v>1</v>
      </c>
      <c r="S16">
        <f t="shared" si="4"/>
        <v>629.30244204533301</v>
      </c>
      <c r="T16">
        <f t="shared" si="5"/>
        <v>438.90243606567236</v>
      </c>
      <c r="U16">
        <f t="shared" si="6"/>
        <v>529.82601609116477</v>
      </c>
    </row>
    <row r="17" spans="1:21" x14ac:dyDescent="0.3">
      <c r="A17" s="1">
        <v>42846</v>
      </c>
      <c r="B17" s="1">
        <v>42937</v>
      </c>
      <c r="C17">
        <v>299.58297271728497</v>
      </c>
      <c r="D17">
        <v>321.10000152587799</v>
      </c>
      <c r="E17">
        <v>280.7</v>
      </c>
      <c r="F17">
        <v>40.400001525878899</v>
      </c>
      <c r="G17">
        <v>18.882972717285099</v>
      </c>
      <c r="H17">
        <v>40.400001525878899</v>
      </c>
      <c r="J17" s="1">
        <v>42846</v>
      </c>
      <c r="K17">
        <v>280.7</v>
      </c>
      <c r="L17">
        <v>298.25</v>
      </c>
      <c r="M17">
        <v>299.58297271728497</v>
      </c>
      <c r="N17">
        <v>321.10000152587799</v>
      </c>
      <c r="O17">
        <f t="shared" si="0"/>
        <v>298.91648635864249</v>
      </c>
      <c r="P17">
        <f t="shared" si="1"/>
        <v>1</v>
      </c>
      <c r="Q17">
        <f t="shared" si="2"/>
        <v>1</v>
      </c>
      <c r="R17">
        <f t="shared" si="3"/>
        <v>1</v>
      </c>
      <c r="S17">
        <f t="shared" si="4"/>
        <v>462.9825287498216</v>
      </c>
      <c r="T17">
        <f t="shared" si="5"/>
        <v>522.12256973262629</v>
      </c>
      <c r="U17">
        <f t="shared" si="6"/>
        <v>492.10834517496738</v>
      </c>
    </row>
    <row r="18" spans="1:21" x14ac:dyDescent="0.3">
      <c r="A18" s="1">
        <v>42849</v>
      </c>
      <c r="B18" s="1">
        <v>42940</v>
      </c>
      <c r="C18">
        <v>296.10636959075902</v>
      </c>
      <c r="D18">
        <v>321.25000152587802</v>
      </c>
      <c r="E18">
        <v>281.85000000000002</v>
      </c>
      <c r="F18">
        <v>39.400001525878899</v>
      </c>
      <c r="G18">
        <v>14.256369590759199</v>
      </c>
      <c r="H18">
        <v>39.400001525878899</v>
      </c>
      <c r="J18" s="1">
        <v>42849</v>
      </c>
      <c r="K18">
        <v>281.85000000000002</v>
      </c>
      <c r="L18">
        <v>300.60000000000002</v>
      </c>
      <c r="M18">
        <v>296.10636959075902</v>
      </c>
      <c r="N18">
        <v>321.25000152587802</v>
      </c>
      <c r="O18">
        <f t="shared" si="0"/>
        <v>298.35318479537955</v>
      </c>
      <c r="P18">
        <f t="shared" si="1"/>
        <v>1</v>
      </c>
      <c r="Q18">
        <f t="shared" si="2"/>
        <v>1</v>
      </c>
      <c r="R18">
        <f t="shared" si="3"/>
        <v>1</v>
      </c>
      <c r="S18">
        <f t="shared" si="4"/>
        <v>632.20222688873616</v>
      </c>
      <c r="T18">
        <f t="shared" si="5"/>
        <v>426.42256301876358</v>
      </c>
      <c r="U18">
        <f t="shared" si="6"/>
        <v>524.26421639003468</v>
      </c>
    </row>
    <row r="19" spans="1:21" x14ac:dyDescent="0.3">
      <c r="A19" s="1">
        <v>42850</v>
      </c>
      <c r="B19" s="1">
        <v>42941</v>
      </c>
      <c r="C19">
        <v>296.64853305816598</v>
      </c>
      <c r="D19">
        <v>319.65000076293899</v>
      </c>
      <c r="E19">
        <v>285.2</v>
      </c>
      <c r="F19">
        <v>34.450000762939403</v>
      </c>
      <c r="G19">
        <v>11.4485330581665</v>
      </c>
      <c r="H19">
        <v>34.450000762939403</v>
      </c>
      <c r="J19" s="1">
        <v>42850</v>
      </c>
      <c r="K19">
        <v>285.2</v>
      </c>
      <c r="L19">
        <v>301.05</v>
      </c>
      <c r="M19">
        <v>296.64853305816598</v>
      </c>
      <c r="N19">
        <v>319.65000076293899</v>
      </c>
      <c r="O19">
        <f t="shared" si="0"/>
        <v>298.84926652908302</v>
      </c>
      <c r="P19">
        <f t="shared" si="1"/>
        <v>1</v>
      </c>
      <c r="Q19">
        <f t="shared" si="2"/>
        <v>1</v>
      </c>
      <c r="R19">
        <f t="shared" si="3"/>
        <v>1</v>
      </c>
      <c r="S19">
        <f t="shared" ref="S19:S52" si="7">POWER(M19-N19, 2)</f>
        <v>529.06751657371558</v>
      </c>
      <c r="T19">
        <f t="shared" ref="T19:T52" si="8">POWER(N19-L19,2)</f>
        <v>345.96002838133046</v>
      </c>
      <c r="U19">
        <f t="shared" ref="U19:U52" si="9">POWER(O19-N19, 2)</f>
        <v>432.67054466750739</v>
      </c>
    </row>
    <row r="20" spans="1:21" x14ac:dyDescent="0.3">
      <c r="A20" s="1">
        <v>42851</v>
      </c>
      <c r="B20" s="1">
        <v>42942</v>
      </c>
      <c r="C20">
        <v>293.30259437561</v>
      </c>
      <c r="D20">
        <v>318.95</v>
      </c>
      <c r="E20">
        <v>286.45</v>
      </c>
      <c r="F20">
        <v>32.5</v>
      </c>
      <c r="G20">
        <v>6.8525943756103498</v>
      </c>
      <c r="H20">
        <v>32.5</v>
      </c>
      <c r="J20" s="1">
        <v>42851</v>
      </c>
      <c r="K20">
        <v>286.45</v>
      </c>
      <c r="L20">
        <v>301.89999999999998</v>
      </c>
      <c r="M20">
        <v>293.30259437561</v>
      </c>
      <c r="N20">
        <v>318.95</v>
      </c>
      <c r="O20">
        <f t="shared" si="0"/>
        <v>297.60129718780502</v>
      </c>
      <c r="P20">
        <f t="shared" si="1"/>
        <v>1</v>
      </c>
      <c r="Q20">
        <f t="shared" si="2"/>
        <v>1</v>
      </c>
      <c r="R20">
        <f t="shared" si="3"/>
        <v>1</v>
      </c>
      <c r="S20">
        <f t="shared" si="7"/>
        <v>657.78941526199128</v>
      </c>
      <c r="T20">
        <f t="shared" si="8"/>
        <v>290.70250000000038</v>
      </c>
      <c r="U20">
        <f t="shared" si="9"/>
        <v>455.7671117634215</v>
      </c>
    </row>
    <row r="21" spans="1:21" x14ac:dyDescent="0.3">
      <c r="A21" s="1">
        <v>42852</v>
      </c>
      <c r="B21" s="1">
        <v>42943</v>
      </c>
      <c r="C21">
        <v>294.89818344116202</v>
      </c>
      <c r="D21">
        <v>319.85000000000002</v>
      </c>
      <c r="E21">
        <v>287.35000000000002</v>
      </c>
      <c r="F21">
        <v>32.5</v>
      </c>
      <c r="G21">
        <v>7.5481834411620996</v>
      </c>
      <c r="H21">
        <v>32.5</v>
      </c>
      <c r="J21" s="1">
        <v>42852</v>
      </c>
      <c r="K21">
        <v>287.35000000000002</v>
      </c>
      <c r="L21">
        <v>305.5</v>
      </c>
      <c r="M21">
        <v>294.89818344116202</v>
      </c>
      <c r="N21">
        <v>319.85000000000002</v>
      </c>
      <c r="O21">
        <f t="shared" si="0"/>
        <v>300.19909172058101</v>
      </c>
      <c r="P21">
        <f t="shared" si="1"/>
        <v>1</v>
      </c>
      <c r="Q21">
        <f t="shared" si="2"/>
        <v>1</v>
      </c>
      <c r="R21">
        <f t="shared" si="3"/>
        <v>1</v>
      </c>
      <c r="S21">
        <f t="shared" si="7"/>
        <v>622.59314958590244</v>
      </c>
      <c r="T21">
        <f t="shared" si="8"/>
        <v>205.92250000000064</v>
      </c>
      <c r="U21">
        <f t="shared" si="9"/>
        <v>386.15819620613871</v>
      </c>
    </row>
    <row r="22" spans="1:21" x14ac:dyDescent="0.3">
      <c r="A22" s="1">
        <v>42853</v>
      </c>
      <c r="B22" s="1">
        <v>42944</v>
      </c>
      <c r="C22">
        <v>296.45607929229698</v>
      </c>
      <c r="D22">
        <v>312.55</v>
      </c>
      <c r="E22">
        <v>287.8</v>
      </c>
      <c r="F22">
        <v>24.75</v>
      </c>
      <c r="G22">
        <v>8.6560792922973597</v>
      </c>
      <c r="H22">
        <v>24.75</v>
      </c>
      <c r="J22" s="1">
        <v>42853</v>
      </c>
      <c r="K22">
        <v>287.8</v>
      </c>
      <c r="L22">
        <v>307.35000000000002</v>
      </c>
      <c r="M22">
        <v>296.45607929229698</v>
      </c>
      <c r="N22">
        <v>312.55</v>
      </c>
      <c r="O22">
        <f t="shared" si="0"/>
        <v>301.9030396461485</v>
      </c>
      <c r="P22">
        <f t="shared" si="1"/>
        <v>1</v>
      </c>
      <c r="Q22">
        <f t="shared" si="2"/>
        <v>1</v>
      </c>
      <c r="R22">
        <f t="shared" si="3"/>
        <v>1</v>
      </c>
      <c r="S22">
        <f t="shared" si="7"/>
        <v>259.01428374583253</v>
      </c>
      <c r="T22">
        <f t="shared" si="8"/>
        <v>27.039999999999882</v>
      </c>
      <c r="U22">
        <f t="shared" si="9"/>
        <v>113.35776477648591</v>
      </c>
    </row>
    <row r="23" spans="1:21" x14ac:dyDescent="0.3">
      <c r="A23" s="1">
        <v>42856</v>
      </c>
      <c r="B23" s="1">
        <v>42947</v>
      </c>
      <c r="C23">
        <v>297.95782070159902</v>
      </c>
      <c r="D23">
        <v>313.55</v>
      </c>
      <c r="E23">
        <v>287.8</v>
      </c>
      <c r="F23">
        <v>25.75</v>
      </c>
      <c r="G23">
        <v>10.1578207015991</v>
      </c>
      <c r="H23">
        <v>25.75</v>
      </c>
      <c r="J23" s="1">
        <v>42856</v>
      </c>
      <c r="K23">
        <v>287.8</v>
      </c>
      <c r="L23">
        <v>306.8</v>
      </c>
      <c r="M23">
        <v>297.95782070159902</v>
      </c>
      <c r="N23">
        <v>313.55</v>
      </c>
      <c r="O23">
        <f t="shared" si="0"/>
        <v>302.37891035079952</v>
      </c>
      <c r="P23">
        <f t="shared" si="1"/>
        <v>1</v>
      </c>
      <c r="Q23">
        <f t="shared" si="2"/>
        <v>1</v>
      </c>
      <c r="R23">
        <f t="shared" si="3"/>
        <v>1</v>
      </c>
      <c r="S23">
        <f t="shared" si="7"/>
        <v>243.11605527348448</v>
      </c>
      <c r="T23">
        <f t="shared" si="8"/>
        <v>45.5625</v>
      </c>
      <c r="U23">
        <f t="shared" si="9"/>
        <v>124.79324395047446</v>
      </c>
    </row>
    <row r="24" spans="1:21" x14ac:dyDescent="0.3">
      <c r="A24" s="1">
        <v>42857</v>
      </c>
      <c r="B24" s="1">
        <v>42948</v>
      </c>
      <c r="C24">
        <v>296.27935628890901</v>
      </c>
      <c r="D24">
        <v>316.55</v>
      </c>
      <c r="E24">
        <v>290.05</v>
      </c>
      <c r="F24">
        <v>26.5</v>
      </c>
      <c r="G24">
        <v>6.2293562889099103</v>
      </c>
      <c r="H24">
        <v>26.5</v>
      </c>
      <c r="J24" s="1">
        <v>42857</v>
      </c>
      <c r="K24">
        <v>290.05</v>
      </c>
      <c r="L24">
        <v>304.35000000000002</v>
      </c>
      <c r="M24">
        <v>296.27935628890901</v>
      </c>
      <c r="N24">
        <v>316.55</v>
      </c>
      <c r="O24">
        <f t="shared" si="0"/>
        <v>300.31467814445455</v>
      </c>
      <c r="P24">
        <f t="shared" si="1"/>
        <v>1</v>
      </c>
      <c r="Q24">
        <f t="shared" si="2"/>
        <v>1</v>
      </c>
      <c r="R24">
        <f t="shared" si="3"/>
        <v>1</v>
      </c>
      <c r="S24">
        <f t="shared" si="7"/>
        <v>410.89899646199302</v>
      </c>
      <c r="T24">
        <f t="shared" si="8"/>
        <v>148.83999999999972</v>
      </c>
      <c r="U24">
        <f t="shared" si="9"/>
        <v>263.5856757531522</v>
      </c>
    </row>
    <row r="25" spans="1:21" x14ac:dyDescent="0.3">
      <c r="A25" s="1">
        <v>42858</v>
      </c>
      <c r="B25" s="1">
        <v>42949</v>
      </c>
      <c r="C25">
        <v>295.616951751709</v>
      </c>
      <c r="D25">
        <v>317.150000381469</v>
      </c>
      <c r="E25">
        <v>290.05</v>
      </c>
      <c r="F25">
        <v>27.100000381469702</v>
      </c>
      <c r="G25">
        <v>5.5669517517089799</v>
      </c>
      <c r="H25">
        <v>27.100000381469702</v>
      </c>
      <c r="J25" s="1">
        <v>42858</v>
      </c>
      <c r="K25">
        <v>290.05</v>
      </c>
      <c r="L25">
        <v>305.05</v>
      </c>
      <c r="M25">
        <v>295.616951751709</v>
      </c>
      <c r="N25">
        <v>317.150000381469</v>
      </c>
      <c r="O25">
        <f t="shared" si="0"/>
        <v>300.3334758758545</v>
      </c>
      <c r="P25">
        <f t="shared" si="1"/>
        <v>1</v>
      </c>
      <c r="Q25">
        <f t="shared" si="2"/>
        <v>1</v>
      </c>
      <c r="R25">
        <f t="shared" si="3"/>
        <v>1</v>
      </c>
      <c r="S25">
        <f t="shared" si="7"/>
        <v>463.67218329160914</v>
      </c>
      <c r="T25">
        <f t="shared" si="8"/>
        <v>146.41000923154965</v>
      </c>
      <c r="U25">
        <f t="shared" si="9"/>
        <v>282.79549644793286</v>
      </c>
    </row>
    <row r="26" spans="1:21" x14ac:dyDescent="0.3">
      <c r="A26" s="1">
        <v>42859</v>
      </c>
      <c r="B26" s="1">
        <v>42950</v>
      </c>
      <c r="C26">
        <v>297.20221614837601</v>
      </c>
      <c r="D26">
        <v>311.64999961852999</v>
      </c>
      <c r="E26">
        <v>292.75</v>
      </c>
      <c r="F26">
        <v>18.899999618530199</v>
      </c>
      <c r="G26">
        <v>4.4522161483764604</v>
      </c>
      <c r="H26">
        <v>18.899999618530199</v>
      </c>
      <c r="J26" s="1">
        <v>42859</v>
      </c>
      <c r="K26">
        <v>292.75</v>
      </c>
      <c r="L26">
        <v>304.14999999999998</v>
      </c>
      <c r="M26">
        <v>297.20221614837601</v>
      </c>
      <c r="N26">
        <v>311.64999961852999</v>
      </c>
      <c r="O26">
        <f t="shared" si="0"/>
        <v>300.67610807418799</v>
      </c>
      <c r="P26">
        <f t="shared" si="1"/>
        <v>1</v>
      </c>
      <c r="Q26">
        <f t="shared" si="2"/>
        <v>1</v>
      </c>
      <c r="R26">
        <f t="shared" si="3"/>
        <v>1</v>
      </c>
      <c r="S26">
        <f t="shared" si="7"/>
        <v>208.73844720045454</v>
      </c>
      <c r="T26">
        <f t="shared" si="8"/>
        <v>56.249994277950321</v>
      </c>
      <c r="U26">
        <f t="shared" si="9"/>
        <v>120.42629562698075</v>
      </c>
    </row>
    <row r="27" spans="1:21" x14ac:dyDescent="0.3">
      <c r="A27" s="1">
        <v>42860</v>
      </c>
      <c r="B27" s="1">
        <v>42951</v>
      </c>
      <c r="C27">
        <v>295.613543987274</v>
      </c>
      <c r="D27">
        <v>312.85000038146899</v>
      </c>
      <c r="E27">
        <v>292.75</v>
      </c>
      <c r="F27">
        <v>20.100000381469702</v>
      </c>
      <c r="G27">
        <v>2.8635439872741699</v>
      </c>
      <c r="H27">
        <v>20.100000381469702</v>
      </c>
      <c r="J27" s="1">
        <v>42860</v>
      </c>
      <c r="K27">
        <v>292.75</v>
      </c>
      <c r="L27">
        <v>307.75</v>
      </c>
      <c r="M27">
        <v>295.613543987274</v>
      </c>
      <c r="N27">
        <v>312.85000038146899</v>
      </c>
      <c r="O27">
        <f t="shared" si="0"/>
        <v>301.68177199363697</v>
      </c>
      <c r="P27">
        <f t="shared" si="1"/>
        <v>1</v>
      </c>
      <c r="Q27">
        <f t="shared" si="2"/>
        <v>1</v>
      </c>
      <c r="R27">
        <f t="shared" si="3"/>
        <v>1</v>
      </c>
      <c r="S27">
        <f t="shared" si="7"/>
        <v>297.09542902898528</v>
      </c>
      <c r="T27">
        <f t="shared" si="8"/>
        <v>26.010003890983818</v>
      </c>
      <c r="U27">
        <f t="shared" si="9"/>
        <v>124.72932532277692</v>
      </c>
    </row>
    <row r="28" spans="1:21" x14ac:dyDescent="0.3">
      <c r="A28" s="1">
        <v>42863</v>
      </c>
      <c r="B28" s="1">
        <v>42954</v>
      </c>
      <c r="C28">
        <v>301.36871494054702</v>
      </c>
      <c r="D28">
        <v>312.89999980926501</v>
      </c>
      <c r="E28">
        <v>300.7</v>
      </c>
      <c r="F28">
        <v>12.199999809265099</v>
      </c>
      <c r="G28">
        <v>0.668714940547943</v>
      </c>
      <c r="H28">
        <v>12.199999809265099</v>
      </c>
      <c r="J28" s="1">
        <v>42863</v>
      </c>
      <c r="K28">
        <v>300.7</v>
      </c>
      <c r="L28">
        <v>307.60000000000002</v>
      </c>
      <c r="M28">
        <v>301.36871494054702</v>
      </c>
      <c r="N28">
        <v>312.89999980926501</v>
      </c>
      <c r="O28">
        <f t="shared" si="0"/>
        <v>304.48435747027349</v>
      </c>
      <c r="P28">
        <f t="shared" si="1"/>
        <v>1</v>
      </c>
      <c r="Q28">
        <f t="shared" si="2"/>
        <v>1</v>
      </c>
      <c r="R28">
        <f t="shared" si="3"/>
        <v>1</v>
      </c>
      <c r="S28">
        <f t="shared" si="7"/>
        <v>132.97053072352446</v>
      </c>
      <c r="T28">
        <f t="shared" si="8"/>
        <v>28.08999797820892</v>
      </c>
      <c r="U28">
        <f t="shared" si="9"/>
        <v>70.823035977826621</v>
      </c>
    </row>
    <row r="29" spans="1:21" x14ac:dyDescent="0.3">
      <c r="A29" s="1">
        <v>42864</v>
      </c>
      <c r="B29" s="1">
        <v>42955</v>
      </c>
      <c r="C29">
        <v>299.65787847041997</v>
      </c>
      <c r="D29">
        <v>312.84999961852998</v>
      </c>
      <c r="E29">
        <v>300.7</v>
      </c>
      <c r="F29">
        <v>-12.149999618530201</v>
      </c>
      <c r="G29">
        <v>-1.0421215295791599</v>
      </c>
      <c r="H29">
        <v>12.149999618530201</v>
      </c>
      <c r="J29" s="1">
        <v>42864</v>
      </c>
      <c r="K29">
        <v>300.7</v>
      </c>
      <c r="L29">
        <v>307.60000000000002</v>
      </c>
      <c r="M29">
        <v>299.65787847041997</v>
      </c>
      <c r="N29">
        <v>312.84999961852998</v>
      </c>
      <c r="O29">
        <f t="shared" si="0"/>
        <v>303.62893923521</v>
      </c>
      <c r="P29">
        <f t="shared" si="1"/>
        <v>0</v>
      </c>
      <c r="Q29">
        <f t="shared" si="2"/>
        <v>1</v>
      </c>
      <c r="R29">
        <f t="shared" si="3"/>
        <v>1</v>
      </c>
      <c r="S29">
        <f t="shared" si="7"/>
        <v>174.03206038641122</v>
      </c>
      <c r="T29">
        <f t="shared" si="8"/>
        <v>27.562495994564674</v>
      </c>
      <c r="U29">
        <f t="shared" si="9"/>
        <v>85.027954592833211</v>
      </c>
    </row>
    <row r="30" spans="1:21" x14ac:dyDescent="0.3">
      <c r="A30" s="1">
        <v>42865</v>
      </c>
      <c r="B30" s="1">
        <v>42956</v>
      </c>
      <c r="C30">
        <v>300.40813798904401</v>
      </c>
      <c r="D30">
        <v>308.64999980926501</v>
      </c>
      <c r="E30">
        <v>296.45</v>
      </c>
      <c r="F30">
        <v>12.199999809265099</v>
      </c>
      <c r="G30">
        <v>3.9581379890441801</v>
      </c>
      <c r="H30">
        <v>12.199999809265099</v>
      </c>
      <c r="J30" s="1">
        <v>42865</v>
      </c>
      <c r="K30">
        <v>296.45</v>
      </c>
      <c r="L30">
        <v>305.39999999999998</v>
      </c>
      <c r="M30">
        <v>300.40813798904401</v>
      </c>
      <c r="N30">
        <v>308.64999980926501</v>
      </c>
      <c r="O30">
        <f t="shared" si="0"/>
        <v>302.90406899452199</v>
      </c>
      <c r="P30">
        <f t="shared" si="1"/>
        <v>1</v>
      </c>
      <c r="Q30">
        <f t="shared" si="2"/>
        <v>1</v>
      </c>
      <c r="R30">
        <f t="shared" si="3"/>
        <v>1</v>
      </c>
      <c r="S30">
        <f t="shared" si="7"/>
        <v>67.928286263616684</v>
      </c>
      <c r="T30">
        <f t="shared" si="8"/>
        <v>10.562498760222759</v>
      </c>
      <c r="U30">
        <f t="shared" si="9"/>
        <v>33.015720927813376</v>
      </c>
    </row>
    <row r="31" spans="1:21" x14ac:dyDescent="0.3">
      <c r="A31" s="1">
        <v>42866</v>
      </c>
      <c r="B31" s="1">
        <v>42957</v>
      </c>
      <c r="C31">
        <v>299.69475806355399</v>
      </c>
      <c r="D31">
        <v>307.250000095367</v>
      </c>
      <c r="E31">
        <v>300.10000000000002</v>
      </c>
      <c r="F31">
        <v>-7.1500000953674299</v>
      </c>
      <c r="G31">
        <v>-0.40524193644523598</v>
      </c>
      <c r="H31">
        <v>7.1500000953674299</v>
      </c>
      <c r="J31" s="1">
        <v>42866</v>
      </c>
      <c r="K31">
        <v>300.10000000000002</v>
      </c>
      <c r="L31">
        <v>306.64999999999998</v>
      </c>
      <c r="M31">
        <v>299.69475806355399</v>
      </c>
      <c r="N31">
        <v>307.250000095367</v>
      </c>
      <c r="O31">
        <f t="shared" si="0"/>
        <v>303.17237903177698</v>
      </c>
      <c r="P31">
        <f t="shared" si="1"/>
        <v>0</v>
      </c>
      <c r="Q31">
        <f t="shared" si="2"/>
        <v>1</v>
      </c>
      <c r="R31">
        <f t="shared" si="3"/>
        <v>1</v>
      </c>
      <c r="S31">
        <f t="shared" si="7"/>
        <v>57.08168215927396</v>
      </c>
      <c r="T31">
        <f t="shared" si="8"/>
        <v>0.36000011444043595</v>
      </c>
      <c r="U31">
        <f t="shared" si="9"/>
        <v>16.62699353823297</v>
      </c>
    </row>
    <row r="32" spans="1:21" x14ac:dyDescent="0.3">
      <c r="A32" s="1">
        <v>42867</v>
      </c>
      <c r="B32" s="1">
        <v>42958</v>
      </c>
      <c r="C32">
        <v>296.06667270660398</v>
      </c>
      <c r="D32">
        <v>301.49999990463198</v>
      </c>
      <c r="E32">
        <v>298.64999999999998</v>
      </c>
      <c r="F32">
        <v>-2.8499999046325599</v>
      </c>
      <c r="G32">
        <v>-2.5833272933959899</v>
      </c>
      <c r="H32">
        <v>2.8499999046325599</v>
      </c>
      <c r="J32" s="1">
        <v>42867</v>
      </c>
      <c r="K32">
        <v>298.64999999999998</v>
      </c>
      <c r="L32">
        <v>308.55</v>
      </c>
      <c r="M32">
        <v>296.06667270660398</v>
      </c>
      <c r="N32">
        <v>301.49999990463198</v>
      </c>
      <c r="O32">
        <f t="shared" si="0"/>
        <v>302.30833635330202</v>
      </c>
      <c r="P32">
        <f t="shared" si="1"/>
        <v>0</v>
      </c>
      <c r="Q32">
        <f t="shared" si="2"/>
        <v>1</v>
      </c>
      <c r="R32">
        <f t="shared" si="3"/>
        <v>1</v>
      </c>
      <c r="S32">
        <f t="shared" si="7"/>
        <v>29.521044440830753</v>
      </c>
      <c r="T32">
        <f t="shared" si="8"/>
        <v>49.702501344689288</v>
      </c>
      <c r="U32">
        <f t="shared" si="9"/>
        <v>0.65340781424850436</v>
      </c>
    </row>
    <row r="33" spans="1:21" x14ac:dyDescent="0.3">
      <c r="A33" s="1">
        <v>42870</v>
      </c>
      <c r="B33" s="1">
        <v>42961</v>
      </c>
      <c r="C33">
        <v>296.53154840469301</v>
      </c>
      <c r="D33">
        <v>304.599999809265</v>
      </c>
      <c r="E33">
        <v>299.64999999999998</v>
      </c>
      <c r="F33">
        <v>-4.9499998092651296</v>
      </c>
      <c r="G33">
        <v>-3.1184515953063898</v>
      </c>
      <c r="H33">
        <v>4.9499998092651296</v>
      </c>
      <c r="J33" s="1">
        <v>42870</v>
      </c>
      <c r="K33">
        <v>299.64999999999998</v>
      </c>
      <c r="L33">
        <v>305.3</v>
      </c>
      <c r="M33">
        <v>296.53154840469301</v>
      </c>
      <c r="N33">
        <v>304.599999809265</v>
      </c>
      <c r="O33">
        <f t="shared" si="0"/>
        <v>300.91577420234648</v>
      </c>
      <c r="P33">
        <f t="shared" si="1"/>
        <v>0</v>
      </c>
      <c r="Q33">
        <f t="shared" si="2"/>
        <v>1</v>
      </c>
      <c r="R33">
        <f t="shared" si="3"/>
        <v>1</v>
      </c>
      <c r="S33">
        <f t="shared" si="7"/>
        <v>65.09990806793968</v>
      </c>
      <c r="T33">
        <f t="shared" si="8"/>
        <v>0.49000026702905186</v>
      </c>
      <c r="U33">
        <f t="shared" si="9"/>
        <v>13.573518322674113</v>
      </c>
    </row>
    <row r="34" spans="1:21" x14ac:dyDescent="0.3">
      <c r="A34" s="1">
        <v>42871</v>
      </c>
      <c r="B34" s="1">
        <v>42962</v>
      </c>
      <c r="C34">
        <v>296.24389600753699</v>
      </c>
      <c r="D34">
        <v>304.599999904632</v>
      </c>
      <c r="E34">
        <v>299.25</v>
      </c>
      <c r="F34">
        <v>-5.3499999046325604</v>
      </c>
      <c r="G34">
        <v>-3.0061039924621502</v>
      </c>
      <c r="H34">
        <v>5.3499999046325604</v>
      </c>
      <c r="J34" s="1">
        <v>42871</v>
      </c>
      <c r="K34">
        <v>299.25</v>
      </c>
      <c r="L34">
        <v>307.05</v>
      </c>
      <c r="M34">
        <v>296.24389600753699</v>
      </c>
      <c r="N34">
        <v>304.599999904632</v>
      </c>
      <c r="O34">
        <f t="shared" si="0"/>
        <v>301.6469480037685</v>
      </c>
      <c r="P34">
        <f t="shared" si="1"/>
        <v>0</v>
      </c>
      <c r="Q34">
        <f t="shared" si="2"/>
        <v>1</v>
      </c>
      <c r="R34">
        <f t="shared" si="3"/>
        <v>1</v>
      </c>
      <c r="S34">
        <f t="shared" si="7"/>
        <v>69.824472339046423</v>
      </c>
      <c r="T34">
        <f t="shared" si="8"/>
        <v>6.0025004673032649</v>
      </c>
      <c r="U34">
        <f t="shared" si="9"/>
        <v>8.7205155291935288</v>
      </c>
    </row>
    <row r="35" spans="1:21" x14ac:dyDescent="0.3">
      <c r="A35" s="1">
        <v>42872</v>
      </c>
      <c r="B35" s="1">
        <v>42963</v>
      </c>
      <c r="C35">
        <v>297.24523830413801</v>
      </c>
      <c r="D35">
        <v>306.25</v>
      </c>
      <c r="E35">
        <v>299.5</v>
      </c>
      <c r="F35">
        <v>-6.75</v>
      </c>
      <c r="G35">
        <v>-2.2547616958618102</v>
      </c>
      <c r="H35">
        <v>6.75</v>
      </c>
      <c r="J35" s="1">
        <v>42872</v>
      </c>
      <c r="K35">
        <v>299.5</v>
      </c>
      <c r="L35">
        <v>307.39999999999998</v>
      </c>
      <c r="M35">
        <v>297.24523830413801</v>
      </c>
      <c r="N35">
        <v>306.25</v>
      </c>
      <c r="O35">
        <f t="shared" si="0"/>
        <v>302.32261915206902</v>
      </c>
      <c r="P35">
        <f t="shared" si="1"/>
        <v>0</v>
      </c>
      <c r="Q35">
        <f t="shared" si="2"/>
        <v>1</v>
      </c>
      <c r="R35">
        <f t="shared" si="3"/>
        <v>1</v>
      </c>
      <c r="S35">
        <f t="shared" si="7"/>
        <v>81.085733199263245</v>
      </c>
      <c r="T35">
        <f t="shared" si="8"/>
        <v>1.3224999999999476</v>
      </c>
      <c r="U35">
        <f t="shared" si="9"/>
        <v>15.424320324695035</v>
      </c>
    </row>
    <row r="36" spans="1:21" x14ac:dyDescent="0.3">
      <c r="A36" s="1">
        <v>42873</v>
      </c>
      <c r="B36" s="1">
        <v>42964</v>
      </c>
      <c r="C36">
        <v>300.576603913307</v>
      </c>
      <c r="D36">
        <v>307.89999999999998</v>
      </c>
      <c r="E36">
        <v>298.64999999999998</v>
      </c>
      <c r="F36">
        <v>9.25</v>
      </c>
      <c r="G36">
        <v>1.9266039133071899</v>
      </c>
      <c r="H36">
        <v>9.25</v>
      </c>
      <c r="J36" s="1">
        <v>42873</v>
      </c>
      <c r="K36">
        <v>298.64999999999998</v>
      </c>
      <c r="L36">
        <v>305.64999999999998</v>
      </c>
      <c r="M36">
        <v>300.576603913307</v>
      </c>
      <c r="N36">
        <v>307.89999999999998</v>
      </c>
      <c r="O36">
        <f t="shared" si="0"/>
        <v>303.11330195665346</v>
      </c>
      <c r="P36">
        <f t="shared" si="1"/>
        <v>1</v>
      </c>
      <c r="Q36">
        <f t="shared" si="2"/>
        <v>1</v>
      </c>
      <c r="R36">
        <f t="shared" si="3"/>
        <v>1</v>
      </c>
      <c r="S36">
        <f t="shared" si="7"/>
        <v>53.632130242590065</v>
      </c>
      <c r="T36">
        <f t="shared" si="8"/>
        <v>5.0625</v>
      </c>
      <c r="U36">
        <f t="shared" si="9"/>
        <v>22.91247815817739</v>
      </c>
    </row>
    <row r="37" spans="1:21" x14ac:dyDescent="0.3">
      <c r="A37" s="1">
        <v>42874</v>
      </c>
      <c r="B37" s="1">
        <v>42965</v>
      </c>
      <c r="C37">
        <v>294.83932781219403</v>
      </c>
      <c r="D37">
        <v>307.75</v>
      </c>
      <c r="E37">
        <v>298.25</v>
      </c>
      <c r="F37">
        <v>-9.5</v>
      </c>
      <c r="G37">
        <v>-3.41067218780517</v>
      </c>
      <c r="H37">
        <v>9.5</v>
      </c>
      <c r="J37" s="1">
        <v>42874</v>
      </c>
      <c r="K37">
        <v>298.25</v>
      </c>
      <c r="L37">
        <v>306</v>
      </c>
      <c r="M37">
        <v>294.83932781219403</v>
      </c>
      <c r="N37">
        <v>307.75</v>
      </c>
      <c r="O37">
        <f t="shared" si="0"/>
        <v>300.41966390609701</v>
      </c>
      <c r="P37">
        <f t="shared" si="1"/>
        <v>0</v>
      </c>
      <c r="Q37">
        <f t="shared" si="2"/>
        <v>1</v>
      </c>
      <c r="R37">
        <f t="shared" si="3"/>
        <v>1</v>
      </c>
      <c r="S37">
        <f t="shared" si="7"/>
        <v>166.68545634098663</v>
      </c>
      <c r="T37">
        <f t="shared" si="8"/>
        <v>3.0625</v>
      </c>
      <c r="U37">
        <f t="shared" si="9"/>
        <v>53.733827249576883</v>
      </c>
    </row>
    <row r="38" spans="1:21" x14ac:dyDescent="0.3">
      <c r="A38" s="1">
        <v>42877</v>
      </c>
      <c r="B38" s="1">
        <v>42968</v>
      </c>
      <c r="C38">
        <v>296.60430107116701</v>
      </c>
      <c r="D38">
        <v>307.04999980926499</v>
      </c>
      <c r="E38">
        <v>300.60000000000002</v>
      </c>
      <c r="F38">
        <v>-6.4499998092651296</v>
      </c>
      <c r="G38">
        <v>-3.9956989288329998</v>
      </c>
      <c r="H38">
        <v>6.4499998092651296</v>
      </c>
      <c r="J38" s="1">
        <v>42877</v>
      </c>
      <c r="K38">
        <v>300.60000000000002</v>
      </c>
      <c r="L38">
        <v>307.8</v>
      </c>
      <c r="M38">
        <v>296.60430107116701</v>
      </c>
      <c r="N38">
        <v>307.04999980926499</v>
      </c>
      <c r="O38">
        <f t="shared" si="0"/>
        <v>302.20215053558354</v>
      </c>
      <c r="P38">
        <f t="shared" si="1"/>
        <v>0</v>
      </c>
      <c r="Q38">
        <f t="shared" si="2"/>
        <v>1</v>
      </c>
      <c r="R38">
        <f t="shared" si="3"/>
        <v>1</v>
      </c>
      <c r="S38">
        <f t="shared" si="7"/>
        <v>109.1126221271016</v>
      </c>
      <c r="T38">
        <f t="shared" si="8"/>
        <v>0.56250028610257008</v>
      </c>
      <c r="U38">
        <f t="shared" si="9"/>
        <v>23.501642580333737</v>
      </c>
    </row>
    <row r="39" spans="1:21" x14ac:dyDescent="0.3">
      <c r="A39" s="1">
        <v>42878</v>
      </c>
      <c r="B39" s="1">
        <v>42969</v>
      </c>
      <c r="C39">
        <v>298.30564241409297</v>
      </c>
      <c r="D39">
        <v>308.70000009536699</v>
      </c>
      <c r="E39">
        <v>301.05</v>
      </c>
      <c r="F39">
        <v>-7.6500000953674299</v>
      </c>
      <c r="G39">
        <v>-2.7443575859069802</v>
      </c>
      <c r="H39">
        <v>7.6500000953674299</v>
      </c>
      <c r="J39" s="1">
        <v>42878</v>
      </c>
      <c r="K39">
        <v>301.05</v>
      </c>
      <c r="L39">
        <v>308.10000000000002</v>
      </c>
      <c r="M39">
        <v>298.30564241409297</v>
      </c>
      <c r="N39">
        <v>308.70000009536699</v>
      </c>
      <c r="O39">
        <f t="shared" si="0"/>
        <v>303.2028212070465</v>
      </c>
      <c r="P39">
        <f t="shared" si="1"/>
        <v>0</v>
      </c>
      <c r="Q39">
        <f t="shared" si="2"/>
        <v>1</v>
      </c>
      <c r="R39">
        <f t="shared" si="3"/>
        <v>1</v>
      </c>
      <c r="S39">
        <f t="shared" si="7"/>
        <v>108.04267160626014</v>
      </c>
      <c r="T39">
        <f t="shared" si="8"/>
        <v>0.36000011444036772</v>
      </c>
      <c r="U39">
        <f t="shared" si="9"/>
        <v>30.218975730196508</v>
      </c>
    </row>
    <row r="40" spans="1:21" x14ac:dyDescent="0.3">
      <c r="A40" s="1">
        <v>42879</v>
      </c>
      <c r="B40" s="1">
        <v>42970</v>
      </c>
      <c r="C40">
        <v>301.72634088397001</v>
      </c>
      <c r="D40">
        <v>308.599999809265</v>
      </c>
      <c r="E40">
        <v>301.89999999999998</v>
      </c>
      <c r="F40">
        <v>-6.6999998092651296</v>
      </c>
      <c r="G40">
        <v>-0.17365911602973899</v>
      </c>
      <c r="H40">
        <v>6.6999998092651296</v>
      </c>
      <c r="J40" s="1">
        <v>42879</v>
      </c>
      <c r="K40">
        <v>301.89999999999998</v>
      </c>
      <c r="L40">
        <v>306.8</v>
      </c>
      <c r="M40">
        <v>301.72634088397001</v>
      </c>
      <c r="N40">
        <v>308.599999809265</v>
      </c>
      <c r="O40">
        <f t="shared" si="0"/>
        <v>304.26317044198504</v>
      </c>
      <c r="P40">
        <f t="shared" si="1"/>
        <v>0</v>
      </c>
      <c r="Q40">
        <f t="shared" si="2"/>
        <v>1</v>
      </c>
      <c r="R40">
        <f t="shared" si="3"/>
        <v>1</v>
      </c>
      <c r="S40">
        <f t="shared" si="7"/>
        <v>47.247187021287473</v>
      </c>
      <c r="T40">
        <f t="shared" si="8"/>
        <v>3.2399993133539966</v>
      </c>
      <c r="U40">
        <f t="shared" si="9"/>
        <v>18.808088960901905</v>
      </c>
    </row>
    <row r="41" spans="1:21" x14ac:dyDescent="0.3">
      <c r="A41" s="1">
        <v>42880</v>
      </c>
      <c r="B41" s="1">
        <v>42971</v>
      </c>
      <c r="C41">
        <v>304.30025613307902</v>
      </c>
      <c r="D41">
        <v>310.099999904632</v>
      </c>
      <c r="E41">
        <v>305.5</v>
      </c>
      <c r="F41">
        <v>-4.5999999046325604</v>
      </c>
      <c r="G41">
        <v>-1.1997438669204701</v>
      </c>
      <c r="H41">
        <v>4.5999999046325604</v>
      </c>
      <c r="J41" s="1">
        <v>42880</v>
      </c>
      <c r="K41">
        <v>305.5</v>
      </c>
      <c r="L41">
        <v>308.55</v>
      </c>
      <c r="M41">
        <v>304.30025613307902</v>
      </c>
      <c r="N41">
        <v>310.099999904632</v>
      </c>
      <c r="O41">
        <f t="shared" si="0"/>
        <v>306.42512806653951</v>
      </c>
      <c r="P41">
        <f t="shared" si="1"/>
        <v>0</v>
      </c>
      <c r="Q41">
        <f t="shared" si="2"/>
        <v>1</v>
      </c>
      <c r="R41">
        <f t="shared" si="3"/>
        <v>1</v>
      </c>
      <c r="S41">
        <f t="shared" si="7"/>
        <v>33.637027815667615</v>
      </c>
      <c r="T41">
        <f t="shared" si="8"/>
        <v>2.4024997043591738</v>
      </c>
      <c r="U41">
        <f t="shared" si="9"/>
        <v>13.504683026405244</v>
      </c>
    </row>
    <row r="42" spans="1:21" x14ac:dyDescent="0.3">
      <c r="A42" s="1">
        <v>42881</v>
      </c>
      <c r="B42" s="1">
        <v>42972</v>
      </c>
      <c r="C42">
        <v>311.01732072830202</v>
      </c>
      <c r="D42">
        <v>310.250000095367</v>
      </c>
      <c r="E42">
        <v>307.35000000000002</v>
      </c>
      <c r="F42">
        <v>2.9000000953674299</v>
      </c>
      <c r="G42">
        <v>3.6673207283020002</v>
      </c>
      <c r="H42">
        <v>2.9000000953674299</v>
      </c>
      <c r="J42" s="1">
        <v>42881</v>
      </c>
      <c r="K42">
        <v>307.35000000000002</v>
      </c>
      <c r="L42">
        <v>309.25</v>
      </c>
      <c r="M42">
        <v>311.01732072830202</v>
      </c>
      <c r="N42">
        <v>310.250000095367</v>
      </c>
      <c r="O42">
        <f t="shared" si="0"/>
        <v>310.13366036415101</v>
      </c>
      <c r="P42">
        <f t="shared" si="1"/>
        <v>1</v>
      </c>
      <c r="Q42">
        <f t="shared" si="2"/>
        <v>1</v>
      </c>
      <c r="R42">
        <f t="shared" si="3"/>
        <v>1</v>
      </c>
      <c r="S42">
        <f t="shared" si="7"/>
        <v>0.58878095372780748</v>
      </c>
      <c r="T42">
        <f t="shared" si="8"/>
        <v>1.0000001907340084</v>
      </c>
      <c r="U42">
        <f t="shared" si="9"/>
        <v>1.3534933059408167E-2</v>
      </c>
    </row>
    <row r="43" spans="1:21" x14ac:dyDescent="0.3">
      <c r="A43" s="1">
        <v>42884</v>
      </c>
      <c r="B43" s="1">
        <v>42975</v>
      </c>
      <c r="C43">
        <v>310.50616340637202</v>
      </c>
      <c r="D43">
        <v>308.19999997615798</v>
      </c>
      <c r="E43">
        <v>306.8</v>
      </c>
      <c r="F43">
        <v>1.3999999761581401</v>
      </c>
      <c r="G43">
        <v>3.7061634063720699</v>
      </c>
      <c r="H43">
        <v>1.3999999761581401</v>
      </c>
      <c r="J43" s="1">
        <v>42884</v>
      </c>
      <c r="K43">
        <v>306.8</v>
      </c>
      <c r="L43">
        <v>310.55</v>
      </c>
      <c r="M43">
        <v>310.50616340637202</v>
      </c>
      <c r="N43">
        <v>308.19999997615798</v>
      </c>
      <c r="O43">
        <f t="shared" si="0"/>
        <v>310.52808170318599</v>
      </c>
      <c r="P43">
        <f t="shared" si="1"/>
        <v>1</v>
      </c>
      <c r="Q43">
        <f t="shared" si="2"/>
        <v>1</v>
      </c>
      <c r="R43">
        <f t="shared" si="3"/>
        <v>1</v>
      </c>
      <c r="S43">
        <f t="shared" si="7"/>
        <v>5.3183897668565958</v>
      </c>
      <c r="T43">
        <f t="shared" si="8"/>
        <v>5.5225001120575339</v>
      </c>
      <c r="U43">
        <f t="shared" si="9"/>
        <v>5.4199645277217066</v>
      </c>
    </row>
    <row r="44" spans="1:21" x14ac:dyDescent="0.3">
      <c r="A44" s="1">
        <v>42885</v>
      </c>
      <c r="B44" s="1">
        <v>42976</v>
      </c>
      <c r="C44">
        <v>308.56356010437003</v>
      </c>
      <c r="D44">
        <v>307.14999995231602</v>
      </c>
      <c r="E44">
        <v>304.35000000000002</v>
      </c>
      <c r="F44">
        <v>2.7999999523162802</v>
      </c>
      <c r="G44">
        <v>4.2135601043701101</v>
      </c>
      <c r="H44">
        <v>2.7999999523162802</v>
      </c>
      <c r="J44" s="1">
        <v>42885</v>
      </c>
      <c r="K44">
        <v>304.35000000000002</v>
      </c>
      <c r="L44">
        <v>311.10000000000002</v>
      </c>
      <c r="M44">
        <v>308.56356010437003</v>
      </c>
      <c r="N44">
        <v>307.14999995231602</v>
      </c>
      <c r="O44">
        <f t="shared" si="0"/>
        <v>309.83178005218502</v>
      </c>
      <c r="P44">
        <f t="shared" si="1"/>
        <v>1</v>
      </c>
      <c r="Q44">
        <f t="shared" si="2"/>
        <v>1</v>
      </c>
      <c r="R44">
        <f t="shared" si="3"/>
        <v>1</v>
      </c>
      <c r="S44">
        <f t="shared" si="7"/>
        <v>1.9981523034749376</v>
      </c>
      <c r="T44">
        <f t="shared" si="8"/>
        <v>15.602500376703603</v>
      </c>
      <c r="U44">
        <f t="shared" si="9"/>
        <v>7.1919445040533931</v>
      </c>
    </row>
    <row r="45" spans="1:21" x14ac:dyDescent="0.3">
      <c r="A45" s="1">
        <v>42886</v>
      </c>
      <c r="B45" s="1">
        <v>42977</v>
      </c>
      <c r="C45">
        <v>304.87126691937402</v>
      </c>
      <c r="D45">
        <v>309.00000004768299</v>
      </c>
      <c r="E45">
        <v>305.05</v>
      </c>
      <c r="F45">
        <v>-3.95000004768371</v>
      </c>
      <c r="G45">
        <v>-0.178733080625534</v>
      </c>
      <c r="H45">
        <v>3.95000004768371</v>
      </c>
      <c r="J45" s="1">
        <v>42886</v>
      </c>
      <c r="K45">
        <v>305.05</v>
      </c>
      <c r="L45">
        <v>310.25</v>
      </c>
      <c r="M45">
        <v>304.87126691937402</v>
      </c>
      <c r="N45">
        <v>309.00000004768299</v>
      </c>
      <c r="O45">
        <f t="shared" si="0"/>
        <v>307.56063345968698</v>
      </c>
      <c r="P45">
        <f t="shared" si="1"/>
        <v>0</v>
      </c>
      <c r="Q45">
        <f t="shared" si="2"/>
        <v>1</v>
      </c>
      <c r="R45">
        <f t="shared" si="3"/>
        <v>1</v>
      </c>
      <c r="S45">
        <f t="shared" si="7"/>
        <v>17.046437244795939</v>
      </c>
      <c r="T45">
        <f t="shared" si="8"/>
        <v>1.5624998807925317</v>
      </c>
      <c r="U45">
        <f t="shared" si="9"/>
        <v>2.0717761746392624</v>
      </c>
    </row>
    <row r="46" spans="1:21" x14ac:dyDescent="0.3">
      <c r="A46" s="1">
        <v>42887</v>
      </c>
      <c r="B46" s="1">
        <v>42978</v>
      </c>
      <c r="C46">
        <v>306.59021844863798</v>
      </c>
      <c r="D46">
        <v>306.64999999999998</v>
      </c>
      <c r="E46">
        <v>304.14999999999998</v>
      </c>
      <c r="F46">
        <v>2.5</v>
      </c>
      <c r="G46">
        <v>2.4402184486389098</v>
      </c>
      <c r="H46">
        <v>2.5</v>
      </c>
      <c r="J46" s="1">
        <v>42887</v>
      </c>
      <c r="K46">
        <v>304.14999999999998</v>
      </c>
      <c r="L46">
        <v>312.35000000000002</v>
      </c>
      <c r="M46">
        <v>306.59021844863798</v>
      </c>
      <c r="N46">
        <v>306.64999999999998</v>
      </c>
      <c r="O46">
        <f t="shared" si="0"/>
        <v>309.470109224319</v>
      </c>
      <c r="P46">
        <f t="shared" si="1"/>
        <v>1</v>
      </c>
      <c r="Q46">
        <f t="shared" si="2"/>
        <v>1</v>
      </c>
      <c r="R46">
        <f t="shared" si="3"/>
        <v>1</v>
      </c>
      <c r="S46">
        <f t="shared" si="7"/>
        <v>3.5738338832466644E-3</v>
      </c>
      <c r="T46">
        <f t="shared" si="8"/>
        <v>32.490000000000521</v>
      </c>
      <c r="U46">
        <f t="shared" si="9"/>
        <v>7.9530160370892586</v>
      </c>
    </row>
    <row r="47" spans="1:21" x14ac:dyDescent="0.3">
      <c r="A47" s="1">
        <v>42888</v>
      </c>
      <c r="B47" s="1">
        <v>42979</v>
      </c>
      <c r="C47">
        <v>310.134289741516</v>
      </c>
      <c r="D47">
        <v>306.299999952316</v>
      </c>
      <c r="E47">
        <v>307.75</v>
      </c>
      <c r="F47">
        <v>-1.45000004768371</v>
      </c>
      <c r="G47">
        <v>2.3842897415161102</v>
      </c>
      <c r="H47">
        <v>-1.45000004768371</v>
      </c>
      <c r="J47" s="1">
        <v>42888</v>
      </c>
      <c r="K47">
        <v>307.75</v>
      </c>
      <c r="L47">
        <v>311.55</v>
      </c>
      <c r="M47">
        <v>310.134289741516</v>
      </c>
      <c r="N47">
        <v>306.299999952316</v>
      </c>
      <c r="O47">
        <f t="shared" si="0"/>
        <v>310.84214487075803</v>
      </c>
      <c r="P47">
        <f t="shared" si="1"/>
        <v>0</v>
      </c>
      <c r="Q47">
        <f t="shared" si="2"/>
        <v>0</v>
      </c>
      <c r="R47">
        <f t="shared" si="3"/>
        <v>0</v>
      </c>
      <c r="S47">
        <f t="shared" si="7"/>
        <v>14.701778187563377</v>
      </c>
      <c r="T47">
        <f t="shared" si="8"/>
        <v>27.562500500682123</v>
      </c>
      <c r="U47">
        <f t="shared" si="9"/>
        <v>20.631080460128793</v>
      </c>
    </row>
    <row r="48" spans="1:21" x14ac:dyDescent="0.3">
      <c r="A48" s="1">
        <v>42891</v>
      </c>
      <c r="B48" s="1">
        <v>42982</v>
      </c>
      <c r="C48">
        <v>310.293971157074</v>
      </c>
      <c r="D48">
        <v>303.500000095367</v>
      </c>
      <c r="E48">
        <v>307.60000000000002</v>
      </c>
      <c r="F48">
        <v>-4.0999999046325604</v>
      </c>
      <c r="G48">
        <v>2.6939711570739702</v>
      </c>
      <c r="H48">
        <v>-4.0999999046325604</v>
      </c>
      <c r="J48" s="1">
        <v>42891</v>
      </c>
      <c r="K48">
        <v>307.60000000000002</v>
      </c>
      <c r="L48">
        <v>311.95</v>
      </c>
      <c r="M48">
        <v>310.293971157074</v>
      </c>
      <c r="N48">
        <v>303.500000095367</v>
      </c>
      <c r="O48">
        <f t="shared" si="0"/>
        <v>311.12198557853696</v>
      </c>
      <c r="P48">
        <f t="shared" si="1"/>
        <v>0</v>
      </c>
      <c r="Q48">
        <f t="shared" si="2"/>
        <v>0</v>
      </c>
      <c r="R48">
        <f t="shared" si="3"/>
        <v>0</v>
      </c>
      <c r="S48">
        <f t="shared" si="7"/>
        <v>46.158042787312112</v>
      </c>
      <c r="T48">
        <f t="shared" si="8"/>
        <v>71.402498388297516</v>
      </c>
      <c r="U48">
        <f t="shared" si="9"/>
        <v>58.094662705653683</v>
      </c>
    </row>
    <row r="49" spans="1:21" x14ac:dyDescent="0.3">
      <c r="A49" s="1">
        <v>42892</v>
      </c>
      <c r="B49" s="1">
        <v>42983</v>
      </c>
      <c r="C49">
        <v>311.57154092788699</v>
      </c>
      <c r="D49">
        <v>302.69999990463202</v>
      </c>
      <c r="E49">
        <v>307.60000000000002</v>
      </c>
      <c r="F49">
        <v>-4.9000000953674299</v>
      </c>
      <c r="G49">
        <v>3.9715409278869598</v>
      </c>
      <c r="H49">
        <v>-4.9000000953674299</v>
      </c>
      <c r="J49" s="1">
        <v>42892</v>
      </c>
      <c r="K49">
        <v>307.60000000000002</v>
      </c>
      <c r="L49">
        <v>309.64999999999998</v>
      </c>
      <c r="M49">
        <v>311.57154092788699</v>
      </c>
      <c r="N49">
        <v>302.69999990463202</v>
      </c>
      <c r="O49">
        <f t="shared" si="0"/>
        <v>310.61077046394348</v>
      </c>
      <c r="P49">
        <f t="shared" si="1"/>
        <v>0</v>
      </c>
      <c r="Q49">
        <f t="shared" si="2"/>
        <v>0</v>
      </c>
      <c r="R49">
        <f t="shared" si="3"/>
        <v>0</v>
      </c>
      <c r="S49">
        <f t="shared" si="7"/>
        <v>78.704240127295719</v>
      </c>
      <c r="T49">
        <f t="shared" si="8"/>
        <v>48.302501325614578</v>
      </c>
      <c r="U49">
        <f t="shared" si="9"/>
        <v>62.580290842068933</v>
      </c>
    </row>
    <row r="50" spans="1:21" x14ac:dyDescent="0.3">
      <c r="A50" s="1">
        <v>42893</v>
      </c>
      <c r="B50" s="1">
        <v>42984</v>
      </c>
      <c r="C50">
        <v>313.78934707641599</v>
      </c>
      <c r="D50">
        <v>302.30000009536701</v>
      </c>
      <c r="E50">
        <v>305.39999999999998</v>
      </c>
      <c r="F50">
        <v>-3.0999999046325599</v>
      </c>
      <c r="G50">
        <v>8.3893470764160103</v>
      </c>
      <c r="H50">
        <v>-3.0999999046325599</v>
      </c>
      <c r="J50" s="1">
        <v>42893</v>
      </c>
      <c r="K50">
        <v>305.39999999999998</v>
      </c>
      <c r="L50">
        <v>311.10000000000002</v>
      </c>
      <c r="M50">
        <v>313.78934707641599</v>
      </c>
      <c r="N50">
        <v>302.30000009536701</v>
      </c>
      <c r="O50">
        <f t="shared" si="0"/>
        <v>312.44467353820801</v>
      </c>
      <c r="P50">
        <f t="shared" si="1"/>
        <v>0</v>
      </c>
      <c r="Q50">
        <f t="shared" si="2"/>
        <v>0</v>
      </c>
      <c r="R50">
        <f t="shared" si="3"/>
        <v>0</v>
      </c>
      <c r="S50">
        <f t="shared" si="7"/>
        <v>132.00509405093936</v>
      </c>
      <c r="T50">
        <f t="shared" si="8"/>
        <v>77.439998321541012</v>
      </c>
      <c r="U50">
        <f t="shared" si="9"/>
        <v>102.9143992618834</v>
      </c>
    </row>
    <row r="51" spans="1:21" x14ac:dyDescent="0.3">
      <c r="A51" s="1">
        <v>42894</v>
      </c>
      <c r="B51" s="1">
        <v>42985</v>
      </c>
      <c r="C51">
        <v>314.99240055084198</v>
      </c>
      <c r="D51">
        <v>306.20000001192</v>
      </c>
      <c r="E51">
        <v>306.64999999999998</v>
      </c>
      <c r="F51">
        <v>-0.44999998807907099</v>
      </c>
      <c r="G51">
        <v>8.3424005508422798</v>
      </c>
      <c r="H51">
        <v>-0.44999998807907099</v>
      </c>
      <c r="J51" s="1">
        <v>42894</v>
      </c>
      <c r="K51">
        <v>306.64999999999998</v>
      </c>
      <c r="L51">
        <v>311.10000000000002</v>
      </c>
      <c r="M51">
        <v>314.99240055084198</v>
      </c>
      <c r="N51">
        <v>306.20000001192</v>
      </c>
      <c r="O51">
        <f t="shared" si="0"/>
        <v>313.04620027542103</v>
      </c>
      <c r="P51">
        <f t="shared" si="1"/>
        <v>0</v>
      </c>
      <c r="Q51">
        <f t="shared" si="2"/>
        <v>0</v>
      </c>
      <c r="R51">
        <f t="shared" si="3"/>
        <v>0</v>
      </c>
      <c r="S51">
        <f t="shared" si="7"/>
        <v>77.306307236835551</v>
      </c>
      <c r="T51">
        <f t="shared" si="8"/>
        <v>24.009999883184253</v>
      </c>
      <c r="U51">
        <f t="shared" si="9"/>
        <v>46.870458047961606</v>
      </c>
    </row>
    <row r="52" spans="1:21" x14ac:dyDescent="0.3">
      <c r="A52" s="1">
        <v>42895</v>
      </c>
      <c r="B52" s="1">
        <v>42986</v>
      </c>
      <c r="C52">
        <v>311.994423198699</v>
      </c>
      <c r="D52">
        <v>306.25000004768299</v>
      </c>
      <c r="E52">
        <v>308.55</v>
      </c>
      <c r="F52">
        <v>-2.2999999523162802</v>
      </c>
      <c r="G52">
        <v>3.4444231986999498</v>
      </c>
      <c r="H52">
        <v>-2.2999999523162802</v>
      </c>
      <c r="J52" s="1">
        <v>42895</v>
      </c>
      <c r="K52">
        <v>308.55</v>
      </c>
      <c r="L52">
        <v>310.25</v>
      </c>
      <c r="M52">
        <v>311.994423198699</v>
      </c>
      <c r="N52">
        <v>306.25000004768299</v>
      </c>
      <c r="O52">
        <f t="shared" si="0"/>
        <v>311.1222115993495</v>
      </c>
      <c r="P52">
        <f t="shared" si="1"/>
        <v>0</v>
      </c>
      <c r="Q52">
        <f t="shared" si="2"/>
        <v>0</v>
      </c>
      <c r="R52">
        <f t="shared" si="3"/>
        <v>0</v>
      </c>
      <c r="S52">
        <f t="shared" si="7"/>
        <v>32.998397337928679</v>
      </c>
      <c r="T52">
        <f t="shared" si="8"/>
        <v>15.999999618536096</v>
      </c>
      <c r="U52">
        <f t="shared" si="9"/>
        <v>23.738445404192579</v>
      </c>
    </row>
    <row r="53" spans="1:21" x14ac:dyDescent="0.3">
      <c r="A53" s="1">
        <v>42898</v>
      </c>
      <c r="B53" s="1">
        <v>42989</v>
      </c>
      <c r="C53">
        <v>310.48798446655201</v>
      </c>
      <c r="D53">
        <v>309.25000004768299</v>
      </c>
      <c r="E53">
        <v>305.3</v>
      </c>
      <c r="F53">
        <v>3.95000004768371</v>
      </c>
      <c r="G53">
        <v>5.1879844665527299</v>
      </c>
      <c r="H53">
        <v>3.95000004768371</v>
      </c>
      <c r="J53" s="1">
        <v>42898</v>
      </c>
      <c r="K53">
        <v>305.3</v>
      </c>
      <c r="L53">
        <v>310.8</v>
      </c>
      <c r="M53">
        <v>310.48798446655201</v>
      </c>
      <c r="N53">
        <v>309.25000004768299</v>
      </c>
      <c r="O53">
        <f t="shared" si="0"/>
        <v>310.64399223327598</v>
      </c>
      <c r="P53">
        <f t="shared" si="1"/>
        <v>1</v>
      </c>
      <c r="Q53">
        <f t="shared" si="2"/>
        <v>1</v>
      </c>
      <c r="R53">
        <f t="shared" si="3"/>
        <v>1</v>
      </c>
      <c r="S53">
        <f t="shared" ref="S53:S116" si="10">POWER(M53-N53, 2)</f>
        <v>1.5326054213624616</v>
      </c>
      <c r="T53">
        <f t="shared" ref="T53:T116" si="11">POWER(N53-L53,2)</f>
        <v>2.4024998521827738</v>
      </c>
      <c r="U53">
        <f t="shared" ref="U53:U116" si="12">POWER(O53-N53, 2)</f>
        <v>1.9432142134943278</v>
      </c>
    </row>
    <row r="54" spans="1:21" x14ac:dyDescent="0.3">
      <c r="A54" s="1">
        <v>42899</v>
      </c>
      <c r="B54" s="1">
        <v>42990</v>
      </c>
      <c r="C54">
        <v>316.40156917572</v>
      </c>
      <c r="D54">
        <v>309.20000009536699</v>
      </c>
      <c r="E54">
        <v>307.05</v>
      </c>
      <c r="F54">
        <v>2.1500000953674299</v>
      </c>
      <c r="G54">
        <v>9.3515691757202095</v>
      </c>
      <c r="H54">
        <v>2.1500000953674299</v>
      </c>
      <c r="J54" s="1">
        <v>42899</v>
      </c>
      <c r="K54">
        <v>307.05</v>
      </c>
      <c r="L54">
        <v>312.7</v>
      </c>
      <c r="M54">
        <v>316.40156917572</v>
      </c>
      <c r="N54">
        <v>309.20000009536699</v>
      </c>
      <c r="O54">
        <f t="shared" si="0"/>
        <v>314.55078458785999</v>
      </c>
      <c r="P54">
        <f t="shared" si="1"/>
        <v>1</v>
      </c>
      <c r="Q54">
        <f t="shared" si="2"/>
        <v>1</v>
      </c>
      <c r="R54">
        <f t="shared" si="3"/>
        <v>1</v>
      </c>
      <c r="S54">
        <f t="shared" si="10"/>
        <v>51.862597219096507</v>
      </c>
      <c r="T54">
        <f t="shared" si="11"/>
        <v>12.249999332431011</v>
      </c>
      <c r="U54">
        <f t="shared" si="12"/>
        <v>28.63089468510363</v>
      </c>
    </row>
    <row r="55" spans="1:21" x14ac:dyDescent="0.3">
      <c r="A55" s="1">
        <v>42900</v>
      </c>
      <c r="B55" s="1">
        <v>42991</v>
      </c>
      <c r="C55">
        <v>318.896705055236</v>
      </c>
      <c r="D55">
        <v>308.54999997615801</v>
      </c>
      <c r="E55">
        <v>307.39999999999998</v>
      </c>
      <c r="F55">
        <v>1.1499999761581401</v>
      </c>
      <c r="G55">
        <v>11.4967050552368</v>
      </c>
      <c r="H55">
        <v>1.1499999761581401</v>
      </c>
      <c r="J55" s="1">
        <v>42900</v>
      </c>
      <c r="K55">
        <v>307.39999999999998</v>
      </c>
      <c r="L55">
        <v>312.60000000000002</v>
      </c>
      <c r="M55">
        <v>318.896705055236</v>
      </c>
      <c r="N55">
        <v>308.54999997615801</v>
      </c>
      <c r="O55">
        <f t="shared" si="0"/>
        <v>315.74835252761801</v>
      </c>
      <c r="P55">
        <f t="shared" si="1"/>
        <v>1</v>
      </c>
      <c r="Q55">
        <f t="shared" si="2"/>
        <v>1</v>
      </c>
      <c r="R55">
        <f t="shared" si="3"/>
        <v>1</v>
      </c>
      <c r="S55">
        <f t="shared" si="10"/>
        <v>107.05430599341832</v>
      </c>
      <c r="T55">
        <f t="shared" si="11"/>
        <v>16.402500193120339</v>
      </c>
      <c r="U55">
        <f t="shared" si="12"/>
        <v>51.816279455110759</v>
      </c>
    </row>
    <row r="56" spans="1:21" x14ac:dyDescent="0.3">
      <c r="A56" s="1">
        <v>42901</v>
      </c>
      <c r="B56" s="1">
        <v>42992</v>
      </c>
      <c r="C56">
        <v>317.22123565673797</v>
      </c>
      <c r="D56">
        <v>310.24999990463198</v>
      </c>
      <c r="E56">
        <v>305.64999999999998</v>
      </c>
      <c r="F56">
        <v>4.5999999046325604</v>
      </c>
      <c r="G56">
        <v>11.5712356567382</v>
      </c>
      <c r="H56">
        <v>4.5999999046325604</v>
      </c>
      <c r="J56" s="1">
        <v>42901</v>
      </c>
      <c r="K56">
        <v>305.64999999999998</v>
      </c>
      <c r="L56">
        <v>316.55</v>
      </c>
      <c r="M56">
        <v>317.22123565673797</v>
      </c>
      <c r="N56">
        <v>310.24999990463198</v>
      </c>
      <c r="O56">
        <f t="shared" si="0"/>
        <v>316.88561782836899</v>
      </c>
      <c r="P56">
        <f t="shared" si="1"/>
        <v>1</v>
      </c>
      <c r="Q56">
        <f t="shared" si="2"/>
        <v>1</v>
      </c>
      <c r="R56">
        <f t="shared" si="3"/>
        <v>1</v>
      </c>
      <c r="S56">
        <f t="shared" si="10"/>
        <v>48.598127911440869</v>
      </c>
      <c r="T56">
        <f t="shared" si="11"/>
        <v>39.690001201637237</v>
      </c>
      <c r="U56">
        <f t="shared" si="12"/>
        <v>44.031425229819945</v>
      </c>
    </row>
    <row r="57" spans="1:21" x14ac:dyDescent="0.3">
      <c r="A57" s="1">
        <v>42902</v>
      </c>
      <c r="B57" s="1">
        <v>42993</v>
      </c>
      <c r="C57">
        <v>316.43857288360499</v>
      </c>
      <c r="D57">
        <v>311.19999980926502</v>
      </c>
      <c r="E57">
        <v>306</v>
      </c>
      <c r="F57">
        <v>5.1999998092651296</v>
      </c>
      <c r="G57">
        <v>10.4385728836059</v>
      </c>
      <c r="H57">
        <v>5.1999998092651296</v>
      </c>
      <c r="J57" s="1">
        <v>42902</v>
      </c>
      <c r="K57">
        <v>306</v>
      </c>
      <c r="L57">
        <v>316.7</v>
      </c>
      <c r="M57">
        <v>316.43857288360499</v>
      </c>
      <c r="N57">
        <v>311.19999980926502</v>
      </c>
      <c r="O57">
        <f t="shared" si="0"/>
        <v>316.56928644180249</v>
      </c>
      <c r="P57">
        <f t="shared" si="1"/>
        <v>1</v>
      </c>
      <c r="Q57">
        <f t="shared" si="2"/>
        <v>1</v>
      </c>
      <c r="R57">
        <f t="shared" si="3"/>
        <v>1</v>
      </c>
      <c r="S57">
        <f t="shared" si="10"/>
        <v>27.442647855199699</v>
      </c>
      <c r="T57">
        <f t="shared" si="11"/>
        <v>30.250002098084657</v>
      </c>
      <c r="U57">
        <f t="shared" si="12"/>
        <v>28.82923894234553</v>
      </c>
    </row>
    <row r="58" spans="1:21" x14ac:dyDescent="0.3">
      <c r="A58" s="1">
        <v>42905</v>
      </c>
      <c r="B58" s="1">
        <v>42996</v>
      </c>
      <c r="C58">
        <v>322.43844585418702</v>
      </c>
      <c r="D58">
        <v>316.69999961853</v>
      </c>
      <c r="E58">
        <v>307.8</v>
      </c>
      <c r="F58">
        <v>8.8999996185302699</v>
      </c>
      <c r="G58">
        <v>14.638445854186999</v>
      </c>
      <c r="H58">
        <v>8.8999996185302699</v>
      </c>
      <c r="J58" s="1">
        <v>42905</v>
      </c>
      <c r="K58">
        <v>307.8</v>
      </c>
      <c r="L58">
        <v>317.5</v>
      </c>
      <c r="M58">
        <v>322.43844585418702</v>
      </c>
      <c r="N58">
        <v>316.69999961853</v>
      </c>
      <c r="O58">
        <f t="shared" si="0"/>
        <v>319.96922292709348</v>
      </c>
      <c r="P58">
        <f t="shared" si="1"/>
        <v>1</v>
      </c>
      <c r="Q58">
        <f t="shared" si="2"/>
        <v>1</v>
      </c>
      <c r="R58">
        <f t="shared" si="3"/>
        <v>1</v>
      </c>
      <c r="S58">
        <f t="shared" si="10"/>
        <v>32.929765199526251</v>
      </c>
      <c r="T58">
        <f t="shared" si="11"/>
        <v>0.64000061035214462</v>
      </c>
      <c r="U58">
        <f t="shared" si="12"/>
        <v>10.687821041254763</v>
      </c>
    </row>
    <row r="59" spans="1:21" x14ac:dyDescent="0.3">
      <c r="A59" s="1">
        <v>42906</v>
      </c>
      <c r="B59" s="1">
        <v>42997</v>
      </c>
      <c r="C59">
        <v>317.06446132659897</v>
      </c>
      <c r="D59">
        <v>316.04999980926499</v>
      </c>
      <c r="E59">
        <v>308.10000000000002</v>
      </c>
      <c r="F59">
        <v>7.9499998092651296</v>
      </c>
      <c r="G59">
        <v>8.9644613265991193</v>
      </c>
      <c r="H59">
        <v>7.9499998092651296</v>
      </c>
      <c r="J59" s="1">
        <v>42906</v>
      </c>
      <c r="K59">
        <v>308.10000000000002</v>
      </c>
      <c r="L59">
        <v>318.05</v>
      </c>
      <c r="M59">
        <v>317.06446132659897</v>
      </c>
      <c r="N59">
        <v>316.04999980926499</v>
      </c>
      <c r="O59">
        <f t="shared" si="0"/>
        <v>317.55723066329949</v>
      </c>
      <c r="P59">
        <f t="shared" si="1"/>
        <v>1</v>
      </c>
      <c r="Q59">
        <f t="shared" si="2"/>
        <v>1</v>
      </c>
      <c r="R59">
        <f t="shared" si="3"/>
        <v>1</v>
      </c>
      <c r="S59">
        <f t="shared" si="10"/>
        <v>1.0291321701515699</v>
      </c>
      <c r="T59">
        <f t="shared" si="11"/>
        <v>4.0000007629401262</v>
      </c>
      <c r="U59">
        <f t="shared" si="12"/>
        <v>2.2717448473535784</v>
      </c>
    </row>
    <row r="60" spans="1:21" x14ac:dyDescent="0.3">
      <c r="A60" s="1">
        <v>42907</v>
      </c>
      <c r="B60" s="1">
        <v>42998</v>
      </c>
      <c r="C60">
        <v>322.27946453094398</v>
      </c>
      <c r="D60">
        <v>315.8</v>
      </c>
      <c r="E60">
        <v>306.8</v>
      </c>
      <c r="F60">
        <v>9</v>
      </c>
      <c r="G60">
        <v>15.479464530944799</v>
      </c>
      <c r="H60">
        <v>9</v>
      </c>
      <c r="J60" s="1">
        <v>42907</v>
      </c>
      <c r="K60">
        <v>306.8</v>
      </c>
      <c r="L60">
        <v>318.7</v>
      </c>
      <c r="M60">
        <v>322.27946453094398</v>
      </c>
      <c r="N60">
        <v>315.8</v>
      </c>
      <c r="O60">
        <f t="shared" si="0"/>
        <v>320.48973226547196</v>
      </c>
      <c r="P60">
        <f t="shared" si="1"/>
        <v>1</v>
      </c>
      <c r="Q60">
        <f t="shared" si="2"/>
        <v>1</v>
      </c>
      <c r="R60">
        <f t="shared" si="3"/>
        <v>1</v>
      </c>
      <c r="S60">
        <f t="shared" si="10"/>
        <v>41.983460607760982</v>
      </c>
      <c r="T60">
        <f t="shared" si="11"/>
        <v>8.4099999999998687</v>
      </c>
      <c r="U60">
        <f t="shared" si="12"/>
        <v>21.993588721808631</v>
      </c>
    </row>
    <row r="61" spans="1:21" x14ac:dyDescent="0.3">
      <c r="A61" s="1">
        <v>42908</v>
      </c>
      <c r="B61" s="1">
        <v>42999</v>
      </c>
      <c r="C61">
        <v>321.88260822296098</v>
      </c>
      <c r="D61">
        <v>316.05</v>
      </c>
      <c r="E61">
        <v>308.55</v>
      </c>
      <c r="F61">
        <v>7.5</v>
      </c>
      <c r="G61">
        <v>13.332608222961399</v>
      </c>
      <c r="H61">
        <v>7.5</v>
      </c>
      <c r="J61" s="1">
        <v>42908</v>
      </c>
      <c r="K61">
        <v>308.55</v>
      </c>
      <c r="L61">
        <v>319.60000000000002</v>
      </c>
      <c r="M61">
        <v>321.88260822296098</v>
      </c>
      <c r="N61">
        <v>316.05</v>
      </c>
      <c r="O61">
        <f t="shared" si="0"/>
        <v>320.74130411148053</v>
      </c>
      <c r="P61">
        <f t="shared" si="1"/>
        <v>1</v>
      </c>
      <c r="Q61">
        <f t="shared" si="2"/>
        <v>1</v>
      </c>
      <c r="R61">
        <f t="shared" si="3"/>
        <v>1</v>
      </c>
      <c r="S61">
        <f t="shared" si="10"/>
        <v>34.019318682551933</v>
      </c>
      <c r="T61">
        <f t="shared" si="11"/>
        <v>12.602500000000081</v>
      </c>
      <c r="U61">
        <f t="shared" si="12"/>
        <v>22.008334266394026</v>
      </c>
    </row>
    <row r="62" spans="1:21" x14ac:dyDescent="0.3">
      <c r="A62" s="1">
        <v>42909</v>
      </c>
      <c r="B62" s="1">
        <v>43000</v>
      </c>
      <c r="C62">
        <v>316.54305124282803</v>
      </c>
      <c r="D62">
        <v>313.75</v>
      </c>
      <c r="E62">
        <v>309.25</v>
      </c>
      <c r="F62">
        <v>4.5</v>
      </c>
      <c r="G62">
        <v>7.2930512428283603</v>
      </c>
      <c r="H62">
        <v>4.5</v>
      </c>
      <c r="J62" s="1">
        <v>42909</v>
      </c>
      <c r="K62">
        <v>309.25</v>
      </c>
      <c r="L62">
        <v>321.10000000000002</v>
      </c>
      <c r="M62">
        <v>316.54305124282803</v>
      </c>
      <c r="N62">
        <v>313.75</v>
      </c>
      <c r="O62">
        <f t="shared" si="0"/>
        <v>318.82152562141403</v>
      </c>
      <c r="P62">
        <f t="shared" si="1"/>
        <v>1</v>
      </c>
      <c r="Q62">
        <f t="shared" si="2"/>
        <v>1</v>
      </c>
      <c r="R62">
        <f t="shared" si="3"/>
        <v>1</v>
      </c>
      <c r="S62">
        <f t="shared" si="10"/>
        <v>7.8011352450631923</v>
      </c>
      <c r="T62">
        <f t="shared" si="11"/>
        <v>54.022500000000335</v>
      </c>
      <c r="U62">
        <f t="shared" si="12"/>
        <v>25.720372128658916</v>
      </c>
    </row>
    <row r="63" spans="1:21" x14ac:dyDescent="0.3">
      <c r="A63" s="1">
        <v>42912</v>
      </c>
      <c r="B63" s="1">
        <v>43003</v>
      </c>
      <c r="C63">
        <v>317.45809059142999</v>
      </c>
      <c r="D63">
        <v>313.8</v>
      </c>
      <c r="E63">
        <v>310.55</v>
      </c>
      <c r="F63">
        <v>3.25</v>
      </c>
      <c r="G63">
        <v>6.9080905914306596</v>
      </c>
      <c r="H63">
        <v>3.25</v>
      </c>
      <c r="J63" s="1">
        <v>42912</v>
      </c>
      <c r="K63">
        <v>310.55</v>
      </c>
      <c r="L63">
        <v>321.25</v>
      </c>
      <c r="M63">
        <v>317.45809059142999</v>
      </c>
      <c r="N63">
        <v>313.8</v>
      </c>
      <c r="O63">
        <f t="shared" si="0"/>
        <v>319.35404529571497</v>
      </c>
      <c r="P63">
        <f t="shared" si="1"/>
        <v>1</v>
      </c>
      <c r="Q63">
        <f t="shared" si="2"/>
        <v>1</v>
      </c>
      <c r="R63">
        <f t="shared" si="3"/>
        <v>1</v>
      </c>
      <c r="S63">
        <f t="shared" si="10"/>
        <v>13.381626775108556</v>
      </c>
      <c r="T63">
        <f t="shared" si="11"/>
        <v>55.502499999999827</v>
      </c>
      <c r="U63">
        <f t="shared" si="12"/>
        <v>30.847419146853444</v>
      </c>
    </row>
    <row r="64" spans="1:21" x14ac:dyDescent="0.3">
      <c r="A64" s="1">
        <v>42913</v>
      </c>
      <c r="B64" s="1">
        <v>43004</v>
      </c>
      <c r="C64">
        <v>313.933893775939</v>
      </c>
      <c r="D64">
        <v>311.79999998807898</v>
      </c>
      <c r="E64">
        <v>311.10000000000002</v>
      </c>
      <c r="F64">
        <v>0.69999998807907104</v>
      </c>
      <c r="G64">
        <v>2.8338937759399401</v>
      </c>
      <c r="H64">
        <v>0.69999998807907104</v>
      </c>
      <c r="J64" s="1">
        <v>42913</v>
      </c>
      <c r="K64">
        <v>311.10000000000002</v>
      </c>
      <c r="L64">
        <v>319.64999999999998</v>
      </c>
      <c r="M64">
        <v>313.933893775939</v>
      </c>
      <c r="N64">
        <v>311.79999998807898</v>
      </c>
      <c r="O64">
        <f t="shared" si="0"/>
        <v>316.79194688796952</v>
      </c>
      <c r="P64">
        <f t="shared" si="1"/>
        <v>1</v>
      </c>
      <c r="Q64">
        <f t="shared" si="2"/>
        <v>1</v>
      </c>
      <c r="R64">
        <f t="shared" si="3"/>
        <v>1</v>
      </c>
      <c r="S64">
        <f t="shared" si="10"/>
        <v>4.5535026978675743</v>
      </c>
      <c r="T64">
        <f t="shared" si="11"/>
        <v>61.622500187159659</v>
      </c>
      <c r="U64">
        <f t="shared" si="12"/>
        <v>24.919533851326733</v>
      </c>
    </row>
    <row r="65" spans="1:21" x14ac:dyDescent="0.3">
      <c r="A65" s="1">
        <v>42914</v>
      </c>
      <c r="B65" s="1">
        <v>43005</v>
      </c>
      <c r="C65">
        <v>313.60337257385203</v>
      </c>
      <c r="D65">
        <v>311.39999997615803</v>
      </c>
      <c r="E65">
        <v>310.25</v>
      </c>
      <c r="F65">
        <v>1.1499999761581401</v>
      </c>
      <c r="G65">
        <v>3.3533725738525302</v>
      </c>
      <c r="H65">
        <v>1.1499999761581401</v>
      </c>
      <c r="J65" s="1">
        <v>42914</v>
      </c>
      <c r="K65">
        <v>310.25</v>
      </c>
      <c r="L65">
        <v>318.95</v>
      </c>
      <c r="M65">
        <v>313.60337257385203</v>
      </c>
      <c r="N65">
        <v>311.39999997615803</v>
      </c>
      <c r="O65">
        <f t="shared" si="0"/>
        <v>316.27668628692601</v>
      </c>
      <c r="P65">
        <f t="shared" si="1"/>
        <v>1</v>
      </c>
      <c r="Q65">
        <f t="shared" si="2"/>
        <v>1</v>
      </c>
      <c r="R65">
        <f t="shared" si="3"/>
        <v>1</v>
      </c>
      <c r="S65">
        <f t="shared" si="10"/>
        <v>4.8548508042688017</v>
      </c>
      <c r="T65">
        <f t="shared" si="11"/>
        <v>57.002500360013599</v>
      </c>
      <c r="U65">
        <f t="shared" si="12"/>
        <v>23.782069373631806</v>
      </c>
    </row>
    <row r="66" spans="1:21" x14ac:dyDescent="0.3">
      <c r="A66" s="1">
        <v>42915</v>
      </c>
      <c r="B66" s="1">
        <v>43006</v>
      </c>
      <c r="C66">
        <v>318.29281625747598</v>
      </c>
      <c r="D66">
        <v>311.60000000000002</v>
      </c>
      <c r="E66">
        <v>312.35000000000002</v>
      </c>
      <c r="F66">
        <v>-0.75</v>
      </c>
      <c r="G66">
        <v>5.9428162574768004</v>
      </c>
      <c r="H66">
        <v>-0.75</v>
      </c>
      <c r="J66" s="1">
        <v>42915</v>
      </c>
      <c r="K66">
        <v>312.35000000000002</v>
      </c>
      <c r="L66">
        <v>319.85000000000002</v>
      </c>
      <c r="M66">
        <v>318.29281625747598</v>
      </c>
      <c r="N66">
        <v>311.60000000000002</v>
      </c>
      <c r="O66">
        <f t="shared" si="0"/>
        <v>319.07140812873797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10"/>
        <v>44.793789456334437</v>
      </c>
      <c r="T66">
        <f t="shared" si="11"/>
        <v>68.0625</v>
      </c>
      <c r="U66">
        <f t="shared" si="12"/>
        <v>55.821939426171497</v>
      </c>
    </row>
    <row r="67" spans="1:21" x14ac:dyDescent="0.3">
      <c r="A67" s="1">
        <v>42916</v>
      </c>
      <c r="B67" s="1">
        <v>43007</v>
      </c>
      <c r="C67">
        <v>328.74241142272899</v>
      </c>
      <c r="D67">
        <v>314.3</v>
      </c>
      <c r="E67">
        <v>311.55</v>
      </c>
      <c r="F67">
        <v>2.75</v>
      </c>
      <c r="G67">
        <v>17.1924114227294</v>
      </c>
      <c r="H67">
        <v>2.75</v>
      </c>
      <c r="J67" s="1">
        <v>42916</v>
      </c>
      <c r="K67">
        <v>311.55</v>
      </c>
      <c r="L67">
        <v>312.55</v>
      </c>
      <c r="M67">
        <v>328.74241142272899</v>
      </c>
      <c r="N67">
        <v>314.3</v>
      </c>
      <c r="O67">
        <f t="shared" ref="O67:O130" si="13">(L67+M67)/2</f>
        <v>320.64620571136447</v>
      </c>
      <c r="P67">
        <f t="shared" ref="P67:P130" si="14">IF((K67-M67)*(K67-N67)&gt;0, 1, 0)</f>
        <v>1</v>
      </c>
      <c r="Q67">
        <f t="shared" ref="Q67:Q130" si="15">IF((K67-L67)*(K67-N67)&gt;0, 1, 0)</f>
        <v>1</v>
      </c>
      <c r="R67">
        <f t="shared" ref="R67:R130" si="16">IF((K67-O67)*(K67-N67)&gt;0, 1, 0)</f>
        <v>1</v>
      </c>
      <c r="S67">
        <f t="shared" si="10"/>
        <v>208.58324770337254</v>
      </c>
      <c r="T67">
        <f t="shared" si="11"/>
        <v>3.0625</v>
      </c>
      <c r="U67">
        <f t="shared" si="12"/>
        <v>40.274326930954913</v>
      </c>
    </row>
    <row r="68" spans="1:21" x14ac:dyDescent="0.3">
      <c r="A68" s="1">
        <v>42919</v>
      </c>
      <c r="B68" s="1">
        <v>43010</v>
      </c>
      <c r="C68">
        <v>324.36945266723598</v>
      </c>
      <c r="D68">
        <v>314.29999990463199</v>
      </c>
      <c r="E68">
        <v>311.95</v>
      </c>
      <c r="F68">
        <v>2.3499999046325599</v>
      </c>
      <c r="G68">
        <v>12.4194526672363</v>
      </c>
      <c r="H68">
        <v>2.3499999046325599</v>
      </c>
      <c r="J68" s="1">
        <v>42919</v>
      </c>
      <c r="K68">
        <v>311.95</v>
      </c>
      <c r="L68">
        <v>313.55</v>
      </c>
      <c r="M68">
        <v>324.36945266723598</v>
      </c>
      <c r="N68">
        <v>314.29999990463199</v>
      </c>
      <c r="O68">
        <f t="shared" si="13"/>
        <v>318.95972633361799</v>
      </c>
      <c r="P68">
        <f t="shared" si="14"/>
        <v>1</v>
      </c>
      <c r="Q68">
        <f t="shared" si="15"/>
        <v>1</v>
      </c>
      <c r="R68">
        <f t="shared" si="16"/>
        <v>1</v>
      </c>
      <c r="S68">
        <f t="shared" si="10"/>
        <v>101.39387893831307</v>
      </c>
      <c r="T68">
        <f t="shared" si="11"/>
        <v>0.56249985694797489</v>
      </c>
      <c r="U68">
        <f t="shared" si="12"/>
        <v>21.713050392990667</v>
      </c>
    </row>
    <row r="69" spans="1:21" x14ac:dyDescent="0.3">
      <c r="A69" s="1">
        <v>42920</v>
      </c>
      <c r="B69" s="1">
        <v>43011</v>
      </c>
      <c r="C69">
        <v>324.32527008056599</v>
      </c>
      <c r="D69">
        <v>314.30000009536701</v>
      </c>
      <c r="E69">
        <v>309.64999999999998</v>
      </c>
      <c r="F69">
        <v>4.6500000953674299</v>
      </c>
      <c r="G69">
        <v>14.675270080566399</v>
      </c>
      <c r="H69">
        <v>4.6500000953674299</v>
      </c>
      <c r="J69" s="1">
        <v>42920</v>
      </c>
      <c r="K69">
        <v>309.64999999999998</v>
      </c>
      <c r="L69">
        <v>316.55</v>
      </c>
      <c r="M69">
        <v>324.32527008056599</v>
      </c>
      <c r="N69">
        <v>314.30000009536701</v>
      </c>
      <c r="O69">
        <f t="shared" si="13"/>
        <v>320.437635040283</v>
      </c>
      <c r="P69">
        <f t="shared" si="14"/>
        <v>1</v>
      </c>
      <c r="Q69">
        <f t="shared" si="15"/>
        <v>1</v>
      </c>
      <c r="R69">
        <f t="shared" si="16"/>
        <v>1</v>
      </c>
      <c r="S69">
        <f t="shared" si="10"/>
        <v>100.50603827613145</v>
      </c>
      <c r="T69">
        <f t="shared" si="11"/>
        <v>5.0624995708485105</v>
      </c>
      <c r="U69">
        <f t="shared" si="12"/>
        <v>37.670562717053876</v>
      </c>
    </row>
    <row r="70" spans="1:21" x14ac:dyDescent="0.3">
      <c r="A70" s="1">
        <v>42921</v>
      </c>
      <c r="B70" s="1">
        <v>43012</v>
      </c>
      <c r="C70">
        <v>325.28252277374202</v>
      </c>
      <c r="D70">
        <v>314.300000047683</v>
      </c>
      <c r="E70">
        <v>311.10000000000002</v>
      </c>
      <c r="F70">
        <v>3.20000004768371</v>
      </c>
      <c r="G70">
        <v>14.182522773742599</v>
      </c>
      <c r="H70">
        <v>3.20000004768371</v>
      </c>
      <c r="J70" s="1">
        <v>42921</v>
      </c>
      <c r="K70">
        <v>311.10000000000002</v>
      </c>
      <c r="L70">
        <v>317.14999999999998</v>
      </c>
      <c r="M70">
        <v>325.28252277374202</v>
      </c>
      <c r="N70">
        <v>314.300000047683</v>
      </c>
      <c r="O70">
        <f t="shared" si="13"/>
        <v>321.216261386871</v>
      </c>
      <c r="P70">
        <f t="shared" si="14"/>
        <v>1</v>
      </c>
      <c r="Q70">
        <f t="shared" si="15"/>
        <v>1</v>
      </c>
      <c r="R70">
        <f t="shared" si="16"/>
        <v>1</v>
      </c>
      <c r="S70">
        <f t="shared" si="10"/>
        <v>120.61580542840278</v>
      </c>
      <c r="T70">
        <f t="shared" si="11"/>
        <v>8.1224997282067743</v>
      </c>
      <c r="U70">
        <f t="shared" si="12"/>
        <v>47.834670911946546</v>
      </c>
    </row>
    <row r="71" spans="1:21" x14ac:dyDescent="0.3">
      <c r="A71" s="1">
        <v>42922</v>
      </c>
      <c r="B71" s="1">
        <v>43013</v>
      </c>
      <c r="C71">
        <v>324.949559783935</v>
      </c>
      <c r="D71">
        <v>314.300000047683</v>
      </c>
      <c r="E71">
        <v>311.10000000000002</v>
      </c>
      <c r="F71">
        <v>3.20000004768371</v>
      </c>
      <c r="G71">
        <v>13.849559783935501</v>
      </c>
      <c r="H71">
        <v>3.20000004768371</v>
      </c>
      <c r="J71" s="1">
        <v>42922</v>
      </c>
      <c r="K71">
        <v>311.10000000000002</v>
      </c>
      <c r="L71">
        <v>311.64999999999998</v>
      </c>
      <c r="M71">
        <v>324.949559783935</v>
      </c>
      <c r="N71">
        <v>314.300000047683</v>
      </c>
      <c r="O71">
        <f t="shared" si="13"/>
        <v>318.29977989196749</v>
      </c>
      <c r="P71">
        <f t="shared" si="14"/>
        <v>1</v>
      </c>
      <c r="Q71">
        <f t="shared" si="15"/>
        <v>1</v>
      </c>
      <c r="R71">
        <f t="shared" si="16"/>
        <v>1</v>
      </c>
      <c r="S71">
        <f t="shared" si="10"/>
        <v>113.41312257599981</v>
      </c>
      <c r="T71">
        <f t="shared" si="11"/>
        <v>7.0225002527200209</v>
      </c>
      <c r="U71">
        <f t="shared" si="12"/>
        <v>15.998238802744456</v>
      </c>
    </row>
    <row r="72" spans="1:21" x14ac:dyDescent="0.3">
      <c r="A72" s="1">
        <v>42923</v>
      </c>
      <c r="B72" s="1">
        <v>43014</v>
      </c>
      <c r="C72">
        <v>323.82223701477</v>
      </c>
      <c r="D72">
        <v>314.30000019073401</v>
      </c>
      <c r="E72">
        <v>310.25</v>
      </c>
      <c r="F72">
        <v>4.0500001907348597</v>
      </c>
      <c r="G72">
        <v>13.572237014770501</v>
      </c>
      <c r="H72">
        <v>4.0500001907348597</v>
      </c>
      <c r="J72" s="1">
        <v>42923</v>
      </c>
      <c r="K72">
        <v>310.25</v>
      </c>
      <c r="L72">
        <v>312.85000000000002</v>
      </c>
      <c r="M72">
        <v>323.82223701477</v>
      </c>
      <c r="N72">
        <v>314.30000019073401</v>
      </c>
      <c r="O72">
        <f t="shared" si="13"/>
        <v>318.33611850738498</v>
      </c>
      <c r="P72">
        <f t="shared" si="14"/>
        <v>1</v>
      </c>
      <c r="Q72">
        <f t="shared" si="15"/>
        <v>1</v>
      </c>
      <c r="R72">
        <f t="shared" si="16"/>
        <v>1</v>
      </c>
      <c r="S72">
        <f t="shared" si="10"/>
        <v>90.672994133026933</v>
      </c>
      <c r="T72">
        <f t="shared" si="11"/>
        <v>2.1025005531286012</v>
      </c>
      <c r="U72">
        <f t="shared" si="12"/>
        <v>16.290251066005464</v>
      </c>
    </row>
    <row r="73" spans="1:21" x14ac:dyDescent="0.3">
      <c r="A73" s="1">
        <v>42926</v>
      </c>
      <c r="B73" s="1">
        <v>43017</v>
      </c>
      <c r="C73">
        <v>326.05427341461098</v>
      </c>
      <c r="D73">
        <v>314.3</v>
      </c>
      <c r="E73">
        <v>310.8</v>
      </c>
      <c r="F73">
        <v>3.5</v>
      </c>
      <c r="G73">
        <v>15.2542734146118</v>
      </c>
      <c r="H73">
        <v>3.5</v>
      </c>
      <c r="J73" s="1">
        <v>42926</v>
      </c>
      <c r="K73">
        <v>310.8</v>
      </c>
      <c r="L73">
        <v>312.89999999999998</v>
      </c>
      <c r="M73">
        <v>326.05427341461098</v>
      </c>
      <c r="N73">
        <v>314.3</v>
      </c>
      <c r="O73">
        <f t="shared" si="13"/>
        <v>319.47713670730548</v>
      </c>
      <c r="P73">
        <f t="shared" si="14"/>
        <v>1</v>
      </c>
      <c r="Q73">
        <f t="shared" si="15"/>
        <v>1</v>
      </c>
      <c r="R73">
        <f t="shared" si="16"/>
        <v>1</v>
      </c>
      <c r="S73">
        <f t="shared" si="10"/>
        <v>138.16294350543009</v>
      </c>
      <c r="T73">
        <f t="shared" si="11"/>
        <v>1.9600000000000954</v>
      </c>
      <c r="U73">
        <f t="shared" si="12"/>
        <v>26.802744486129669</v>
      </c>
    </row>
    <row r="74" spans="1:21" x14ac:dyDescent="0.3">
      <c r="A74" s="1">
        <v>42927</v>
      </c>
      <c r="B74" s="1">
        <v>43018</v>
      </c>
      <c r="C74">
        <v>322.83194561004598</v>
      </c>
      <c r="D74">
        <v>320.14999980926501</v>
      </c>
      <c r="E74">
        <v>312.7</v>
      </c>
      <c r="F74">
        <v>7.4499998092651296</v>
      </c>
      <c r="G74">
        <v>10.1319456100463</v>
      </c>
      <c r="H74">
        <v>7.4499998092651296</v>
      </c>
      <c r="J74" s="1">
        <v>42927</v>
      </c>
      <c r="K74">
        <v>312.7</v>
      </c>
      <c r="L74">
        <v>312.85000000000002</v>
      </c>
      <c r="M74">
        <v>322.83194561004598</v>
      </c>
      <c r="N74">
        <v>320.14999980926501</v>
      </c>
      <c r="O74">
        <f t="shared" si="13"/>
        <v>317.840972805023</v>
      </c>
      <c r="P74">
        <f t="shared" si="14"/>
        <v>1</v>
      </c>
      <c r="Q74">
        <f t="shared" si="15"/>
        <v>1</v>
      </c>
      <c r="R74">
        <f t="shared" si="16"/>
        <v>1</v>
      </c>
      <c r="S74">
        <f t="shared" si="10"/>
        <v>7.1928332783266562</v>
      </c>
      <c r="T74">
        <f t="shared" si="11"/>
        <v>53.289997215268876</v>
      </c>
      <c r="U74">
        <f t="shared" si="12"/>
        <v>5.3316057063188387</v>
      </c>
    </row>
    <row r="75" spans="1:21" x14ac:dyDescent="0.3">
      <c r="A75" s="1">
        <v>42928</v>
      </c>
      <c r="B75" s="1">
        <v>43019</v>
      </c>
      <c r="C75">
        <v>323.934307670593</v>
      </c>
      <c r="D75">
        <v>323.24999961853001</v>
      </c>
      <c r="E75">
        <v>312.60000000000002</v>
      </c>
      <c r="F75">
        <v>10.649999618530201</v>
      </c>
      <c r="G75">
        <v>11.3343076705932</v>
      </c>
      <c r="H75">
        <v>10.649999618530201</v>
      </c>
      <c r="J75" s="1">
        <v>42928</v>
      </c>
      <c r="K75">
        <v>312.60000000000002</v>
      </c>
      <c r="L75">
        <v>308.64999999999998</v>
      </c>
      <c r="M75">
        <v>323.934307670593</v>
      </c>
      <c r="N75">
        <v>323.24999961853001</v>
      </c>
      <c r="O75">
        <f t="shared" si="13"/>
        <v>316.29215383529652</v>
      </c>
      <c r="P75">
        <f t="shared" si="14"/>
        <v>1</v>
      </c>
      <c r="Q75">
        <f t="shared" si="15"/>
        <v>0</v>
      </c>
      <c r="R75">
        <f t="shared" si="16"/>
        <v>1</v>
      </c>
      <c r="S75">
        <f t="shared" si="10"/>
        <v>0.46827751011824148</v>
      </c>
      <c r="T75">
        <f t="shared" si="11"/>
        <v>213.15998886107715</v>
      </c>
      <c r="U75">
        <f t="shared" si="12"/>
        <v>48.411617943260126</v>
      </c>
    </row>
    <row r="76" spans="1:21" x14ac:dyDescent="0.3">
      <c r="A76" s="1">
        <v>42929</v>
      </c>
      <c r="B76" s="1">
        <v>43020</v>
      </c>
      <c r="C76">
        <v>321.19215278625398</v>
      </c>
      <c r="D76">
        <v>325.650000381469</v>
      </c>
      <c r="E76">
        <v>316.55</v>
      </c>
      <c r="F76">
        <v>9.1000003814697195</v>
      </c>
      <c r="G76">
        <v>4.6421527862548801</v>
      </c>
      <c r="H76">
        <v>9.1000003814697195</v>
      </c>
      <c r="J76" s="1">
        <v>42929</v>
      </c>
      <c r="K76">
        <v>316.55</v>
      </c>
      <c r="L76">
        <v>307.25</v>
      </c>
      <c r="M76">
        <v>321.19215278625398</v>
      </c>
      <c r="N76">
        <v>325.650000381469</v>
      </c>
      <c r="O76">
        <f t="shared" si="13"/>
        <v>314.22107639312696</v>
      </c>
      <c r="P76">
        <f t="shared" si="14"/>
        <v>1</v>
      </c>
      <c r="Q76">
        <f t="shared" si="15"/>
        <v>0</v>
      </c>
      <c r="R76">
        <f t="shared" si="16"/>
        <v>0</v>
      </c>
      <c r="S76">
        <f t="shared" si="10"/>
        <v>19.872405182164286</v>
      </c>
      <c r="T76">
        <f t="shared" si="11"/>
        <v>338.56001403805931</v>
      </c>
      <c r="U76">
        <f t="shared" si="12"/>
        <v>130.62030353130001</v>
      </c>
    </row>
    <row r="77" spans="1:21" x14ac:dyDescent="0.3">
      <c r="A77" s="1">
        <v>42930</v>
      </c>
      <c r="B77" s="1">
        <v>43021</v>
      </c>
      <c r="C77">
        <v>326.841142845153</v>
      </c>
      <c r="D77">
        <v>325.30000038146898</v>
      </c>
      <c r="E77">
        <v>316.7</v>
      </c>
      <c r="F77">
        <v>8.6000003814697195</v>
      </c>
      <c r="G77">
        <v>10.1411428451538</v>
      </c>
      <c r="H77">
        <v>8.6000003814697195</v>
      </c>
      <c r="J77" s="1">
        <v>42930</v>
      </c>
      <c r="K77">
        <v>316.7</v>
      </c>
      <c r="L77">
        <v>301.5</v>
      </c>
      <c r="M77">
        <v>326.841142845153</v>
      </c>
      <c r="N77">
        <v>325.30000038146898</v>
      </c>
      <c r="O77">
        <f t="shared" si="13"/>
        <v>314.17057142257647</v>
      </c>
      <c r="P77">
        <f t="shared" si="14"/>
        <v>1</v>
      </c>
      <c r="Q77">
        <f t="shared" si="15"/>
        <v>0</v>
      </c>
      <c r="R77">
        <f t="shared" si="16"/>
        <v>0</v>
      </c>
      <c r="S77">
        <f t="shared" si="10"/>
        <v>2.3751200933700667</v>
      </c>
      <c r="T77">
        <f t="shared" si="11"/>
        <v>566.44001815792342</v>
      </c>
      <c r="U77">
        <f t="shared" si="12"/>
        <v>123.86418895103509</v>
      </c>
    </row>
    <row r="78" spans="1:21" x14ac:dyDescent="0.3">
      <c r="A78" s="1">
        <v>42933</v>
      </c>
      <c r="B78" s="1">
        <v>43024</v>
      </c>
      <c r="C78">
        <v>324.00978183746298</v>
      </c>
      <c r="D78">
        <v>325.5</v>
      </c>
      <c r="E78">
        <v>317.5</v>
      </c>
      <c r="F78">
        <v>8</v>
      </c>
      <c r="G78">
        <v>6.50978183746337</v>
      </c>
      <c r="H78">
        <v>8</v>
      </c>
      <c r="J78" s="1">
        <v>42933</v>
      </c>
      <c r="K78">
        <v>317.5</v>
      </c>
      <c r="L78">
        <v>304.60000000000002</v>
      </c>
      <c r="M78">
        <v>324.00978183746298</v>
      </c>
      <c r="N78">
        <v>325.5</v>
      </c>
      <c r="O78">
        <f t="shared" si="13"/>
        <v>314.30489091873153</v>
      </c>
      <c r="P78">
        <f t="shared" si="14"/>
        <v>1</v>
      </c>
      <c r="Q78">
        <f t="shared" si="15"/>
        <v>0</v>
      </c>
      <c r="R78">
        <f t="shared" si="16"/>
        <v>0</v>
      </c>
      <c r="S78">
        <f t="shared" si="10"/>
        <v>2.220750171955209</v>
      </c>
      <c r="T78">
        <f t="shared" si="11"/>
        <v>436.80999999999904</v>
      </c>
      <c r="U78">
        <f t="shared" si="12"/>
        <v>125.33046734149976</v>
      </c>
    </row>
    <row r="79" spans="1:21" x14ac:dyDescent="0.3">
      <c r="A79" s="1">
        <v>42934</v>
      </c>
      <c r="B79" s="1">
        <v>43025</v>
      </c>
      <c r="C79">
        <v>322.33236293792697</v>
      </c>
      <c r="D79">
        <v>325.8</v>
      </c>
      <c r="E79">
        <v>318.05</v>
      </c>
      <c r="F79">
        <v>7.75</v>
      </c>
      <c r="G79">
        <v>4.2823629379272399</v>
      </c>
      <c r="H79">
        <v>7.75</v>
      </c>
      <c r="J79" s="1">
        <v>42934</v>
      </c>
      <c r="K79">
        <v>318.05</v>
      </c>
      <c r="L79">
        <v>304.60000000000002</v>
      </c>
      <c r="M79">
        <v>322.33236293792697</v>
      </c>
      <c r="N79">
        <v>325.8</v>
      </c>
      <c r="O79">
        <f t="shared" si="13"/>
        <v>313.4661814689635</v>
      </c>
      <c r="P79">
        <f t="shared" si="14"/>
        <v>1</v>
      </c>
      <c r="Q79">
        <f t="shared" si="15"/>
        <v>0</v>
      </c>
      <c r="R79">
        <f t="shared" si="16"/>
        <v>0</v>
      </c>
      <c r="S79">
        <f t="shared" si="10"/>
        <v>12.024506794262532</v>
      </c>
      <c r="T79">
        <f t="shared" si="11"/>
        <v>449.43999999999954</v>
      </c>
      <c r="U79">
        <f t="shared" si="12"/>
        <v>152.12307955653969</v>
      </c>
    </row>
    <row r="80" spans="1:21" x14ac:dyDescent="0.3">
      <c r="A80" s="1">
        <v>42935</v>
      </c>
      <c r="B80" s="1">
        <v>43026</v>
      </c>
      <c r="C80">
        <v>318.97370250224998</v>
      </c>
      <c r="D80">
        <v>325.85000009536702</v>
      </c>
      <c r="E80">
        <v>318.7</v>
      </c>
      <c r="F80">
        <v>7.1500000953674299</v>
      </c>
      <c r="G80">
        <v>0.273702502250671</v>
      </c>
      <c r="H80">
        <v>7.1500000953674299</v>
      </c>
      <c r="J80" s="1">
        <v>42935</v>
      </c>
      <c r="K80">
        <v>318.7</v>
      </c>
      <c r="L80">
        <v>306.25</v>
      </c>
      <c r="M80">
        <v>318.97370250224998</v>
      </c>
      <c r="N80">
        <v>325.85000009536702</v>
      </c>
      <c r="O80">
        <f t="shared" si="13"/>
        <v>312.61185125112502</v>
      </c>
      <c r="P80">
        <f t="shared" si="14"/>
        <v>1</v>
      </c>
      <c r="Q80">
        <f t="shared" si="15"/>
        <v>0</v>
      </c>
      <c r="R80">
        <f t="shared" si="16"/>
        <v>0</v>
      </c>
      <c r="S80">
        <f t="shared" si="10"/>
        <v>47.283468589107258</v>
      </c>
      <c r="T80">
        <f t="shared" si="11"/>
        <v>384.16000373838727</v>
      </c>
      <c r="U80">
        <f t="shared" si="12"/>
        <v>175.24858482230593</v>
      </c>
    </row>
    <row r="81" spans="1:21" x14ac:dyDescent="0.3">
      <c r="A81" s="1">
        <v>42936</v>
      </c>
      <c r="B81" s="1">
        <v>43027</v>
      </c>
      <c r="C81">
        <v>317.29579792022702</v>
      </c>
      <c r="D81">
        <v>324.10000000000002</v>
      </c>
      <c r="E81">
        <v>319.60000000000002</v>
      </c>
      <c r="F81">
        <v>-4.5</v>
      </c>
      <c r="G81">
        <v>-2.3042020797729399</v>
      </c>
      <c r="H81">
        <v>4.5</v>
      </c>
      <c r="J81" s="1">
        <v>42936</v>
      </c>
      <c r="K81">
        <v>319.60000000000002</v>
      </c>
      <c r="L81">
        <v>307.89999999999998</v>
      </c>
      <c r="M81">
        <v>317.29579792022702</v>
      </c>
      <c r="N81">
        <v>324.10000000000002</v>
      </c>
      <c r="O81">
        <f t="shared" si="13"/>
        <v>312.59789896011353</v>
      </c>
      <c r="P81">
        <f t="shared" si="14"/>
        <v>0</v>
      </c>
      <c r="Q81">
        <f t="shared" si="15"/>
        <v>0</v>
      </c>
      <c r="R81">
        <f t="shared" si="16"/>
        <v>0</v>
      </c>
      <c r="S81">
        <f t="shared" si="10"/>
        <v>46.297165942387302</v>
      </c>
      <c r="T81">
        <f t="shared" si="11"/>
        <v>262.44000000000148</v>
      </c>
      <c r="U81">
        <f t="shared" si="12"/>
        <v>132.29832833175806</v>
      </c>
    </row>
    <row r="82" spans="1:21" x14ac:dyDescent="0.3">
      <c r="A82" s="1">
        <v>42937</v>
      </c>
      <c r="B82" s="1">
        <v>43028</v>
      </c>
      <c r="C82">
        <v>327.960609054565</v>
      </c>
      <c r="D82">
        <v>326.250000095367</v>
      </c>
      <c r="E82">
        <v>321.10000000000002</v>
      </c>
      <c r="F82">
        <v>5.1500000953674299</v>
      </c>
      <c r="G82">
        <v>6.8606090545654297</v>
      </c>
      <c r="H82">
        <v>5.1500000953674299</v>
      </c>
      <c r="J82" s="1">
        <v>42937</v>
      </c>
      <c r="K82">
        <v>321.10000000000002</v>
      </c>
      <c r="L82">
        <v>307.75</v>
      </c>
      <c r="M82">
        <v>327.960609054565</v>
      </c>
      <c r="N82">
        <v>326.250000095367</v>
      </c>
      <c r="O82">
        <f t="shared" si="13"/>
        <v>317.8553045272825</v>
      </c>
      <c r="P82">
        <f t="shared" si="14"/>
        <v>1</v>
      </c>
      <c r="Q82">
        <f t="shared" si="15"/>
        <v>0</v>
      </c>
      <c r="R82">
        <f t="shared" si="16"/>
        <v>0</v>
      </c>
      <c r="S82">
        <f t="shared" si="10"/>
        <v>2.9261830112884581</v>
      </c>
      <c r="T82">
        <f t="shared" si="11"/>
        <v>342.25000352857899</v>
      </c>
      <c r="U82">
        <f t="shared" si="12"/>
        <v>70.47091368081756</v>
      </c>
    </row>
    <row r="83" spans="1:21" x14ac:dyDescent="0.3">
      <c r="A83" s="1">
        <v>42940</v>
      </c>
      <c r="B83" s="1">
        <v>43031</v>
      </c>
      <c r="C83">
        <v>330.41697978973298</v>
      </c>
      <c r="D83">
        <v>327.05000019073401</v>
      </c>
      <c r="E83">
        <v>321.25</v>
      </c>
      <c r="F83">
        <v>5.8000001907348597</v>
      </c>
      <c r="G83">
        <v>9.1669797897338796</v>
      </c>
      <c r="H83">
        <v>5.8000001907348597</v>
      </c>
      <c r="J83" s="1">
        <v>42940</v>
      </c>
      <c r="K83">
        <v>321.25</v>
      </c>
      <c r="L83">
        <v>307.05</v>
      </c>
      <c r="M83">
        <v>330.41697978973298</v>
      </c>
      <c r="N83">
        <v>327.05000019073401</v>
      </c>
      <c r="O83">
        <f t="shared" si="13"/>
        <v>318.73348989486647</v>
      </c>
      <c r="P83">
        <f t="shared" si="14"/>
        <v>1</v>
      </c>
      <c r="Q83">
        <f t="shared" si="15"/>
        <v>0</v>
      </c>
      <c r="R83">
        <f t="shared" si="16"/>
        <v>0</v>
      </c>
      <c r="S83">
        <f t="shared" si="10"/>
        <v>11.336551620075243</v>
      </c>
      <c r="T83">
        <f t="shared" si="11"/>
        <v>400.00000762936003</v>
      </c>
      <c r="U83">
        <f t="shared" si="12"/>
        <v>69.164343501270878</v>
      </c>
    </row>
    <row r="84" spans="1:21" x14ac:dyDescent="0.3">
      <c r="A84" s="1">
        <v>42941</v>
      </c>
      <c r="B84" s="1">
        <v>43032</v>
      </c>
      <c r="C84">
        <v>330.08345737457199</v>
      </c>
      <c r="D84">
        <v>326.55000009536701</v>
      </c>
      <c r="E84">
        <v>319.64999999999998</v>
      </c>
      <c r="F84">
        <v>6.9000000953674299</v>
      </c>
      <c r="G84">
        <v>10.433457374572701</v>
      </c>
      <c r="H84">
        <v>6.9000000953674299</v>
      </c>
      <c r="J84" s="1">
        <v>42941</v>
      </c>
      <c r="K84">
        <v>319.64999999999998</v>
      </c>
      <c r="L84">
        <v>308.7</v>
      </c>
      <c r="M84">
        <v>330.08345737457199</v>
      </c>
      <c r="N84">
        <v>326.55000009536701</v>
      </c>
      <c r="O84">
        <f t="shared" si="13"/>
        <v>319.39172868728599</v>
      </c>
      <c r="P84">
        <f t="shared" si="14"/>
        <v>1</v>
      </c>
      <c r="Q84">
        <f t="shared" si="15"/>
        <v>0</v>
      </c>
      <c r="R84">
        <f t="shared" si="16"/>
        <v>0</v>
      </c>
      <c r="S84">
        <f t="shared" si="10"/>
        <v>12.485320343966668</v>
      </c>
      <c r="T84">
        <f t="shared" si="11"/>
        <v>318.6225034046027</v>
      </c>
      <c r="U84">
        <f t="shared" si="12"/>
        <v>51.240849551750237</v>
      </c>
    </row>
    <row r="85" spans="1:21" x14ac:dyDescent="0.3">
      <c r="A85" s="1">
        <v>42942</v>
      </c>
      <c r="B85" s="1">
        <v>43033</v>
      </c>
      <c r="C85">
        <v>335.478800964355</v>
      </c>
      <c r="D85">
        <v>326.750000190734</v>
      </c>
      <c r="E85">
        <v>318.95</v>
      </c>
      <c r="F85">
        <v>7.8000001907348597</v>
      </c>
      <c r="G85">
        <v>16.528800964355401</v>
      </c>
      <c r="H85">
        <v>7.8000001907348597</v>
      </c>
      <c r="J85" s="1">
        <v>42942</v>
      </c>
      <c r="K85">
        <v>318.95</v>
      </c>
      <c r="L85">
        <v>308.60000000000002</v>
      </c>
      <c r="M85">
        <v>335.478800964355</v>
      </c>
      <c r="N85">
        <v>326.750000190734</v>
      </c>
      <c r="O85">
        <f t="shared" si="13"/>
        <v>322.03940048217748</v>
      </c>
      <c r="P85">
        <f t="shared" si="14"/>
        <v>1</v>
      </c>
      <c r="Q85">
        <f t="shared" si="15"/>
        <v>0</v>
      </c>
      <c r="R85">
        <f t="shared" si="16"/>
        <v>1</v>
      </c>
      <c r="S85">
        <f t="shared" si="10"/>
        <v>76.19196294556663</v>
      </c>
      <c r="T85">
        <f t="shared" si="11"/>
        <v>329.42250692364337</v>
      </c>
      <c r="U85">
        <f t="shared" si="12"/>
        <v>22.189749614252722</v>
      </c>
    </row>
    <row r="86" spans="1:21" x14ac:dyDescent="0.3">
      <c r="A86" s="1">
        <v>42943</v>
      </c>
      <c r="B86" s="1">
        <v>43034</v>
      </c>
      <c r="C86">
        <v>339.27945861816403</v>
      </c>
      <c r="D86">
        <v>323.750000095367</v>
      </c>
      <c r="E86">
        <v>319.85000000000002</v>
      </c>
      <c r="F86">
        <v>3.9000000953674299</v>
      </c>
      <c r="G86">
        <v>19.429458618163999</v>
      </c>
      <c r="H86">
        <v>3.9000000953674299</v>
      </c>
      <c r="J86" s="1">
        <v>42943</v>
      </c>
      <c r="K86">
        <v>319.85000000000002</v>
      </c>
      <c r="L86">
        <v>310.10000000000002</v>
      </c>
      <c r="M86">
        <v>339.27945861816403</v>
      </c>
      <c r="N86">
        <v>323.750000095367</v>
      </c>
      <c r="O86">
        <f t="shared" si="13"/>
        <v>324.68972930908205</v>
      </c>
      <c r="P86">
        <f t="shared" si="14"/>
        <v>1</v>
      </c>
      <c r="Q86">
        <f t="shared" si="15"/>
        <v>0</v>
      </c>
      <c r="R86">
        <f t="shared" si="16"/>
        <v>1</v>
      </c>
      <c r="S86">
        <f t="shared" si="10"/>
        <v>241.16408201127328</v>
      </c>
      <c r="T86">
        <f t="shared" si="11"/>
        <v>186.32250260351847</v>
      </c>
      <c r="U86">
        <f t="shared" si="12"/>
        <v>0.88309099510951428</v>
      </c>
    </row>
    <row r="87" spans="1:21" x14ac:dyDescent="0.3">
      <c r="A87" s="1">
        <v>42944</v>
      </c>
      <c r="B87" s="1">
        <v>43035</v>
      </c>
      <c r="C87">
        <v>335.24728851318298</v>
      </c>
      <c r="D87">
        <v>326.85000019073402</v>
      </c>
      <c r="E87">
        <v>312.55</v>
      </c>
      <c r="F87">
        <v>14.300000190734799</v>
      </c>
      <c r="G87">
        <v>22.697288513183501</v>
      </c>
      <c r="H87">
        <v>14.300000190734799</v>
      </c>
      <c r="J87" s="1">
        <v>42944</v>
      </c>
      <c r="K87">
        <v>312.55</v>
      </c>
      <c r="L87">
        <v>310.25</v>
      </c>
      <c r="M87">
        <v>335.24728851318298</v>
      </c>
      <c r="N87">
        <v>326.85000019073402</v>
      </c>
      <c r="O87">
        <f t="shared" si="13"/>
        <v>322.74864425659149</v>
      </c>
      <c r="P87">
        <f t="shared" si="14"/>
        <v>1</v>
      </c>
      <c r="Q87">
        <f t="shared" si="15"/>
        <v>0</v>
      </c>
      <c r="R87">
        <f t="shared" si="16"/>
        <v>1</v>
      </c>
      <c r="S87">
        <f t="shared" si="10"/>
        <v>70.514451170337637</v>
      </c>
      <c r="T87">
        <f t="shared" si="11"/>
        <v>275.56000633236954</v>
      </c>
      <c r="U87">
        <f t="shared" si="12"/>
        <v>16.821120498526163</v>
      </c>
    </row>
    <row r="88" spans="1:21" x14ac:dyDescent="0.3">
      <c r="A88" s="1">
        <v>42947</v>
      </c>
      <c r="B88" s="1">
        <v>43038</v>
      </c>
      <c r="C88">
        <v>321.35298900604198</v>
      </c>
      <c r="D88">
        <v>327.44999961853</v>
      </c>
      <c r="E88">
        <v>313.55</v>
      </c>
      <c r="F88">
        <v>13.899999618530201</v>
      </c>
      <c r="G88">
        <v>7.8029890060424796</v>
      </c>
      <c r="H88">
        <v>13.899999618530201</v>
      </c>
      <c r="J88" s="1">
        <v>42947</v>
      </c>
      <c r="K88">
        <v>313.55</v>
      </c>
      <c r="L88">
        <v>308.2</v>
      </c>
      <c r="M88">
        <v>321.35298900604198</v>
      </c>
      <c r="N88">
        <v>327.44999961853</v>
      </c>
      <c r="O88">
        <f t="shared" si="13"/>
        <v>314.77649450302101</v>
      </c>
      <c r="P88">
        <f t="shared" si="14"/>
        <v>1</v>
      </c>
      <c r="Q88">
        <f t="shared" si="15"/>
        <v>0</v>
      </c>
      <c r="R88">
        <f t="shared" si="16"/>
        <v>1</v>
      </c>
      <c r="S88">
        <f t="shared" si="10"/>
        <v>37.173538408791543</v>
      </c>
      <c r="T88">
        <f t="shared" si="11"/>
        <v>370.5624853134056</v>
      </c>
      <c r="U88">
        <f t="shared" si="12"/>
        <v>160.61773191283248</v>
      </c>
    </row>
    <row r="89" spans="1:21" x14ac:dyDescent="0.3">
      <c r="A89" s="1">
        <v>42948</v>
      </c>
      <c r="B89" s="1">
        <v>43039</v>
      </c>
      <c r="C89">
        <v>327.26724510192798</v>
      </c>
      <c r="D89">
        <v>331.05</v>
      </c>
      <c r="E89">
        <v>316.55</v>
      </c>
      <c r="F89">
        <v>14.5</v>
      </c>
      <c r="G89">
        <v>10.7172451019287</v>
      </c>
      <c r="H89">
        <v>14.5</v>
      </c>
      <c r="J89" s="1">
        <v>42948</v>
      </c>
      <c r="K89">
        <v>316.55</v>
      </c>
      <c r="L89">
        <v>307.14999999999998</v>
      </c>
      <c r="M89">
        <v>327.26724510192798</v>
      </c>
      <c r="N89">
        <v>331.05</v>
      </c>
      <c r="O89">
        <f t="shared" si="13"/>
        <v>317.20862255096398</v>
      </c>
      <c r="P89">
        <f t="shared" si="14"/>
        <v>1</v>
      </c>
      <c r="Q89">
        <f t="shared" si="15"/>
        <v>0</v>
      </c>
      <c r="R89">
        <f t="shared" si="16"/>
        <v>1</v>
      </c>
      <c r="S89">
        <f t="shared" si="10"/>
        <v>14.309234618887919</v>
      </c>
      <c r="T89">
        <f t="shared" si="11"/>
        <v>571.21000000000163</v>
      </c>
      <c r="U89">
        <f t="shared" si="12"/>
        <v>191.5837296866832</v>
      </c>
    </row>
    <row r="90" spans="1:21" x14ac:dyDescent="0.3">
      <c r="A90" s="1">
        <v>42949</v>
      </c>
      <c r="B90" s="1">
        <v>43040</v>
      </c>
      <c r="C90">
        <v>327.13849201202299</v>
      </c>
      <c r="D90">
        <v>336.54999961853002</v>
      </c>
      <c r="E90">
        <v>317.14999999999998</v>
      </c>
      <c r="F90">
        <v>19.399999618530199</v>
      </c>
      <c r="G90">
        <v>9.9884920120239205</v>
      </c>
      <c r="H90">
        <v>19.399999618530199</v>
      </c>
      <c r="J90" s="1">
        <v>42949</v>
      </c>
      <c r="K90">
        <v>317.14999999999998</v>
      </c>
      <c r="L90">
        <v>309</v>
      </c>
      <c r="M90">
        <v>327.13849201202299</v>
      </c>
      <c r="N90">
        <v>336.54999961853002</v>
      </c>
      <c r="O90">
        <f t="shared" si="13"/>
        <v>318.0692460060115</v>
      </c>
      <c r="P90">
        <f t="shared" si="14"/>
        <v>1</v>
      </c>
      <c r="Q90">
        <f t="shared" si="15"/>
        <v>0</v>
      </c>
      <c r="R90">
        <f t="shared" si="16"/>
        <v>1</v>
      </c>
      <c r="S90">
        <f t="shared" si="10"/>
        <v>88.576475427339687</v>
      </c>
      <c r="T90">
        <f t="shared" si="11"/>
        <v>759.0024789810044</v>
      </c>
      <c r="U90">
        <f t="shared" si="12"/>
        <v>341.53825408661658</v>
      </c>
    </row>
    <row r="91" spans="1:21" x14ac:dyDescent="0.3">
      <c r="A91" s="1">
        <v>42950</v>
      </c>
      <c r="B91" s="1">
        <v>43041</v>
      </c>
      <c r="C91">
        <v>326.43041839599601</v>
      </c>
      <c r="D91">
        <v>335.04999961853002</v>
      </c>
      <c r="E91">
        <v>311.64999999999998</v>
      </c>
      <c r="F91">
        <v>23.399999618530199</v>
      </c>
      <c r="G91">
        <v>14.780418395996</v>
      </c>
      <c r="H91">
        <v>23.399999618530199</v>
      </c>
      <c r="J91" s="1">
        <v>42950</v>
      </c>
      <c r="K91">
        <v>311.64999999999998</v>
      </c>
      <c r="L91">
        <v>306.64999999999998</v>
      </c>
      <c r="M91">
        <v>326.43041839599601</v>
      </c>
      <c r="N91">
        <v>335.04999961853002</v>
      </c>
      <c r="O91">
        <f t="shared" si="13"/>
        <v>316.54020919799802</v>
      </c>
      <c r="P91">
        <f t="shared" si="14"/>
        <v>1</v>
      </c>
      <c r="Q91">
        <f t="shared" si="15"/>
        <v>0</v>
      </c>
      <c r="R91">
        <f t="shared" si="16"/>
        <v>1</v>
      </c>
      <c r="S91">
        <f t="shared" si="10"/>
        <v>74.297180451860882</v>
      </c>
      <c r="T91">
        <f t="shared" si="11"/>
        <v>806.55997833250672</v>
      </c>
      <c r="U91">
        <f t="shared" si="12"/>
        <v>342.61234141201817</v>
      </c>
    </row>
    <row r="92" spans="1:21" x14ac:dyDescent="0.3">
      <c r="A92" s="1">
        <v>42951</v>
      </c>
      <c r="B92" s="1">
        <v>43042</v>
      </c>
      <c r="C92">
        <v>319.94768962860098</v>
      </c>
      <c r="D92">
        <v>336.35</v>
      </c>
      <c r="E92">
        <v>312.85000000000002</v>
      </c>
      <c r="F92">
        <v>23.5</v>
      </c>
      <c r="G92">
        <v>7.0976896286010698</v>
      </c>
      <c r="H92">
        <v>23.5</v>
      </c>
      <c r="J92" s="1">
        <v>42951</v>
      </c>
      <c r="K92">
        <v>312.85000000000002</v>
      </c>
      <c r="L92">
        <v>306.3</v>
      </c>
      <c r="M92">
        <v>319.94768962860098</v>
      </c>
      <c r="N92">
        <v>336.35</v>
      </c>
      <c r="O92">
        <f t="shared" si="13"/>
        <v>313.12384481430047</v>
      </c>
      <c r="P92">
        <f t="shared" si="14"/>
        <v>1</v>
      </c>
      <c r="Q92">
        <f t="shared" si="15"/>
        <v>0</v>
      </c>
      <c r="R92">
        <f t="shared" si="16"/>
        <v>1</v>
      </c>
      <c r="S92">
        <f t="shared" si="10"/>
        <v>269.03578551970452</v>
      </c>
      <c r="T92">
        <f t="shared" si="11"/>
        <v>903.00250000000074</v>
      </c>
      <c r="U92">
        <f t="shared" si="12"/>
        <v>539.45428471019829</v>
      </c>
    </row>
    <row r="93" spans="1:21" x14ac:dyDescent="0.3">
      <c r="A93" s="1">
        <v>42954</v>
      </c>
      <c r="B93" s="1">
        <v>43045</v>
      </c>
      <c r="C93">
        <v>320.89361133575397</v>
      </c>
      <c r="D93">
        <v>334.15</v>
      </c>
      <c r="E93">
        <v>312.89999999999998</v>
      </c>
      <c r="F93">
        <v>21.25</v>
      </c>
      <c r="G93">
        <v>7.9936113357543901</v>
      </c>
      <c r="H93">
        <v>21.25</v>
      </c>
      <c r="J93" s="1">
        <v>42954</v>
      </c>
      <c r="K93">
        <v>312.89999999999998</v>
      </c>
      <c r="L93">
        <v>303.5</v>
      </c>
      <c r="M93">
        <v>320.89361133575397</v>
      </c>
      <c r="N93">
        <v>334.15</v>
      </c>
      <c r="O93">
        <f t="shared" si="13"/>
        <v>312.19680566787702</v>
      </c>
      <c r="P93">
        <f t="shared" si="14"/>
        <v>1</v>
      </c>
      <c r="Q93">
        <f t="shared" si="15"/>
        <v>0</v>
      </c>
      <c r="R93">
        <f t="shared" si="16"/>
        <v>0</v>
      </c>
      <c r="S93">
        <f t="shared" si="10"/>
        <v>175.73184041754993</v>
      </c>
      <c r="T93">
        <f t="shared" si="11"/>
        <v>939.42249999999865</v>
      </c>
      <c r="U93">
        <f t="shared" si="12"/>
        <v>481.94274138395576</v>
      </c>
    </row>
    <row r="94" spans="1:21" x14ac:dyDescent="0.3">
      <c r="A94" s="1">
        <v>42955</v>
      </c>
      <c r="B94" s="1">
        <v>43046</v>
      </c>
      <c r="C94">
        <v>320.00423631668002</v>
      </c>
      <c r="D94">
        <v>333.74999961853001</v>
      </c>
      <c r="E94">
        <v>312.85000000000002</v>
      </c>
      <c r="F94">
        <v>20.899999618530199</v>
      </c>
      <c r="G94">
        <v>7.1542363166809002</v>
      </c>
      <c r="H94">
        <v>20.899999618530199</v>
      </c>
      <c r="J94" s="1">
        <v>42955</v>
      </c>
      <c r="K94">
        <v>312.85000000000002</v>
      </c>
      <c r="L94">
        <v>302.7</v>
      </c>
      <c r="M94">
        <v>320.00423631668002</v>
      </c>
      <c r="N94">
        <v>333.74999961853001</v>
      </c>
      <c r="O94">
        <f t="shared" si="13"/>
        <v>311.35211815833998</v>
      </c>
      <c r="P94">
        <f t="shared" si="14"/>
        <v>1</v>
      </c>
      <c r="Q94">
        <f t="shared" si="15"/>
        <v>0</v>
      </c>
      <c r="R94">
        <f t="shared" si="16"/>
        <v>0</v>
      </c>
      <c r="S94">
        <f t="shared" si="10"/>
        <v>188.94600875048596</v>
      </c>
      <c r="T94">
        <f t="shared" si="11"/>
        <v>964.10247631071456</v>
      </c>
      <c r="U94">
        <f t="shared" si="12"/>
        <v>501.66509390472453</v>
      </c>
    </row>
    <row r="95" spans="1:21" x14ac:dyDescent="0.3">
      <c r="A95" s="1">
        <v>42956</v>
      </c>
      <c r="B95" s="1">
        <v>43047</v>
      </c>
      <c r="C95">
        <v>319.32360782623198</v>
      </c>
      <c r="D95">
        <v>335.25000038146902</v>
      </c>
      <c r="E95">
        <v>308.64999999999998</v>
      </c>
      <c r="F95">
        <v>26.600000381469702</v>
      </c>
      <c r="G95">
        <v>10.673607826232899</v>
      </c>
      <c r="H95">
        <v>26.600000381469702</v>
      </c>
      <c r="J95" s="1">
        <v>42956</v>
      </c>
      <c r="K95">
        <v>308.64999999999998</v>
      </c>
      <c r="L95">
        <v>302.3</v>
      </c>
      <c r="M95">
        <v>319.32360782623198</v>
      </c>
      <c r="N95">
        <v>335.25000038146902</v>
      </c>
      <c r="O95">
        <f t="shared" si="13"/>
        <v>310.81180391311602</v>
      </c>
      <c r="P95">
        <f t="shared" si="14"/>
        <v>1</v>
      </c>
      <c r="Q95">
        <f t="shared" si="15"/>
        <v>0</v>
      </c>
      <c r="R95">
        <f t="shared" si="16"/>
        <v>1</v>
      </c>
      <c r="S95">
        <f t="shared" si="10"/>
        <v>253.64997982350994</v>
      </c>
      <c r="T95">
        <f t="shared" si="11"/>
        <v>1085.7025251388079</v>
      </c>
      <c r="U95">
        <f t="shared" si="12"/>
        <v>597.22544662582095</v>
      </c>
    </row>
    <row r="96" spans="1:21" x14ac:dyDescent="0.3">
      <c r="A96" s="1">
        <v>42957</v>
      </c>
      <c r="B96" s="1">
        <v>43048</v>
      </c>
      <c r="C96">
        <v>319.59751796722401</v>
      </c>
      <c r="D96">
        <v>333.64999961852999</v>
      </c>
      <c r="E96">
        <v>307.25</v>
      </c>
      <c r="F96">
        <v>26.399999618530199</v>
      </c>
      <c r="G96">
        <v>12.3475179672241</v>
      </c>
      <c r="H96">
        <v>26.399999618530199</v>
      </c>
      <c r="J96" s="1">
        <v>42957</v>
      </c>
      <c r="K96">
        <v>307.25</v>
      </c>
      <c r="L96">
        <v>306.2</v>
      </c>
      <c r="M96">
        <v>319.59751796722401</v>
      </c>
      <c r="N96">
        <v>333.64999961852999</v>
      </c>
      <c r="O96">
        <f t="shared" si="13"/>
        <v>312.89875898361197</v>
      </c>
      <c r="P96">
        <f t="shared" si="14"/>
        <v>1</v>
      </c>
      <c r="Q96">
        <f t="shared" si="15"/>
        <v>0</v>
      </c>
      <c r="R96">
        <f t="shared" si="16"/>
        <v>1</v>
      </c>
      <c r="S96">
        <f t="shared" si="10"/>
        <v>197.47224056029128</v>
      </c>
      <c r="T96">
        <f t="shared" si="11"/>
        <v>753.50247905729714</v>
      </c>
      <c r="U96">
        <f t="shared" si="12"/>
        <v>430.61398788827279</v>
      </c>
    </row>
    <row r="97" spans="1:21" x14ac:dyDescent="0.3">
      <c r="A97" s="1">
        <v>42958</v>
      </c>
      <c r="B97" s="1">
        <v>43049</v>
      </c>
      <c r="C97">
        <v>317.33347511291498</v>
      </c>
      <c r="D97">
        <v>332.89999961852999</v>
      </c>
      <c r="E97">
        <v>301.5</v>
      </c>
      <c r="F97">
        <v>31.399999618530199</v>
      </c>
      <c r="G97">
        <v>15.833475112915</v>
      </c>
      <c r="H97">
        <v>31.399999618530199</v>
      </c>
      <c r="J97" s="1">
        <v>42958</v>
      </c>
      <c r="K97">
        <v>301.5</v>
      </c>
      <c r="L97">
        <v>306.25</v>
      </c>
      <c r="M97">
        <v>317.33347511291498</v>
      </c>
      <c r="N97">
        <v>332.89999961852999</v>
      </c>
      <c r="O97">
        <f t="shared" si="13"/>
        <v>311.79173755645752</v>
      </c>
      <c r="P97">
        <f t="shared" si="14"/>
        <v>1</v>
      </c>
      <c r="Q97">
        <f t="shared" si="15"/>
        <v>1</v>
      </c>
      <c r="R97">
        <f t="shared" si="16"/>
        <v>1</v>
      </c>
      <c r="S97">
        <f t="shared" si="10"/>
        <v>242.31668518391254</v>
      </c>
      <c r="T97">
        <f t="shared" si="11"/>
        <v>710.2224796676486</v>
      </c>
      <c r="U97">
        <f t="shared" si="12"/>
        <v>445.55872728112791</v>
      </c>
    </row>
    <row r="98" spans="1:21" x14ac:dyDescent="0.3">
      <c r="A98" s="1">
        <v>42961</v>
      </c>
      <c r="B98" s="1">
        <v>43052</v>
      </c>
      <c r="C98">
        <v>317.29732475280701</v>
      </c>
      <c r="D98">
        <v>331.55000076293902</v>
      </c>
      <c r="E98">
        <v>304.60000000000002</v>
      </c>
      <c r="F98">
        <v>26.9500007629394</v>
      </c>
      <c r="G98">
        <v>12.697324752807599</v>
      </c>
      <c r="H98">
        <v>26.9500007629394</v>
      </c>
      <c r="J98" s="1">
        <v>42961</v>
      </c>
      <c r="K98">
        <v>304.60000000000002</v>
      </c>
      <c r="L98">
        <v>309.25</v>
      </c>
      <c r="M98">
        <v>317.29732475280701</v>
      </c>
      <c r="N98">
        <v>331.55000076293902</v>
      </c>
      <c r="O98">
        <f t="shared" si="13"/>
        <v>313.27366237640354</v>
      </c>
      <c r="P98">
        <f t="shared" si="14"/>
        <v>1</v>
      </c>
      <c r="Q98">
        <f t="shared" si="15"/>
        <v>1</v>
      </c>
      <c r="R98">
        <f t="shared" si="16"/>
        <v>1</v>
      </c>
      <c r="S98">
        <f t="shared" si="10"/>
        <v>203.13877344979241</v>
      </c>
      <c r="T98">
        <f t="shared" si="11"/>
        <v>497.29003402708094</v>
      </c>
      <c r="U98">
        <f t="shared" si="12"/>
        <v>334.02454481915049</v>
      </c>
    </row>
    <row r="99" spans="1:21" x14ac:dyDescent="0.3">
      <c r="A99" s="1">
        <v>42962</v>
      </c>
      <c r="B99" s="1">
        <v>43053</v>
      </c>
      <c r="C99">
        <v>321.876689529418</v>
      </c>
      <c r="D99">
        <v>331.30000076293902</v>
      </c>
      <c r="E99">
        <v>304.60000000000002</v>
      </c>
      <c r="F99">
        <v>26.7000007629394</v>
      </c>
      <c r="G99">
        <v>17.276689529418899</v>
      </c>
      <c r="H99">
        <v>26.7000007629394</v>
      </c>
      <c r="J99" s="1">
        <v>42962</v>
      </c>
      <c r="K99">
        <v>304.60000000000002</v>
      </c>
      <c r="L99">
        <v>309.2</v>
      </c>
      <c r="M99">
        <v>321.876689529418</v>
      </c>
      <c r="N99">
        <v>331.30000076293902</v>
      </c>
      <c r="O99">
        <f t="shared" si="13"/>
        <v>315.538344764709</v>
      </c>
      <c r="P99">
        <f t="shared" si="14"/>
        <v>1</v>
      </c>
      <c r="Q99">
        <f t="shared" si="15"/>
        <v>1</v>
      </c>
      <c r="R99">
        <f t="shared" si="16"/>
        <v>1</v>
      </c>
      <c r="S99">
        <f t="shared" si="10"/>
        <v>88.798794603803429</v>
      </c>
      <c r="T99">
        <f t="shared" si="11"/>
        <v>488.41003372190579</v>
      </c>
      <c r="U99">
        <f t="shared" si="12"/>
        <v>248.42979980654056</v>
      </c>
    </row>
    <row r="100" spans="1:21" x14ac:dyDescent="0.3">
      <c r="A100" s="1">
        <v>42963</v>
      </c>
      <c r="B100" s="1">
        <v>43054</v>
      </c>
      <c r="C100">
        <v>318.316993713378</v>
      </c>
      <c r="D100">
        <v>329.14999961852999</v>
      </c>
      <c r="E100">
        <v>306.25</v>
      </c>
      <c r="F100">
        <v>22.899999618530199</v>
      </c>
      <c r="G100">
        <v>12.066993713378899</v>
      </c>
      <c r="H100">
        <v>22.899999618530199</v>
      </c>
      <c r="J100" s="1">
        <v>42963</v>
      </c>
      <c r="K100">
        <v>306.25</v>
      </c>
      <c r="L100">
        <v>308.55</v>
      </c>
      <c r="M100">
        <v>318.316993713378</v>
      </c>
      <c r="N100">
        <v>329.14999961852999</v>
      </c>
      <c r="O100">
        <f t="shared" si="13"/>
        <v>313.43349685668898</v>
      </c>
      <c r="P100">
        <f t="shared" si="14"/>
        <v>1</v>
      </c>
      <c r="Q100">
        <f t="shared" si="15"/>
        <v>1</v>
      </c>
      <c r="R100">
        <f t="shared" si="16"/>
        <v>1</v>
      </c>
      <c r="S100">
        <f t="shared" si="10"/>
        <v>117.35401694105794</v>
      </c>
      <c r="T100">
        <f t="shared" si="11"/>
        <v>424.35998428343521</v>
      </c>
      <c r="U100">
        <f t="shared" si="12"/>
        <v>247.00845906295621</v>
      </c>
    </row>
    <row r="101" spans="1:21" x14ac:dyDescent="0.3">
      <c r="A101" s="1">
        <v>42964</v>
      </c>
      <c r="B101" s="1">
        <v>43055</v>
      </c>
      <c r="C101">
        <v>323.3779214859</v>
      </c>
      <c r="D101">
        <v>331.29999961853002</v>
      </c>
      <c r="E101">
        <v>307.89999999999998</v>
      </c>
      <c r="F101">
        <v>23.399999618530199</v>
      </c>
      <c r="G101">
        <v>15.477921485900801</v>
      </c>
      <c r="H101">
        <v>23.399999618530199</v>
      </c>
      <c r="J101" s="1">
        <v>42964</v>
      </c>
      <c r="K101">
        <v>307.89999999999998</v>
      </c>
      <c r="L101">
        <v>310.25</v>
      </c>
      <c r="M101">
        <v>323.3779214859</v>
      </c>
      <c r="N101">
        <v>331.29999961853002</v>
      </c>
      <c r="O101">
        <f t="shared" si="13"/>
        <v>316.81396074295003</v>
      </c>
      <c r="P101">
        <f t="shared" si="14"/>
        <v>1</v>
      </c>
      <c r="Q101">
        <f t="shared" si="15"/>
        <v>1</v>
      </c>
      <c r="R101">
        <f t="shared" si="16"/>
        <v>1</v>
      </c>
      <c r="S101">
        <f t="shared" si="10"/>
        <v>62.75932193949474</v>
      </c>
      <c r="T101">
        <f t="shared" si="11"/>
        <v>443.10248394011415</v>
      </c>
      <c r="U101">
        <f t="shared" si="12"/>
        <v>209.84532230481489</v>
      </c>
    </row>
    <row r="102" spans="1:21" x14ac:dyDescent="0.3">
      <c r="A102" s="1">
        <v>42965</v>
      </c>
      <c r="B102" s="1">
        <v>43056</v>
      </c>
      <c r="C102">
        <v>322.14057636260901</v>
      </c>
      <c r="D102">
        <v>330.950000762939</v>
      </c>
      <c r="E102">
        <v>307.75</v>
      </c>
      <c r="F102">
        <v>23.2000007629394</v>
      </c>
      <c r="G102">
        <v>14.390576362609799</v>
      </c>
      <c r="H102">
        <v>23.2000007629394</v>
      </c>
      <c r="J102" s="1">
        <v>42965</v>
      </c>
      <c r="K102">
        <v>307.75</v>
      </c>
      <c r="L102">
        <v>311.2</v>
      </c>
      <c r="M102">
        <v>322.14057636260901</v>
      </c>
      <c r="N102">
        <v>330.950000762939</v>
      </c>
      <c r="O102">
        <f t="shared" si="13"/>
        <v>316.6702881813045</v>
      </c>
      <c r="P102">
        <f t="shared" si="14"/>
        <v>1</v>
      </c>
      <c r="Q102">
        <f t="shared" si="15"/>
        <v>1</v>
      </c>
      <c r="R102">
        <f t="shared" si="16"/>
        <v>1</v>
      </c>
      <c r="S102">
        <f t="shared" si="10"/>
        <v>77.60595826512936</v>
      </c>
      <c r="T102">
        <f t="shared" si="11"/>
        <v>390.06253013609148</v>
      </c>
      <c r="U102">
        <f t="shared" si="12"/>
        <v>203.9101914140906</v>
      </c>
    </row>
    <row r="103" spans="1:21" x14ac:dyDescent="0.3">
      <c r="A103" s="1">
        <v>42968</v>
      </c>
      <c r="B103" s="1">
        <v>43059</v>
      </c>
      <c r="C103">
        <v>319.810003089904</v>
      </c>
      <c r="D103">
        <v>329.44999961853</v>
      </c>
      <c r="E103">
        <v>307.05</v>
      </c>
      <c r="F103">
        <v>22.399999618530199</v>
      </c>
      <c r="G103">
        <v>12.7600030899047</v>
      </c>
      <c r="H103">
        <v>22.399999618530199</v>
      </c>
      <c r="J103" s="1">
        <v>42968</v>
      </c>
      <c r="K103">
        <v>307.05</v>
      </c>
      <c r="L103">
        <v>316.7</v>
      </c>
      <c r="M103">
        <v>319.810003089904</v>
      </c>
      <c r="N103">
        <v>329.44999961853</v>
      </c>
      <c r="O103">
        <f t="shared" si="13"/>
        <v>318.25500154495199</v>
      </c>
      <c r="P103">
        <f t="shared" si="14"/>
        <v>1</v>
      </c>
      <c r="Q103">
        <f t="shared" si="15"/>
        <v>1</v>
      </c>
      <c r="R103">
        <f t="shared" si="16"/>
        <v>1</v>
      </c>
      <c r="S103">
        <f t="shared" si="10"/>
        <v>92.929533071921327</v>
      </c>
      <c r="T103">
        <f t="shared" si="11"/>
        <v>162.56249027251545</v>
      </c>
      <c r="U103">
        <f t="shared" si="12"/>
        <v>125.32798186741526</v>
      </c>
    </row>
    <row r="104" spans="1:21" x14ac:dyDescent="0.3">
      <c r="A104" s="1">
        <v>42969</v>
      </c>
      <c r="B104" s="1">
        <v>43060</v>
      </c>
      <c r="C104">
        <v>321.65765876770001</v>
      </c>
      <c r="D104">
        <v>330.84999961852998</v>
      </c>
      <c r="E104">
        <v>308.7</v>
      </c>
      <c r="F104">
        <v>22.149999618530199</v>
      </c>
      <c r="G104">
        <v>12.957658767700099</v>
      </c>
      <c r="H104">
        <v>22.149999618530199</v>
      </c>
      <c r="J104" s="1">
        <v>42969</v>
      </c>
      <c r="K104">
        <v>308.7</v>
      </c>
      <c r="L104">
        <v>316.05</v>
      </c>
      <c r="M104">
        <v>321.65765876770001</v>
      </c>
      <c r="N104">
        <v>330.84999961852998</v>
      </c>
      <c r="O104">
        <f t="shared" si="13"/>
        <v>318.85382938384998</v>
      </c>
      <c r="P104">
        <f t="shared" si="14"/>
        <v>1</v>
      </c>
      <c r="Q104">
        <f t="shared" si="15"/>
        <v>1</v>
      </c>
      <c r="R104">
        <f t="shared" si="16"/>
        <v>1</v>
      </c>
      <c r="S104">
        <f t="shared" si="10"/>
        <v>84.499130317837356</v>
      </c>
      <c r="T104">
        <f t="shared" si="11"/>
        <v>219.03998870848716</v>
      </c>
      <c r="U104">
        <f t="shared" si="12"/>
        <v>143.90810029942227</v>
      </c>
    </row>
    <row r="105" spans="1:21" x14ac:dyDescent="0.3">
      <c r="A105" s="1">
        <v>42970</v>
      </c>
      <c r="B105" s="1">
        <v>43061</v>
      </c>
      <c r="C105">
        <v>322.37525234222397</v>
      </c>
      <c r="D105">
        <v>332.55000076293902</v>
      </c>
      <c r="E105">
        <v>308.60000000000002</v>
      </c>
      <c r="F105">
        <v>23.9500007629394</v>
      </c>
      <c r="G105">
        <v>13.7752523422241</v>
      </c>
      <c r="H105">
        <v>23.9500007629394</v>
      </c>
      <c r="J105" s="1">
        <v>42970</v>
      </c>
      <c r="K105">
        <v>308.60000000000002</v>
      </c>
      <c r="L105">
        <v>315.8</v>
      </c>
      <c r="M105">
        <v>322.37525234222397</v>
      </c>
      <c r="N105">
        <v>332.55000076293902</v>
      </c>
      <c r="O105">
        <f t="shared" si="13"/>
        <v>319.08762617111199</v>
      </c>
      <c r="P105">
        <f t="shared" si="14"/>
        <v>1</v>
      </c>
      <c r="Q105">
        <f t="shared" si="15"/>
        <v>1</v>
      </c>
      <c r="R105">
        <f t="shared" si="16"/>
        <v>1</v>
      </c>
      <c r="S105">
        <f t="shared" si="10"/>
        <v>103.52550542484336</v>
      </c>
      <c r="T105">
        <f t="shared" si="11"/>
        <v>280.56252555845742</v>
      </c>
      <c r="U105">
        <f t="shared" si="12"/>
        <v>181.23552965066995</v>
      </c>
    </row>
    <row r="106" spans="1:21" x14ac:dyDescent="0.3">
      <c r="A106" s="1">
        <v>42971</v>
      </c>
      <c r="B106" s="1">
        <v>43062</v>
      </c>
      <c r="C106">
        <v>325.150706863403</v>
      </c>
      <c r="D106">
        <v>331.45000038146901</v>
      </c>
      <c r="E106">
        <v>310.10000000000002</v>
      </c>
      <c r="F106">
        <v>21.350000381469702</v>
      </c>
      <c r="G106">
        <v>15.050706863403301</v>
      </c>
      <c r="H106">
        <v>21.350000381469702</v>
      </c>
      <c r="J106" s="1">
        <v>42971</v>
      </c>
      <c r="K106">
        <v>310.10000000000002</v>
      </c>
      <c r="L106">
        <v>316.05</v>
      </c>
      <c r="M106">
        <v>325.150706863403</v>
      </c>
      <c r="N106">
        <v>331.45000038146901</v>
      </c>
      <c r="O106">
        <f t="shared" si="13"/>
        <v>320.60035343170148</v>
      </c>
      <c r="P106">
        <f t="shared" si="14"/>
        <v>1</v>
      </c>
      <c r="Q106">
        <f t="shared" si="15"/>
        <v>1</v>
      </c>
      <c r="R106">
        <f t="shared" si="16"/>
        <v>1</v>
      </c>
      <c r="S106">
        <f t="shared" si="10"/>
        <v>39.681098826748425</v>
      </c>
      <c r="T106">
        <f t="shared" si="11"/>
        <v>237.16001174924531</v>
      </c>
      <c r="U106">
        <f t="shared" si="12"/>
        <v>117.71483893459991</v>
      </c>
    </row>
    <row r="107" spans="1:21" x14ac:dyDescent="0.3">
      <c r="A107" s="1">
        <v>42972</v>
      </c>
      <c r="B107" s="1">
        <v>43063</v>
      </c>
      <c r="C107">
        <v>319.101149559021</v>
      </c>
      <c r="D107">
        <v>332.25</v>
      </c>
      <c r="E107">
        <v>310.25</v>
      </c>
      <c r="F107">
        <v>22</v>
      </c>
      <c r="G107">
        <v>8.8511495590209908</v>
      </c>
      <c r="H107">
        <v>22</v>
      </c>
      <c r="J107" s="1">
        <v>42972</v>
      </c>
      <c r="K107">
        <v>310.25</v>
      </c>
      <c r="L107">
        <v>313.75</v>
      </c>
      <c r="M107">
        <v>319.101149559021</v>
      </c>
      <c r="N107">
        <v>332.25</v>
      </c>
      <c r="O107">
        <f t="shared" si="13"/>
        <v>316.4255747795105</v>
      </c>
      <c r="P107">
        <f t="shared" si="14"/>
        <v>1</v>
      </c>
      <c r="Q107">
        <f t="shared" si="15"/>
        <v>1</v>
      </c>
      <c r="R107">
        <f t="shared" si="16"/>
        <v>1</v>
      </c>
      <c r="S107">
        <f t="shared" si="10"/>
        <v>172.89226791923375</v>
      </c>
      <c r="T107">
        <f t="shared" si="11"/>
        <v>342.25</v>
      </c>
      <c r="U107">
        <f t="shared" si="12"/>
        <v>250.41243355886422</v>
      </c>
    </row>
    <row r="108" spans="1:21" x14ac:dyDescent="0.3">
      <c r="A108" s="1">
        <v>42975</v>
      </c>
      <c r="B108" s="1">
        <v>43066</v>
      </c>
      <c r="C108">
        <v>318.95790119171102</v>
      </c>
      <c r="D108">
        <v>325.90000076293899</v>
      </c>
      <c r="E108">
        <v>308.2</v>
      </c>
      <c r="F108">
        <v>17.7000007629394</v>
      </c>
      <c r="G108">
        <v>10.757901191711399</v>
      </c>
      <c r="H108">
        <v>17.7000007629394</v>
      </c>
      <c r="J108" s="1">
        <v>42975</v>
      </c>
      <c r="K108">
        <v>308.2</v>
      </c>
      <c r="L108">
        <v>313.8</v>
      </c>
      <c r="M108">
        <v>318.95790119171102</v>
      </c>
      <c r="N108">
        <v>325.90000076293899</v>
      </c>
      <c r="O108">
        <f t="shared" si="13"/>
        <v>316.37895059585549</v>
      </c>
      <c r="P108">
        <f t="shared" si="14"/>
        <v>1</v>
      </c>
      <c r="Q108">
        <f t="shared" si="15"/>
        <v>1</v>
      </c>
      <c r="R108">
        <f t="shared" si="16"/>
        <v>1</v>
      </c>
      <c r="S108">
        <f t="shared" si="10"/>
        <v>48.192746456843572</v>
      </c>
      <c r="T108">
        <f t="shared" si="11"/>
        <v>146.41001846312381</v>
      </c>
      <c r="U108">
        <f t="shared" si="12"/>
        <v>90.650396284120774</v>
      </c>
    </row>
    <row r="109" spans="1:21" x14ac:dyDescent="0.3">
      <c r="A109" s="1">
        <v>42976</v>
      </c>
      <c r="B109" s="1">
        <v>43067</v>
      </c>
      <c r="C109">
        <v>317.04942073822002</v>
      </c>
      <c r="D109">
        <v>327.69999923706001</v>
      </c>
      <c r="E109">
        <v>307.14999999999998</v>
      </c>
      <c r="F109">
        <v>20.549999237060501</v>
      </c>
      <c r="G109">
        <v>9.8994207382202095</v>
      </c>
      <c r="H109">
        <v>20.549999237060501</v>
      </c>
      <c r="J109" s="1">
        <v>42976</v>
      </c>
      <c r="K109">
        <v>307.14999999999998</v>
      </c>
      <c r="L109">
        <v>311.8</v>
      </c>
      <c r="M109">
        <v>317.04942073822002</v>
      </c>
      <c r="N109">
        <v>327.69999923706001</v>
      </c>
      <c r="O109">
        <f t="shared" si="13"/>
        <v>314.42471036911002</v>
      </c>
      <c r="P109">
        <f t="shared" si="14"/>
        <v>1</v>
      </c>
      <c r="Q109">
        <f t="shared" si="15"/>
        <v>1</v>
      </c>
      <c r="R109">
        <f t="shared" si="16"/>
        <v>1</v>
      </c>
      <c r="S109">
        <f t="shared" si="10"/>
        <v>113.43482235995272</v>
      </c>
      <c r="T109">
        <f t="shared" si="11"/>
        <v>252.80997573850863</v>
      </c>
      <c r="U109">
        <f t="shared" si="12"/>
        <v>176.23329452751707</v>
      </c>
    </row>
    <row r="110" spans="1:21" x14ac:dyDescent="0.3">
      <c r="A110" s="1">
        <v>42977</v>
      </c>
      <c r="B110" s="1">
        <v>43068</v>
      </c>
      <c r="C110">
        <v>322.74098110198901</v>
      </c>
      <c r="D110">
        <v>327.700000762939</v>
      </c>
      <c r="E110">
        <v>309</v>
      </c>
      <c r="F110">
        <v>18.7000007629394</v>
      </c>
      <c r="G110">
        <v>13.7409811019897</v>
      </c>
      <c r="H110">
        <v>18.7000007629394</v>
      </c>
      <c r="J110" s="1">
        <v>42977</v>
      </c>
      <c r="K110">
        <v>309</v>
      </c>
      <c r="L110">
        <v>311.39999999999998</v>
      </c>
      <c r="M110">
        <v>322.74098110198901</v>
      </c>
      <c r="N110">
        <v>327.700000762939</v>
      </c>
      <c r="O110">
        <f t="shared" si="13"/>
        <v>317.07049055099446</v>
      </c>
      <c r="P110">
        <f t="shared" si="14"/>
        <v>1</v>
      </c>
      <c r="Q110">
        <f t="shared" si="15"/>
        <v>1</v>
      </c>
      <c r="R110">
        <f t="shared" si="16"/>
        <v>1</v>
      </c>
      <c r="S110">
        <f t="shared" si="10"/>
        <v>24.591875997688565</v>
      </c>
      <c r="T110">
        <f t="shared" si="11"/>
        <v>265.69002487181268</v>
      </c>
      <c r="U110">
        <f t="shared" si="12"/>
        <v>112.98648734583314</v>
      </c>
    </row>
    <row r="111" spans="1:21" x14ac:dyDescent="0.3">
      <c r="A111" s="1">
        <v>42978</v>
      </c>
      <c r="B111" s="1">
        <v>43069</v>
      </c>
      <c r="C111">
        <v>326.32543411254801</v>
      </c>
      <c r="D111">
        <v>322.25000038146902</v>
      </c>
      <c r="E111">
        <v>306.64999999999998</v>
      </c>
      <c r="F111">
        <v>15.6000003814697</v>
      </c>
      <c r="G111">
        <v>19.6754341125488</v>
      </c>
      <c r="H111">
        <v>15.6000003814697</v>
      </c>
      <c r="J111" s="1">
        <v>42978</v>
      </c>
      <c r="K111">
        <v>306.64999999999998</v>
      </c>
      <c r="L111">
        <v>311.60000000000002</v>
      </c>
      <c r="M111">
        <v>326.32543411254801</v>
      </c>
      <c r="N111">
        <v>322.25000038146902</v>
      </c>
      <c r="O111">
        <f t="shared" si="13"/>
        <v>318.96271705627402</v>
      </c>
      <c r="P111">
        <f t="shared" si="14"/>
        <v>1</v>
      </c>
      <c r="Q111">
        <f t="shared" si="15"/>
        <v>1</v>
      </c>
      <c r="R111">
        <f t="shared" si="16"/>
        <v>1</v>
      </c>
      <c r="S111">
        <f t="shared" si="10"/>
        <v>16.609160096416399</v>
      </c>
      <c r="T111">
        <f t="shared" si="11"/>
        <v>113.42250812528982</v>
      </c>
      <c r="U111">
        <f t="shared" si="12"/>
        <v>10.806231660105132</v>
      </c>
    </row>
    <row r="112" spans="1:21" x14ac:dyDescent="0.3">
      <c r="A112" s="1">
        <v>42979</v>
      </c>
      <c r="B112" s="1">
        <v>43070</v>
      </c>
      <c r="C112">
        <v>319.75280265808101</v>
      </c>
      <c r="D112">
        <v>321.85000019073402</v>
      </c>
      <c r="E112">
        <v>306.3</v>
      </c>
      <c r="F112">
        <v>15.550000190734799</v>
      </c>
      <c r="G112">
        <v>13.452802658081</v>
      </c>
      <c r="H112">
        <v>15.550000190734799</v>
      </c>
      <c r="J112" s="1">
        <v>42979</v>
      </c>
      <c r="K112">
        <v>306.3</v>
      </c>
      <c r="L112">
        <v>314.3</v>
      </c>
      <c r="M112">
        <v>319.75280265808101</v>
      </c>
      <c r="N112">
        <v>321.85000019073402</v>
      </c>
      <c r="O112">
        <f t="shared" si="13"/>
        <v>317.02640132904048</v>
      </c>
      <c r="P112">
        <f t="shared" si="14"/>
        <v>1</v>
      </c>
      <c r="Q112">
        <f t="shared" si="15"/>
        <v>1</v>
      </c>
      <c r="R112">
        <f t="shared" si="16"/>
        <v>1</v>
      </c>
      <c r="S112">
        <f t="shared" si="10"/>
        <v>4.3982374909658848</v>
      </c>
      <c r="T112">
        <f t="shared" si="11"/>
        <v>57.002502880083597</v>
      </c>
      <c r="U112">
        <f t="shared" si="12"/>
        <v>23.267105978531216</v>
      </c>
    </row>
    <row r="113" spans="1:21" x14ac:dyDescent="0.3">
      <c r="A113" s="1">
        <v>42982</v>
      </c>
      <c r="B113" s="1">
        <v>43073</v>
      </c>
      <c r="C113">
        <v>317.45183277130099</v>
      </c>
      <c r="D113">
        <v>325</v>
      </c>
      <c r="E113">
        <v>303.5</v>
      </c>
      <c r="F113">
        <v>21.5</v>
      </c>
      <c r="G113">
        <v>13.9518327713012</v>
      </c>
      <c r="H113">
        <v>21.5</v>
      </c>
      <c r="J113" s="1">
        <v>42982</v>
      </c>
      <c r="K113">
        <v>303.5</v>
      </c>
      <c r="L113">
        <v>314.3</v>
      </c>
      <c r="M113">
        <v>317.45183277130099</v>
      </c>
      <c r="N113">
        <v>325</v>
      </c>
      <c r="O113">
        <f t="shared" si="13"/>
        <v>315.8759163856505</v>
      </c>
      <c r="P113">
        <f t="shared" si="14"/>
        <v>1</v>
      </c>
      <c r="Q113">
        <f t="shared" si="15"/>
        <v>1</v>
      </c>
      <c r="R113">
        <f t="shared" si="16"/>
        <v>1</v>
      </c>
      <c r="S113">
        <f t="shared" si="10"/>
        <v>56.974828512405765</v>
      </c>
      <c r="T113">
        <f t="shared" si="11"/>
        <v>114.48999999999975</v>
      </c>
      <c r="U113">
        <f t="shared" si="12"/>
        <v>83.248901801641068</v>
      </c>
    </row>
    <row r="114" spans="1:21" x14ac:dyDescent="0.3">
      <c r="A114" s="1">
        <v>42983</v>
      </c>
      <c r="B114" s="1">
        <v>43074</v>
      </c>
      <c r="C114">
        <v>316.042597007751</v>
      </c>
      <c r="D114">
        <v>326.59999961852998</v>
      </c>
      <c r="E114">
        <v>302.7</v>
      </c>
      <c r="F114">
        <v>23.899999618530199</v>
      </c>
      <c r="G114">
        <v>13.342597007751399</v>
      </c>
      <c r="H114">
        <v>23.899999618530199</v>
      </c>
      <c r="J114" s="1">
        <v>42983</v>
      </c>
      <c r="K114">
        <v>302.7</v>
      </c>
      <c r="L114">
        <v>314.3</v>
      </c>
      <c r="M114">
        <v>316.042597007751</v>
      </c>
      <c r="N114">
        <v>326.59999961852998</v>
      </c>
      <c r="O114">
        <f t="shared" si="13"/>
        <v>315.17129850387551</v>
      </c>
      <c r="P114">
        <f t="shared" si="14"/>
        <v>1</v>
      </c>
      <c r="Q114">
        <f t="shared" si="15"/>
        <v>1</v>
      </c>
      <c r="R114">
        <f t="shared" si="16"/>
        <v>1</v>
      </c>
      <c r="S114">
        <f t="shared" si="10"/>
        <v>111.4587498860828</v>
      </c>
      <c r="T114">
        <f t="shared" si="11"/>
        <v>151.28999061583733</v>
      </c>
      <c r="U114">
        <f t="shared" si="12"/>
        <v>130.6152091681044</v>
      </c>
    </row>
    <row r="115" spans="1:21" x14ac:dyDescent="0.3">
      <c r="A115" s="1">
        <v>42984</v>
      </c>
      <c r="B115" s="1">
        <v>43075</v>
      </c>
      <c r="C115">
        <v>314.57587795257501</v>
      </c>
      <c r="D115">
        <v>321.650000381469</v>
      </c>
      <c r="E115">
        <v>302.3</v>
      </c>
      <c r="F115">
        <v>19.350000381469702</v>
      </c>
      <c r="G115">
        <v>12.2758779525756</v>
      </c>
      <c r="H115">
        <v>19.350000381469702</v>
      </c>
      <c r="J115" s="1">
        <v>42984</v>
      </c>
      <c r="K115">
        <v>302.3</v>
      </c>
      <c r="L115">
        <v>314.3</v>
      </c>
      <c r="M115">
        <v>314.57587795257501</v>
      </c>
      <c r="N115">
        <v>321.650000381469</v>
      </c>
      <c r="O115">
        <f t="shared" si="13"/>
        <v>314.43793897628751</v>
      </c>
      <c r="P115">
        <f t="shared" si="14"/>
        <v>1</v>
      </c>
      <c r="Q115">
        <f t="shared" si="15"/>
        <v>1</v>
      </c>
      <c r="R115">
        <f t="shared" si="16"/>
        <v>1</v>
      </c>
      <c r="S115">
        <f t="shared" si="10"/>
        <v>50.043208138980951</v>
      </c>
      <c r="T115">
        <f t="shared" si="11"/>
        <v>54.022505607594262</v>
      </c>
      <c r="U115">
        <f t="shared" si="12"/>
        <v>52.013829712108361</v>
      </c>
    </row>
    <row r="116" spans="1:21" x14ac:dyDescent="0.3">
      <c r="A116" s="1">
        <v>42985</v>
      </c>
      <c r="B116" s="1">
        <v>43076</v>
      </c>
      <c r="C116">
        <v>314.31961174011201</v>
      </c>
      <c r="D116">
        <v>320.7</v>
      </c>
      <c r="E116">
        <v>306.2</v>
      </c>
      <c r="F116">
        <v>14.5</v>
      </c>
      <c r="G116">
        <v>8.1196117401122994</v>
      </c>
      <c r="H116">
        <v>14.5</v>
      </c>
      <c r="J116" s="1">
        <v>42985</v>
      </c>
      <c r="K116">
        <v>306.2</v>
      </c>
      <c r="L116">
        <v>314.3</v>
      </c>
      <c r="M116">
        <v>314.31961174011201</v>
      </c>
      <c r="N116">
        <v>320.7</v>
      </c>
      <c r="O116">
        <f t="shared" si="13"/>
        <v>314.30980587005604</v>
      </c>
      <c r="P116">
        <f t="shared" si="14"/>
        <v>1</v>
      </c>
      <c r="Q116">
        <f t="shared" si="15"/>
        <v>1</v>
      </c>
      <c r="R116">
        <f t="shared" si="16"/>
        <v>1</v>
      </c>
      <c r="S116">
        <f t="shared" si="10"/>
        <v>40.709354346916356</v>
      </c>
      <c r="T116">
        <f t="shared" si="11"/>
        <v>40.95999999999971</v>
      </c>
      <c r="U116">
        <f t="shared" si="12"/>
        <v>40.834581018370116</v>
      </c>
    </row>
    <row r="117" spans="1:21" x14ac:dyDescent="0.3">
      <c r="A117" s="1">
        <v>42986</v>
      </c>
      <c r="B117" s="1">
        <v>43077</v>
      </c>
      <c r="C117">
        <v>317.88088703155501</v>
      </c>
      <c r="D117">
        <v>321.39999961852999</v>
      </c>
      <c r="E117">
        <v>306.25</v>
      </c>
      <c r="F117">
        <v>15.149999618530201</v>
      </c>
      <c r="G117">
        <v>11.630887031555099</v>
      </c>
      <c r="H117">
        <v>15.149999618530201</v>
      </c>
      <c r="J117" s="1">
        <v>42986</v>
      </c>
      <c r="K117">
        <v>306.25</v>
      </c>
      <c r="L117">
        <v>314.3</v>
      </c>
      <c r="M117">
        <v>317.88088703155501</v>
      </c>
      <c r="N117">
        <v>321.39999961852999</v>
      </c>
      <c r="O117">
        <f t="shared" si="13"/>
        <v>316.09044351577751</v>
      </c>
      <c r="P117">
        <f t="shared" si="14"/>
        <v>1</v>
      </c>
      <c r="Q117">
        <f t="shared" si="15"/>
        <v>1</v>
      </c>
      <c r="R117">
        <f t="shared" si="16"/>
        <v>1</v>
      </c>
      <c r="S117">
        <f t="shared" ref="S117:S180" si="17">POWER(M117-N117, 2)</f>
        <v>12.384153399805765</v>
      </c>
      <c r="T117">
        <f t="shared" ref="T117:T180" si="18">POWER(N117-L117,2)</f>
        <v>50.40999458312583</v>
      </c>
      <c r="U117">
        <f t="shared" ref="U117:U180" si="19">POWER(O117-N117, 2)</f>
        <v>28.191386008276112</v>
      </c>
    </row>
    <row r="118" spans="1:21" x14ac:dyDescent="0.3">
      <c r="A118" s="1">
        <v>42989</v>
      </c>
      <c r="B118" s="1">
        <v>43080</v>
      </c>
      <c r="C118">
        <v>320.10279369354203</v>
      </c>
      <c r="D118">
        <v>321.5</v>
      </c>
      <c r="E118">
        <v>309.25</v>
      </c>
      <c r="F118">
        <v>12.25</v>
      </c>
      <c r="G118">
        <v>10.852793693542401</v>
      </c>
      <c r="H118">
        <v>12.25</v>
      </c>
      <c r="J118" s="1">
        <v>42989</v>
      </c>
      <c r="K118">
        <v>309.25</v>
      </c>
      <c r="L118">
        <v>314.3</v>
      </c>
      <c r="M118">
        <v>320.10279369354203</v>
      </c>
      <c r="N118">
        <v>321.5</v>
      </c>
      <c r="O118">
        <f t="shared" si="13"/>
        <v>317.20139684677099</v>
      </c>
      <c r="P118">
        <f t="shared" si="14"/>
        <v>1</v>
      </c>
      <c r="Q118">
        <f t="shared" si="15"/>
        <v>1</v>
      </c>
      <c r="R118">
        <f t="shared" si="16"/>
        <v>1</v>
      </c>
      <c r="S118">
        <f t="shared" si="17"/>
        <v>1.9521854628059347</v>
      </c>
      <c r="T118">
        <f t="shared" si="18"/>
        <v>51.839999999999833</v>
      </c>
      <c r="U118">
        <f t="shared" si="19"/>
        <v>18.477989068950386</v>
      </c>
    </row>
    <row r="119" spans="1:21" x14ac:dyDescent="0.3">
      <c r="A119" s="1">
        <v>42990</v>
      </c>
      <c r="B119" s="1">
        <v>43081</v>
      </c>
      <c r="C119">
        <v>316.69355030059802</v>
      </c>
      <c r="D119">
        <v>320.45</v>
      </c>
      <c r="E119">
        <v>309.2</v>
      </c>
      <c r="F119">
        <v>11.25</v>
      </c>
      <c r="G119">
        <v>7.4935503005981401</v>
      </c>
      <c r="H119">
        <v>11.25</v>
      </c>
      <c r="J119" s="1">
        <v>42990</v>
      </c>
      <c r="K119">
        <v>309.2</v>
      </c>
      <c r="L119">
        <v>320.14999999999998</v>
      </c>
      <c r="M119">
        <v>316.69355030059802</v>
      </c>
      <c r="N119">
        <v>320.45</v>
      </c>
      <c r="O119">
        <f t="shared" si="13"/>
        <v>318.42177515029903</v>
      </c>
      <c r="P119">
        <f t="shared" si="14"/>
        <v>1</v>
      </c>
      <c r="Q119">
        <f t="shared" si="15"/>
        <v>1</v>
      </c>
      <c r="R119">
        <f t="shared" si="16"/>
        <v>1</v>
      </c>
      <c r="S119">
        <f t="shared" si="17"/>
        <v>14.110914344137145</v>
      </c>
      <c r="T119">
        <f t="shared" si="18"/>
        <v>9.0000000000006825E-2</v>
      </c>
      <c r="U119">
        <f t="shared" si="19"/>
        <v>4.1136960409444896</v>
      </c>
    </row>
    <row r="120" spans="1:21" x14ac:dyDescent="0.3">
      <c r="A120" s="1">
        <v>42991</v>
      </c>
      <c r="B120" s="1">
        <v>43082</v>
      </c>
      <c r="C120">
        <v>310.398634004592</v>
      </c>
      <c r="D120">
        <v>322.85000019073402</v>
      </c>
      <c r="E120">
        <v>308.55</v>
      </c>
      <c r="F120">
        <v>14.300000190734799</v>
      </c>
      <c r="G120">
        <v>1.84863400459289</v>
      </c>
      <c r="H120">
        <v>14.300000190734799</v>
      </c>
      <c r="J120" s="1">
        <v>42991</v>
      </c>
      <c r="K120">
        <v>308.55</v>
      </c>
      <c r="L120">
        <v>323.25</v>
      </c>
      <c r="M120">
        <v>310.398634004592</v>
      </c>
      <c r="N120">
        <v>322.85000019073402</v>
      </c>
      <c r="O120">
        <f t="shared" si="13"/>
        <v>316.82431700229597</v>
      </c>
      <c r="P120">
        <f t="shared" si="14"/>
        <v>1</v>
      </c>
      <c r="Q120">
        <f t="shared" si="15"/>
        <v>1</v>
      </c>
      <c r="R120">
        <f t="shared" si="16"/>
        <v>1</v>
      </c>
      <c r="S120">
        <f t="shared" si="17"/>
        <v>155.03651990140099</v>
      </c>
      <c r="T120">
        <f t="shared" si="18"/>
        <v>0.15999984741281878</v>
      </c>
      <c r="U120">
        <f t="shared" si="19"/>
        <v>36.308857887424963</v>
      </c>
    </row>
    <row r="121" spans="1:21" x14ac:dyDescent="0.3">
      <c r="A121" s="1">
        <v>42992</v>
      </c>
      <c r="B121" s="1">
        <v>43083</v>
      </c>
      <c r="C121">
        <v>308.18134450912402</v>
      </c>
      <c r="D121">
        <v>324.30000019073401</v>
      </c>
      <c r="E121">
        <v>310.25</v>
      </c>
      <c r="F121">
        <v>-14.050000190734799</v>
      </c>
      <c r="G121">
        <v>-2.0686554908752401</v>
      </c>
      <c r="H121">
        <v>14.050000190734799</v>
      </c>
      <c r="J121" s="1">
        <v>42992</v>
      </c>
      <c r="K121">
        <v>310.25</v>
      </c>
      <c r="L121">
        <v>325.64999999999998</v>
      </c>
      <c r="M121">
        <v>308.18134450912402</v>
      </c>
      <c r="N121">
        <v>324.30000019073401</v>
      </c>
      <c r="O121">
        <f t="shared" si="13"/>
        <v>316.91567225456197</v>
      </c>
      <c r="P121">
        <f t="shared" si="14"/>
        <v>0</v>
      </c>
      <c r="Q121">
        <f t="shared" si="15"/>
        <v>1</v>
      </c>
      <c r="R121">
        <f t="shared" si="16"/>
        <v>1</v>
      </c>
      <c r="S121">
        <f t="shared" si="17"/>
        <v>259.81106098229816</v>
      </c>
      <c r="T121">
        <f t="shared" si="18"/>
        <v>1.8224994850181462</v>
      </c>
      <c r="U121">
        <f t="shared" si="19"/>
        <v>54.528299068930849</v>
      </c>
    </row>
    <row r="122" spans="1:21" x14ac:dyDescent="0.3">
      <c r="A122" s="1">
        <v>42993</v>
      </c>
      <c r="B122" s="1">
        <v>43084</v>
      </c>
      <c r="C122">
        <v>305.97838134765601</v>
      </c>
      <c r="D122">
        <v>322.750000190734</v>
      </c>
      <c r="E122">
        <v>311.2</v>
      </c>
      <c r="F122">
        <v>-11.550000190734799</v>
      </c>
      <c r="G122">
        <v>-5.22161865234375</v>
      </c>
      <c r="H122">
        <v>11.550000190734799</v>
      </c>
      <c r="J122" s="1">
        <v>42993</v>
      </c>
      <c r="K122">
        <v>311.2</v>
      </c>
      <c r="L122">
        <v>325.3</v>
      </c>
      <c r="M122">
        <v>305.97838134765601</v>
      </c>
      <c r="N122">
        <v>322.750000190734</v>
      </c>
      <c r="O122">
        <f t="shared" si="13"/>
        <v>315.63919067382801</v>
      </c>
      <c r="P122">
        <f t="shared" si="14"/>
        <v>0</v>
      </c>
      <c r="Q122">
        <f t="shared" si="15"/>
        <v>1</v>
      </c>
      <c r="R122">
        <f t="shared" si="16"/>
        <v>1</v>
      </c>
      <c r="S122">
        <f t="shared" si="17"/>
        <v>281.28719861748863</v>
      </c>
      <c r="T122">
        <f t="shared" si="18"/>
        <v>6.5024990272566985</v>
      </c>
      <c r="U122">
        <f t="shared" si="19"/>
        <v>50.563611985720769</v>
      </c>
    </row>
    <row r="123" spans="1:21" x14ac:dyDescent="0.3">
      <c r="A123" s="1">
        <v>42996</v>
      </c>
      <c r="B123" s="1">
        <v>43087</v>
      </c>
      <c r="C123">
        <v>312.58141441345202</v>
      </c>
      <c r="D123">
        <v>324.14999980926501</v>
      </c>
      <c r="E123">
        <v>316.7</v>
      </c>
      <c r="F123">
        <v>-7.4499998092651296</v>
      </c>
      <c r="G123">
        <v>-4.1185855865478498</v>
      </c>
      <c r="H123">
        <v>7.4499998092651296</v>
      </c>
      <c r="J123" s="1">
        <v>42996</v>
      </c>
      <c r="K123">
        <v>316.7</v>
      </c>
      <c r="L123">
        <v>325.5</v>
      </c>
      <c r="M123">
        <v>312.58141441345202</v>
      </c>
      <c r="N123">
        <v>324.14999980926501</v>
      </c>
      <c r="O123">
        <f t="shared" si="13"/>
        <v>319.04070720672598</v>
      </c>
      <c r="P123">
        <f t="shared" si="14"/>
        <v>0</v>
      </c>
      <c r="Q123">
        <f t="shared" si="15"/>
        <v>1</v>
      </c>
      <c r="R123">
        <f t="shared" si="16"/>
        <v>1</v>
      </c>
      <c r="S123">
        <f t="shared" si="17"/>
        <v>133.83216806021755</v>
      </c>
      <c r="T123">
        <f t="shared" si="18"/>
        <v>1.8225005149845048</v>
      </c>
      <c r="U123">
        <f t="shared" si="19"/>
        <v>26.104870898360037</v>
      </c>
    </row>
    <row r="124" spans="1:21" x14ac:dyDescent="0.3">
      <c r="A124" s="1">
        <v>42997</v>
      </c>
      <c r="B124" s="1">
        <v>43088</v>
      </c>
      <c r="C124">
        <v>314.55164914131097</v>
      </c>
      <c r="D124">
        <v>323.85000019073402</v>
      </c>
      <c r="E124">
        <v>316.05</v>
      </c>
      <c r="F124">
        <v>-7.8000001907348597</v>
      </c>
      <c r="G124">
        <v>-1.4983508586883501</v>
      </c>
      <c r="H124">
        <v>7.8000001907348597</v>
      </c>
      <c r="J124" s="1">
        <v>42997</v>
      </c>
      <c r="K124">
        <v>316.05</v>
      </c>
      <c r="L124">
        <v>325.8</v>
      </c>
      <c r="M124">
        <v>314.55164914131097</v>
      </c>
      <c r="N124">
        <v>323.85000019073402</v>
      </c>
      <c r="O124">
        <f t="shared" si="13"/>
        <v>320.17582457065549</v>
      </c>
      <c r="P124">
        <f t="shared" si="14"/>
        <v>0</v>
      </c>
      <c r="Q124">
        <f t="shared" si="15"/>
        <v>1</v>
      </c>
      <c r="R124">
        <f t="shared" si="16"/>
        <v>1</v>
      </c>
      <c r="S124">
        <f t="shared" si="17"/>
        <v>86.459332238306686</v>
      </c>
      <c r="T124">
        <f t="shared" si="18"/>
        <v>3.8024992561373949</v>
      </c>
      <c r="U124">
        <f t="shared" si="19"/>
        <v>13.499566487179443</v>
      </c>
    </row>
    <row r="125" spans="1:21" x14ac:dyDescent="0.3">
      <c r="A125" s="1">
        <v>42998</v>
      </c>
      <c r="B125" s="1">
        <v>43089</v>
      </c>
      <c r="C125">
        <v>314.48639814853601</v>
      </c>
      <c r="D125">
        <v>323.55</v>
      </c>
      <c r="E125">
        <v>315.8</v>
      </c>
      <c r="F125">
        <v>-7.75</v>
      </c>
      <c r="G125">
        <v>-1.3136018514633101</v>
      </c>
      <c r="H125">
        <v>7.75</v>
      </c>
      <c r="J125" s="1">
        <v>42998</v>
      </c>
      <c r="K125">
        <v>315.8</v>
      </c>
      <c r="L125">
        <v>325.85000000000002</v>
      </c>
      <c r="M125">
        <v>314.48639814853601</v>
      </c>
      <c r="N125">
        <v>323.55</v>
      </c>
      <c r="O125">
        <f t="shared" si="13"/>
        <v>320.16819907426805</v>
      </c>
      <c r="P125">
        <f t="shared" si="14"/>
        <v>0</v>
      </c>
      <c r="Q125">
        <f t="shared" si="15"/>
        <v>1</v>
      </c>
      <c r="R125">
        <f t="shared" si="16"/>
        <v>1</v>
      </c>
      <c r="S125">
        <f t="shared" si="17"/>
        <v>82.148878521861647</v>
      </c>
      <c r="T125">
        <f t="shared" si="18"/>
        <v>5.2900000000000524</v>
      </c>
      <c r="U125">
        <f t="shared" si="19"/>
        <v>11.436577501281581</v>
      </c>
    </row>
    <row r="126" spans="1:21" x14ac:dyDescent="0.3">
      <c r="A126" s="1">
        <v>42999</v>
      </c>
      <c r="B126" s="1">
        <v>43090</v>
      </c>
      <c r="C126">
        <v>318.776768970489</v>
      </c>
      <c r="D126">
        <v>316.85000001191997</v>
      </c>
      <c r="E126">
        <v>316.05</v>
      </c>
      <c r="F126">
        <v>0.80000001192092896</v>
      </c>
      <c r="G126">
        <v>2.7267689704895002</v>
      </c>
      <c r="H126">
        <v>0.80000001192092896</v>
      </c>
      <c r="J126" s="1">
        <v>42999</v>
      </c>
      <c r="K126">
        <v>316.05</v>
      </c>
      <c r="L126">
        <v>324.10000000000002</v>
      </c>
      <c r="M126">
        <v>318.776768970489</v>
      </c>
      <c r="N126">
        <v>316.85000001191997</v>
      </c>
      <c r="O126">
        <f t="shared" si="13"/>
        <v>321.43838448524451</v>
      </c>
      <c r="P126">
        <f t="shared" si="14"/>
        <v>1</v>
      </c>
      <c r="Q126">
        <f t="shared" si="15"/>
        <v>1</v>
      </c>
      <c r="R126">
        <f t="shared" si="16"/>
        <v>1</v>
      </c>
      <c r="S126">
        <f t="shared" si="17"/>
        <v>3.7124386197051757</v>
      </c>
      <c r="T126">
        <f t="shared" si="18"/>
        <v>52.562499827160707</v>
      </c>
      <c r="U126">
        <f t="shared" si="19"/>
        <v>21.053272075045701</v>
      </c>
    </row>
    <row r="127" spans="1:21" x14ac:dyDescent="0.3">
      <c r="A127" s="1">
        <v>43000</v>
      </c>
      <c r="B127" s="1">
        <v>43091</v>
      </c>
      <c r="C127">
        <v>316.83996725082397</v>
      </c>
      <c r="D127">
        <v>318.5</v>
      </c>
      <c r="E127">
        <v>313.75</v>
      </c>
      <c r="F127">
        <v>4.75</v>
      </c>
      <c r="G127">
        <v>3.0899672508239702</v>
      </c>
      <c r="H127">
        <v>4.75</v>
      </c>
      <c r="J127" s="1">
        <v>43000</v>
      </c>
      <c r="K127">
        <v>313.75</v>
      </c>
      <c r="L127">
        <v>326.25</v>
      </c>
      <c r="M127">
        <v>316.83996725082397</v>
      </c>
      <c r="N127">
        <v>318.5</v>
      </c>
      <c r="O127">
        <f t="shared" si="13"/>
        <v>321.54498362541199</v>
      </c>
      <c r="P127">
        <f t="shared" si="14"/>
        <v>1</v>
      </c>
      <c r="Q127">
        <f t="shared" si="15"/>
        <v>1</v>
      </c>
      <c r="R127">
        <f t="shared" si="16"/>
        <v>1</v>
      </c>
      <c r="S127">
        <f t="shared" si="17"/>
        <v>2.7557087283369128</v>
      </c>
      <c r="T127">
        <f t="shared" si="18"/>
        <v>60.0625</v>
      </c>
      <c r="U127">
        <f t="shared" si="19"/>
        <v>9.2719252790271298</v>
      </c>
    </row>
    <row r="128" spans="1:21" x14ac:dyDescent="0.3">
      <c r="A128" s="1">
        <v>43003</v>
      </c>
      <c r="B128" s="1">
        <v>43094</v>
      </c>
      <c r="C128">
        <v>318.65293292999201</v>
      </c>
      <c r="D128">
        <v>318.49999980926498</v>
      </c>
      <c r="E128">
        <v>313.8</v>
      </c>
      <c r="F128">
        <v>4.6999998092651296</v>
      </c>
      <c r="G128">
        <v>4.8529329299926696</v>
      </c>
      <c r="H128">
        <v>4.6999998092651296</v>
      </c>
      <c r="J128" s="1">
        <v>43003</v>
      </c>
      <c r="K128">
        <v>313.8</v>
      </c>
      <c r="L128">
        <v>327.05</v>
      </c>
      <c r="M128">
        <v>318.65293292999201</v>
      </c>
      <c r="N128">
        <v>318.49999980926498</v>
      </c>
      <c r="O128">
        <f t="shared" si="13"/>
        <v>322.85146646499601</v>
      </c>
      <c r="P128">
        <f t="shared" si="14"/>
        <v>1</v>
      </c>
      <c r="Q128">
        <f t="shared" si="15"/>
        <v>1</v>
      </c>
      <c r="R128">
        <f t="shared" si="16"/>
        <v>1</v>
      </c>
      <c r="S128">
        <f t="shared" si="17"/>
        <v>2.3388539415307559E-2</v>
      </c>
      <c r="T128">
        <f t="shared" si="18"/>
        <v>73.102503261569112</v>
      </c>
      <c r="U128">
        <f t="shared" si="19"/>
        <v>18.935262055938999</v>
      </c>
    </row>
    <row r="129" spans="1:21" x14ac:dyDescent="0.3">
      <c r="A129" s="1">
        <v>43004</v>
      </c>
      <c r="B129" s="1">
        <v>43095</v>
      </c>
      <c r="C129">
        <v>316.06705884933399</v>
      </c>
      <c r="D129">
        <v>317.45000009536699</v>
      </c>
      <c r="E129">
        <v>311.8</v>
      </c>
      <c r="F129">
        <v>5.6500000953674299</v>
      </c>
      <c r="G129">
        <v>4.2670588493347097</v>
      </c>
      <c r="H129">
        <v>5.6500000953674299</v>
      </c>
      <c r="J129" s="1">
        <v>43004</v>
      </c>
      <c r="K129">
        <v>311.8</v>
      </c>
      <c r="L129">
        <v>326.55</v>
      </c>
      <c r="M129">
        <v>316.06705884933399</v>
      </c>
      <c r="N129">
        <v>317.45000009536699</v>
      </c>
      <c r="O129">
        <f t="shared" si="13"/>
        <v>321.30852942466697</v>
      </c>
      <c r="P129">
        <f t="shared" si="14"/>
        <v>1</v>
      </c>
      <c r="Q129">
        <f t="shared" si="15"/>
        <v>1</v>
      </c>
      <c r="R129">
        <f t="shared" si="16"/>
        <v>1</v>
      </c>
      <c r="S129">
        <f t="shared" si="17"/>
        <v>1.912526489979304</v>
      </c>
      <c r="T129">
        <f t="shared" si="18"/>
        <v>82.809998264321024</v>
      </c>
      <c r="U129">
        <f t="shared" si="19"/>
        <v>14.888248585068181</v>
      </c>
    </row>
    <row r="130" spans="1:21" x14ac:dyDescent="0.3">
      <c r="A130" s="1">
        <v>43005</v>
      </c>
      <c r="B130" s="1">
        <v>43096</v>
      </c>
      <c r="C130">
        <v>318.983168983459</v>
      </c>
      <c r="D130">
        <v>321.20000019073399</v>
      </c>
      <c r="E130">
        <v>311.39999999999998</v>
      </c>
      <c r="F130">
        <v>9.8000001907348597</v>
      </c>
      <c r="G130">
        <v>7.58316898345947</v>
      </c>
      <c r="H130">
        <v>9.8000001907348597</v>
      </c>
      <c r="J130" s="1">
        <v>43005</v>
      </c>
      <c r="K130">
        <v>311.39999999999998</v>
      </c>
      <c r="L130">
        <v>326.75</v>
      </c>
      <c r="M130">
        <v>318.983168983459</v>
      </c>
      <c r="N130">
        <v>321.20000019073399</v>
      </c>
      <c r="O130">
        <f t="shared" si="13"/>
        <v>322.8665844917295</v>
      </c>
      <c r="P130">
        <f t="shared" si="14"/>
        <v>1</v>
      </c>
      <c r="Q130">
        <f t="shared" si="15"/>
        <v>1</v>
      </c>
      <c r="R130">
        <f t="shared" si="16"/>
        <v>1</v>
      </c>
      <c r="S130">
        <f t="shared" si="17"/>
        <v>4.914340601548302</v>
      </c>
      <c r="T130">
        <f t="shared" si="18"/>
        <v>30.802497882852769</v>
      </c>
      <c r="U130">
        <f t="shared" si="19"/>
        <v>2.7775032323246918</v>
      </c>
    </row>
    <row r="131" spans="1:21" x14ac:dyDescent="0.3">
      <c r="A131" s="1">
        <v>43006</v>
      </c>
      <c r="B131" s="1">
        <v>43097</v>
      </c>
      <c r="C131">
        <v>320.51297912597602</v>
      </c>
      <c r="D131">
        <v>325.65000019073398</v>
      </c>
      <c r="E131">
        <v>311.60000000000002</v>
      </c>
      <c r="F131">
        <v>14.050000190734799</v>
      </c>
      <c r="G131">
        <v>8.9129791259765607</v>
      </c>
      <c r="H131">
        <v>14.050000190734799</v>
      </c>
      <c r="J131" s="1">
        <v>43006</v>
      </c>
      <c r="K131">
        <v>311.60000000000002</v>
      </c>
      <c r="L131">
        <v>323.75</v>
      </c>
      <c r="M131">
        <v>320.51297912597602</v>
      </c>
      <c r="N131">
        <v>325.65000019073398</v>
      </c>
      <c r="O131">
        <f t="shared" ref="O131:O194" si="20">(L131+M131)/2</f>
        <v>322.13148956298801</v>
      </c>
      <c r="P131">
        <f t="shared" ref="P131:P194" si="21">IF((K131-M131)*(K131-N131)&gt;0, 1, 0)</f>
        <v>1</v>
      </c>
      <c r="Q131">
        <f t="shared" ref="Q131:Q194" si="22">IF((K131-L131)*(K131-N131)&gt;0, 1, 0)</f>
        <v>1</v>
      </c>
      <c r="R131">
        <f t="shared" ref="R131:R194" si="23">IF((K131-O131)*(K131-N131)&gt;0, 1, 0)</f>
        <v>1</v>
      </c>
      <c r="S131">
        <f t="shared" si="17"/>
        <v>26.388985419767003</v>
      </c>
      <c r="T131">
        <f t="shared" si="18"/>
        <v>3.6100007247891472</v>
      </c>
      <c r="U131">
        <f t="shared" si="19"/>
        <v>12.379917037561327</v>
      </c>
    </row>
    <row r="132" spans="1:21" x14ac:dyDescent="0.3">
      <c r="A132" s="1">
        <v>43007</v>
      </c>
      <c r="B132" s="1">
        <v>43098</v>
      </c>
      <c r="C132">
        <v>323.69153480529701</v>
      </c>
      <c r="D132">
        <v>325.650000381469</v>
      </c>
      <c r="E132">
        <v>314.3</v>
      </c>
      <c r="F132">
        <v>11.3500003814697</v>
      </c>
      <c r="G132">
        <v>9.3915348052978498</v>
      </c>
      <c r="H132">
        <v>11.3500003814697</v>
      </c>
      <c r="J132" s="1">
        <v>43007</v>
      </c>
      <c r="K132">
        <v>314.3</v>
      </c>
      <c r="L132">
        <v>326.85000000000002</v>
      </c>
      <c r="M132">
        <v>323.69153480529701</v>
      </c>
      <c r="N132">
        <v>325.650000381469</v>
      </c>
      <c r="O132">
        <f t="shared" si="20"/>
        <v>325.27076740264852</v>
      </c>
      <c r="P132">
        <f t="shared" si="21"/>
        <v>1</v>
      </c>
      <c r="Q132">
        <f t="shared" si="22"/>
        <v>1</v>
      </c>
      <c r="R132">
        <f t="shared" si="23"/>
        <v>1</v>
      </c>
      <c r="S132">
        <f t="shared" si="17"/>
        <v>3.8355874130506797</v>
      </c>
      <c r="T132">
        <f t="shared" si="18"/>
        <v>1.4399990844746027</v>
      </c>
      <c r="U132">
        <f t="shared" si="19"/>
        <v>0.14381765222505649</v>
      </c>
    </row>
    <row r="133" spans="1:21" x14ac:dyDescent="0.3">
      <c r="A133" s="1">
        <v>43010</v>
      </c>
      <c r="B133" s="1">
        <v>43101</v>
      </c>
      <c r="C133">
        <v>324.21774082183799</v>
      </c>
      <c r="D133">
        <v>325.650000381469</v>
      </c>
      <c r="E133">
        <v>314.3</v>
      </c>
      <c r="F133">
        <v>11.3500003814697</v>
      </c>
      <c r="G133">
        <v>9.91774082183837</v>
      </c>
      <c r="H133">
        <v>11.3500003814697</v>
      </c>
      <c r="J133" s="1">
        <v>43010</v>
      </c>
      <c r="K133">
        <v>314.3</v>
      </c>
      <c r="L133">
        <v>327.45</v>
      </c>
      <c r="M133">
        <v>324.21774082183799</v>
      </c>
      <c r="N133">
        <v>325.650000381469</v>
      </c>
      <c r="O133">
        <f t="shared" si="20"/>
        <v>325.83387041091896</v>
      </c>
      <c r="P133">
        <f t="shared" si="21"/>
        <v>1</v>
      </c>
      <c r="Q133">
        <f t="shared" si="22"/>
        <v>1</v>
      </c>
      <c r="R133">
        <f t="shared" si="23"/>
        <v>1</v>
      </c>
      <c r="S133">
        <f t="shared" si="17"/>
        <v>2.0513674461544049</v>
      </c>
      <c r="T133">
        <f t="shared" si="18"/>
        <v>3.2399986267117082</v>
      </c>
      <c r="U133">
        <f t="shared" si="19"/>
        <v>3.38081877299303E-2</v>
      </c>
    </row>
    <row r="134" spans="1:21" x14ac:dyDescent="0.3">
      <c r="A134" s="1">
        <v>43011</v>
      </c>
      <c r="B134" s="1">
        <v>43102</v>
      </c>
      <c r="C134">
        <v>326.63511638641302</v>
      </c>
      <c r="D134">
        <v>326.49999980926498</v>
      </c>
      <c r="E134">
        <v>314.3</v>
      </c>
      <c r="F134">
        <v>12.199999809265099</v>
      </c>
      <c r="G134">
        <v>12.3351163864135</v>
      </c>
      <c r="H134">
        <v>12.199999809265099</v>
      </c>
      <c r="J134" s="1">
        <v>43011</v>
      </c>
      <c r="K134">
        <v>314.3</v>
      </c>
      <c r="L134">
        <v>331.05</v>
      </c>
      <c r="M134">
        <v>326.63511638641302</v>
      </c>
      <c r="N134">
        <v>326.49999980926498</v>
      </c>
      <c r="O134">
        <f t="shared" si="20"/>
        <v>328.84255819320651</v>
      </c>
      <c r="P134">
        <f t="shared" si="21"/>
        <v>1</v>
      </c>
      <c r="Q134">
        <f t="shared" si="22"/>
        <v>1</v>
      </c>
      <c r="R134">
        <f t="shared" si="23"/>
        <v>1</v>
      </c>
      <c r="S134">
        <f t="shared" si="17"/>
        <v>1.8256489420202138E-2</v>
      </c>
      <c r="T134">
        <f t="shared" si="18"/>
        <v>20.702501735688845</v>
      </c>
      <c r="U134">
        <f t="shared" si="19"/>
        <v>5.4875797821747838</v>
      </c>
    </row>
    <row r="135" spans="1:21" x14ac:dyDescent="0.3">
      <c r="A135" s="1">
        <v>43012</v>
      </c>
      <c r="B135" s="1">
        <v>43103</v>
      </c>
      <c r="C135">
        <v>326.46403675079301</v>
      </c>
      <c r="D135">
        <v>327.69999961853</v>
      </c>
      <c r="E135">
        <v>314.3</v>
      </c>
      <c r="F135">
        <v>13.399999618530201</v>
      </c>
      <c r="G135">
        <v>12.1640367507934</v>
      </c>
      <c r="H135">
        <v>13.399999618530201</v>
      </c>
      <c r="J135" s="1">
        <v>43012</v>
      </c>
      <c r="K135">
        <v>314.3</v>
      </c>
      <c r="L135">
        <v>336.55</v>
      </c>
      <c r="M135">
        <v>326.46403675079301</v>
      </c>
      <c r="N135">
        <v>327.69999961853</v>
      </c>
      <c r="O135">
        <f t="shared" si="20"/>
        <v>331.50701837539651</v>
      </c>
      <c r="P135">
        <f t="shared" si="21"/>
        <v>1</v>
      </c>
      <c r="Q135">
        <f t="shared" si="22"/>
        <v>1</v>
      </c>
      <c r="R135">
        <f t="shared" si="23"/>
        <v>1</v>
      </c>
      <c r="S135">
        <f t="shared" si="17"/>
        <v>1.5276042104246366</v>
      </c>
      <c r="T135">
        <f t="shared" si="18"/>
        <v>78.322506752019336</v>
      </c>
      <c r="U135">
        <f t="shared" si="19"/>
        <v>14.493391815133442</v>
      </c>
    </row>
    <row r="136" spans="1:21" x14ac:dyDescent="0.3">
      <c r="A136" s="1">
        <v>43013</v>
      </c>
      <c r="B136" s="1">
        <v>43104</v>
      </c>
      <c r="C136">
        <v>323.85327606201099</v>
      </c>
      <c r="D136">
        <v>324.99999980926498</v>
      </c>
      <c r="E136">
        <v>314.3</v>
      </c>
      <c r="F136">
        <v>10.699999809265099</v>
      </c>
      <c r="G136">
        <v>9.5532760620117099</v>
      </c>
      <c r="H136">
        <v>10.699999809265099</v>
      </c>
      <c r="J136" s="1">
        <v>43013</v>
      </c>
      <c r="K136">
        <v>314.3</v>
      </c>
      <c r="L136">
        <v>335.05</v>
      </c>
      <c r="M136">
        <v>323.85327606201099</v>
      </c>
      <c r="N136">
        <v>324.99999980926498</v>
      </c>
      <c r="O136">
        <f t="shared" si="20"/>
        <v>329.45163803100547</v>
      </c>
      <c r="P136">
        <f t="shared" si="21"/>
        <v>1</v>
      </c>
      <c r="Q136">
        <f t="shared" si="22"/>
        <v>1</v>
      </c>
      <c r="R136">
        <f t="shared" si="23"/>
        <v>1</v>
      </c>
      <c r="S136">
        <f t="shared" si="17"/>
        <v>1.3149753525162244</v>
      </c>
      <c r="T136">
        <f t="shared" si="18"/>
        <v>101.00250383377421</v>
      </c>
      <c r="U136">
        <f t="shared" si="19"/>
        <v>19.817082857260878</v>
      </c>
    </row>
    <row r="137" spans="1:21" x14ac:dyDescent="0.3">
      <c r="A137" s="1">
        <v>43014</v>
      </c>
      <c r="B137" s="1">
        <v>43105</v>
      </c>
      <c r="C137">
        <v>323.30959205627403</v>
      </c>
      <c r="D137">
        <v>328.94999961853</v>
      </c>
      <c r="E137">
        <v>314.3</v>
      </c>
      <c r="F137">
        <v>14.649999618530201</v>
      </c>
      <c r="G137">
        <v>9.0095920562744105</v>
      </c>
      <c r="H137">
        <v>14.649999618530201</v>
      </c>
      <c r="J137" s="1">
        <v>43014</v>
      </c>
      <c r="K137">
        <v>314.3</v>
      </c>
      <c r="L137">
        <v>336.35</v>
      </c>
      <c r="M137">
        <v>323.30959205627403</v>
      </c>
      <c r="N137">
        <v>328.94999961853</v>
      </c>
      <c r="O137">
        <f t="shared" si="20"/>
        <v>329.82979602813703</v>
      </c>
      <c r="P137">
        <f t="shared" si="21"/>
        <v>1</v>
      </c>
      <c r="Q137">
        <f t="shared" si="22"/>
        <v>1</v>
      </c>
      <c r="R137">
        <f t="shared" si="23"/>
        <v>1</v>
      </c>
      <c r="S137">
        <f t="shared" si="17"/>
        <v>31.814197468354369</v>
      </c>
      <c r="T137">
        <f t="shared" si="18"/>
        <v>54.760005645756472</v>
      </c>
      <c r="U137">
        <f t="shared" si="19"/>
        <v>0.77404172235741131</v>
      </c>
    </row>
    <row r="138" spans="1:21" x14ac:dyDescent="0.3">
      <c r="A138" s="1">
        <v>43017</v>
      </c>
      <c r="B138" s="1">
        <v>43108</v>
      </c>
      <c r="C138">
        <v>323.65084438323902</v>
      </c>
      <c r="D138">
        <v>331.25000076293901</v>
      </c>
      <c r="E138">
        <v>314.3</v>
      </c>
      <c r="F138">
        <v>16.9500007629394</v>
      </c>
      <c r="G138">
        <v>9.3508443832397408</v>
      </c>
      <c r="H138">
        <v>16.9500007629394</v>
      </c>
      <c r="J138" s="1">
        <v>43017</v>
      </c>
      <c r="K138">
        <v>314.3</v>
      </c>
      <c r="L138">
        <v>334.15</v>
      </c>
      <c r="M138">
        <v>323.65084438323902</v>
      </c>
      <c r="N138">
        <v>331.25000076293901</v>
      </c>
      <c r="O138">
        <f t="shared" si="20"/>
        <v>328.9004221916195</v>
      </c>
      <c r="P138">
        <f t="shared" si="21"/>
        <v>1</v>
      </c>
      <c r="Q138">
        <f t="shared" si="22"/>
        <v>1</v>
      </c>
      <c r="R138">
        <f t="shared" si="23"/>
        <v>1</v>
      </c>
      <c r="S138">
        <f t="shared" si="17"/>
        <v>57.747177683135078</v>
      </c>
      <c r="T138">
        <f t="shared" si="18"/>
        <v>8.409995574954193</v>
      </c>
      <c r="U138">
        <f t="shared" si="19"/>
        <v>5.5205194628038381</v>
      </c>
    </row>
    <row r="139" spans="1:21" x14ac:dyDescent="0.3">
      <c r="A139" s="1">
        <v>43018</v>
      </c>
      <c r="B139" s="1">
        <v>43109</v>
      </c>
      <c r="C139">
        <v>329.05428829193102</v>
      </c>
      <c r="D139">
        <v>330.45000019073399</v>
      </c>
      <c r="E139">
        <v>320.14999999999998</v>
      </c>
      <c r="F139">
        <v>10.300000190734799</v>
      </c>
      <c r="G139">
        <v>8.9042882919311506</v>
      </c>
      <c r="H139">
        <v>10.300000190734799</v>
      </c>
      <c r="J139" s="1">
        <v>43018</v>
      </c>
      <c r="K139">
        <v>320.14999999999998</v>
      </c>
      <c r="L139">
        <v>333.75</v>
      </c>
      <c r="M139">
        <v>329.05428829193102</v>
      </c>
      <c r="N139">
        <v>330.45000019073399</v>
      </c>
      <c r="O139">
        <f t="shared" si="20"/>
        <v>331.40214414596551</v>
      </c>
      <c r="P139">
        <f t="shared" si="21"/>
        <v>1</v>
      </c>
      <c r="Q139">
        <f t="shared" si="22"/>
        <v>1</v>
      </c>
      <c r="R139">
        <f t="shared" si="23"/>
        <v>1</v>
      </c>
      <c r="S139">
        <f t="shared" si="17"/>
        <v>1.9480117044601974</v>
      </c>
      <c r="T139">
        <f t="shared" si="18"/>
        <v>10.889998741155717</v>
      </c>
      <c r="U139">
        <f t="shared" si="19"/>
        <v>0.90657811148392287</v>
      </c>
    </row>
    <row r="140" spans="1:21" x14ac:dyDescent="0.3">
      <c r="A140" s="1">
        <v>43019</v>
      </c>
      <c r="B140" s="1">
        <v>43110</v>
      </c>
      <c r="C140">
        <v>329.72950935363701</v>
      </c>
      <c r="D140">
        <v>327.849999904632</v>
      </c>
      <c r="E140">
        <v>323.25</v>
      </c>
      <c r="F140">
        <v>4.5999999046325604</v>
      </c>
      <c r="G140">
        <v>6.47950935363769</v>
      </c>
      <c r="H140">
        <v>4.5999999046325604</v>
      </c>
      <c r="J140" s="1">
        <v>43019</v>
      </c>
      <c r="K140">
        <v>323.25</v>
      </c>
      <c r="L140">
        <v>335.25</v>
      </c>
      <c r="M140">
        <v>329.72950935363701</v>
      </c>
      <c r="N140">
        <v>327.849999904632</v>
      </c>
      <c r="O140">
        <f t="shared" si="20"/>
        <v>332.48975467681851</v>
      </c>
      <c r="P140">
        <f t="shared" si="21"/>
        <v>1</v>
      </c>
      <c r="Q140">
        <f t="shared" si="22"/>
        <v>1</v>
      </c>
      <c r="R140">
        <f t="shared" si="23"/>
        <v>1</v>
      </c>
      <c r="S140">
        <f t="shared" si="17"/>
        <v>3.5325557688991287</v>
      </c>
      <c r="T140">
        <f t="shared" si="18"/>
        <v>54.76000141144641</v>
      </c>
      <c r="U140">
        <f t="shared" si="19"/>
        <v>21.527324346027463</v>
      </c>
    </row>
    <row r="141" spans="1:21" x14ac:dyDescent="0.3">
      <c r="A141" s="1">
        <v>43020</v>
      </c>
      <c r="B141" s="1">
        <v>43111</v>
      </c>
      <c r="C141">
        <v>327.42134156227098</v>
      </c>
      <c r="D141">
        <v>326.50000002384098</v>
      </c>
      <c r="E141">
        <v>325.64999999999998</v>
      </c>
      <c r="F141">
        <v>0.85000002384185702</v>
      </c>
      <c r="G141">
        <v>1.7713415622711099</v>
      </c>
      <c r="H141">
        <v>0.85000002384185702</v>
      </c>
      <c r="J141" s="1">
        <v>43020</v>
      </c>
      <c r="K141">
        <v>325.64999999999998</v>
      </c>
      <c r="L141">
        <v>333.65</v>
      </c>
      <c r="M141">
        <v>327.42134156227098</v>
      </c>
      <c r="N141">
        <v>326.50000002384098</v>
      </c>
      <c r="O141">
        <f t="shared" si="20"/>
        <v>330.53567078113548</v>
      </c>
      <c r="P141">
        <f t="shared" si="21"/>
        <v>1</v>
      </c>
      <c r="Q141">
        <f t="shared" si="22"/>
        <v>1</v>
      </c>
      <c r="R141">
        <f t="shared" si="23"/>
        <v>1</v>
      </c>
      <c r="S141">
        <f t="shared" si="17"/>
        <v>0.84887023043655774</v>
      </c>
      <c r="T141">
        <f t="shared" si="18"/>
        <v>51.122499659073625</v>
      </c>
      <c r="U141">
        <f t="shared" si="19"/>
        <v>16.286638461281939</v>
      </c>
    </row>
    <row r="142" spans="1:21" x14ac:dyDescent="0.3">
      <c r="A142" s="1">
        <v>43021</v>
      </c>
      <c r="B142" s="1">
        <v>43112</v>
      </c>
      <c r="C142">
        <v>325.99745439291002</v>
      </c>
      <c r="D142">
        <v>326.84999995231601</v>
      </c>
      <c r="E142">
        <v>325.3</v>
      </c>
      <c r="F142">
        <v>1.54999995231628</v>
      </c>
      <c r="G142">
        <v>0.697454392910003</v>
      </c>
      <c r="H142">
        <v>1.54999995231628</v>
      </c>
      <c r="J142" s="1">
        <v>43021</v>
      </c>
      <c r="K142">
        <v>325.3</v>
      </c>
      <c r="L142">
        <v>332.9</v>
      </c>
      <c r="M142">
        <v>325.99745439291002</v>
      </c>
      <c r="N142">
        <v>326.84999995231601</v>
      </c>
      <c r="O142">
        <f t="shared" si="20"/>
        <v>329.44872719645502</v>
      </c>
      <c r="P142">
        <f t="shared" si="21"/>
        <v>1</v>
      </c>
      <c r="Q142">
        <f t="shared" si="22"/>
        <v>1</v>
      </c>
      <c r="R142">
        <f t="shared" si="23"/>
        <v>1</v>
      </c>
      <c r="S142">
        <f t="shared" si="17"/>
        <v>0.72683393086288317</v>
      </c>
      <c r="T142">
        <f t="shared" si="18"/>
        <v>36.602500576975991</v>
      </c>
      <c r="U142">
        <f t="shared" si="19"/>
        <v>6.7533832894303503</v>
      </c>
    </row>
    <row r="143" spans="1:21" x14ac:dyDescent="0.3">
      <c r="A143" s="1">
        <v>43024</v>
      </c>
      <c r="B143" s="1">
        <v>43115</v>
      </c>
      <c r="C143">
        <v>327.18070042133297</v>
      </c>
      <c r="D143">
        <v>327.299999952316</v>
      </c>
      <c r="E143">
        <v>325.5</v>
      </c>
      <c r="F143">
        <v>1.79999995231628</v>
      </c>
      <c r="G143">
        <v>1.6807004213333101</v>
      </c>
      <c r="H143">
        <v>1.79999995231628</v>
      </c>
      <c r="J143" s="1">
        <v>43024</v>
      </c>
      <c r="K143">
        <v>325.5</v>
      </c>
      <c r="L143">
        <v>331.55</v>
      </c>
      <c r="M143">
        <v>327.18070042133297</v>
      </c>
      <c r="N143">
        <v>327.299999952316</v>
      </c>
      <c r="O143">
        <f t="shared" si="20"/>
        <v>329.36535021066652</v>
      </c>
      <c r="P143">
        <f t="shared" si="21"/>
        <v>1</v>
      </c>
      <c r="Q143">
        <f t="shared" si="22"/>
        <v>1</v>
      </c>
      <c r="R143">
        <f t="shared" si="23"/>
        <v>1</v>
      </c>
      <c r="S143">
        <f t="shared" si="17"/>
        <v>1.4232378092770465E-2</v>
      </c>
      <c r="T143">
        <f t="shared" si="18"/>
        <v>18.062500405314101</v>
      </c>
      <c r="U143">
        <f t="shared" si="19"/>
        <v>4.2656716896685598</v>
      </c>
    </row>
    <row r="144" spans="1:21" x14ac:dyDescent="0.3">
      <c r="A144" s="1">
        <v>43025</v>
      </c>
      <c r="B144" s="1">
        <v>43116</v>
      </c>
      <c r="C144">
        <v>328.43233947753902</v>
      </c>
      <c r="D144">
        <v>330.49999980926498</v>
      </c>
      <c r="E144">
        <v>325.8</v>
      </c>
      <c r="F144">
        <v>4.6999998092651296</v>
      </c>
      <c r="G144">
        <v>2.6323394775390598</v>
      </c>
      <c r="H144">
        <v>4.6999998092651296</v>
      </c>
      <c r="J144" s="1">
        <v>43025</v>
      </c>
      <c r="K144">
        <v>325.8</v>
      </c>
      <c r="L144">
        <v>331.3</v>
      </c>
      <c r="M144">
        <v>328.43233947753902</v>
      </c>
      <c r="N144">
        <v>330.49999980926498</v>
      </c>
      <c r="O144">
        <f t="shared" si="20"/>
        <v>329.86616973876949</v>
      </c>
      <c r="P144">
        <f t="shared" si="21"/>
        <v>1</v>
      </c>
      <c r="Q144">
        <f t="shared" si="22"/>
        <v>1</v>
      </c>
      <c r="R144">
        <f t="shared" si="23"/>
        <v>1</v>
      </c>
      <c r="S144">
        <f t="shared" si="17"/>
        <v>4.2752192473931094</v>
      </c>
      <c r="T144">
        <f t="shared" si="18"/>
        <v>0.64000030517609052</v>
      </c>
      <c r="U144">
        <f t="shared" si="19"/>
        <v>0.40174055826432009</v>
      </c>
    </row>
    <row r="145" spans="1:21" x14ac:dyDescent="0.3">
      <c r="A145" s="1">
        <v>43026</v>
      </c>
      <c r="B145" s="1">
        <v>43117</v>
      </c>
      <c r="C145">
        <v>328.60801038741999</v>
      </c>
      <c r="D145">
        <v>329.19999990463202</v>
      </c>
      <c r="E145">
        <v>325.85000000000002</v>
      </c>
      <c r="F145">
        <v>3.3499999046325599</v>
      </c>
      <c r="G145">
        <v>2.7580103874206499</v>
      </c>
      <c r="H145">
        <v>3.3499999046325599</v>
      </c>
      <c r="J145" s="1">
        <v>43026</v>
      </c>
      <c r="K145">
        <v>325.85000000000002</v>
      </c>
      <c r="L145">
        <v>329.15</v>
      </c>
      <c r="M145">
        <v>328.60801038741999</v>
      </c>
      <c r="N145">
        <v>329.19999990463202</v>
      </c>
      <c r="O145">
        <f t="shared" si="20"/>
        <v>328.87900519370999</v>
      </c>
      <c r="P145">
        <f t="shared" si="21"/>
        <v>1</v>
      </c>
      <c r="Q145">
        <f t="shared" si="22"/>
        <v>1</v>
      </c>
      <c r="R145">
        <f t="shared" si="23"/>
        <v>1</v>
      </c>
      <c r="S145">
        <f t="shared" si="17"/>
        <v>0.35045158848892971</v>
      </c>
      <c r="T145">
        <f t="shared" si="18"/>
        <v>2.4999904632136351E-3</v>
      </c>
      <c r="U145">
        <f t="shared" si="19"/>
        <v>0.10303760443992183</v>
      </c>
    </row>
    <row r="146" spans="1:21" x14ac:dyDescent="0.3">
      <c r="A146" s="1">
        <v>43027</v>
      </c>
      <c r="B146" s="1">
        <v>43118</v>
      </c>
      <c r="C146">
        <v>337.92199382781899</v>
      </c>
      <c r="D146">
        <v>329.40000019073398</v>
      </c>
      <c r="E146">
        <v>324.10000000000002</v>
      </c>
      <c r="F146">
        <v>5.3000001907348597</v>
      </c>
      <c r="G146">
        <v>13.821993827819799</v>
      </c>
      <c r="H146">
        <v>5.3000001907348597</v>
      </c>
      <c r="J146" s="1">
        <v>43027</v>
      </c>
      <c r="K146">
        <v>324.10000000000002</v>
      </c>
      <c r="L146">
        <v>331.3</v>
      </c>
      <c r="M146">
        <v>337.92199382781899</v>
      </c>
      <c r="N146">
        <v>329.40000019073398</v>
      </c>
      <c r="O146">
        <f t="shared" si="20"/>
        <v>334.6109969139095</v>
      </c>
      <c r="P146">
        <f t="shared" si="21"/>
        <v>1</v>
      </c>
      <c r="Q146">
        <f t="shared" si="22"/>
        <v>1</v>
      </c>
      <c r="R146">
        <f t="shared" si="23"/>
        <v>1</v>
      </c>
      <c r="S146">
        <f t="shared" si="17"/>
        <v>72.624375550517527</v>
      </c>
      <c r="T146">
        <f t="shared" si="18"/>
        <v>3.6099992752109689</v>
      </c>
      <c r="U146">
        <f t="shared" si="19"/>
        <v>27.154486848946071</v>
      </c>
    </row>
    <row r="147" spans="1:21" x14ac:dyDescent="0.3">
      <c r="A147" s="1">
        <v>43028</v>
      </c>
      <c r="B147" s="1">
        <v>43119</v>
      </c>
      <c r="C147">
        <v>336.31759357452302</v>
      </c>
      <c r="D147">
        <v>329.599999904632</v>
      </c>
      <c r="E147">
        <v>326.25</v>
      </c>
      <c r="F147">
        <v>3.3499999046325599</v>
      </c>
      <c r="G147">
        <v>10.067593574523899</v>
      </c>
      <c r="H147">
        <v>3.3499999046325599</v>
      </c>
      <c r="J147" s="1">
        <v>43028</v>
      </c>
      <c r="K147">
        <v>326.25</v>
      </c>
      <c r="L147">
        <v>330.95</v>
      </c>
      <c r="M147">
        <v>336.31759357452302</v>
      </c>
      <c r="N147">
        <v>329.599999904632</v>
      </c>
      <c r="O147">
        <f t="shared" si="20"/>
        <v>333.63379678726153</v>
      </c>
      <c r="P147">
        <f t="shared" si="21"/>
        <v>1</v>
      </c>
      <c r="Q147">
        <f t="shared" si="22"/>
        <v>1</v>
      </c>
      <c r="R147">
        <f t="shared" si="23"/>
        <v>1</v>
      </c>
      <c r="S147">
        <f t="shared" si="17"/>
        <v>45.126064713759853</v>
      </c>
      <c r="T147">
        <f t="shared" si="18"/>
        <v>1.8225002574935787</v>
      </c>
      <c r="U147">
        <f t="shared" si="19"/>
        <v>16.271517290311721</v>
      </c>
    </row>
    <row r="148" spans="1:21" x14ac:dyDescent="0.3">
      <c r="A148" s="1">
        <v>43031</v>
      </c>
      <c r="B148" s="1">
        <v>43122</v>
      </c>
      <c r="C148">
        <v>335.052741813659</v>
      </c>
      <c r="D148">
        <v>326.24999998807903</v>
      </c>
      <c r="E148">
        <v>327.05</v>
      </c>
      <c r="F148">
        <v>-0.80000001192092896</v>
      </c>
      <c r="G148">
        <v>8.0027418136596609</v>
      </c>
      <c r="H148">
        <v>-0.80000001192092896</v>
      </c>
      <c r="J148" s="1">
        <v>43031</v>
      </c>
      <c r="K148">
        <v>327.05</v>
      </c>
      <c r="L148">
        <v>329.45</v>
      </c>
      <c r="M148">
        <v>335.052741813659</v>
      </c>
      <c r="N148">
        <v>326.24999998807903</v>
      </c>
      <c r="O148">
        <f t="shared" si="20"/>
        <v>332.25137090682949</v>
      </c>
      <c r="P148">
        <f t="shared" si="21"/>
        <v>0</v>
      </c>
      <c r="Q148">
        <f t="shared" si="22"/>
        <v>0</v>
      </c>
      <c r="R148">
        <f t="shared" si="23"/>
        <v>0</v>
      </c>
      <c r="S148">
        <f t="shared" si="17"/>
        <v>77.488263647815018</v>
      </c>
      <c r="T148">
        <f t="shared" si="18"/>
        <v>10.240000076294164</v>
      </c>
      <c r="U148">
        <f t="shared" si="19"/>
        <v>36.016452904423829</v>
      </c>
    </row>
    <row r="149" spans="1:21" x14ac:dyDescent="0.3">
      <c r="A149" s="1">
        <v>43032</v>
      </c>
      <c r="B149" s="1">
        <v>43123</v>
      </c>
      <c r="C149">
        <v>333.112336921691</v>
      </c>
      <c r="D149">
        <v>331.24999980926498</v>
      </c>
      <c r="E149">
        <v>326.55</v>
      </c>
      <c r="F149">
        <v>4.6999998092651296</v>
      </c>
      <c r="G149">
        <v>6.5623369216918901</v>
      </c>
      <c r="H149">
        <v>4.6999998092651296</v>
      </c>
      <c r="J149" s="1">
        <v>43032</v>
      </c>
      <c r="K149">
        <v>326.55</v>
      </c>
      <c r="L149">
        <v>330.85</v>
      </c>
      <c r="M149">
        <v>333.112336921691</v>
      </c>
      <c r="N149">
        <v>331.24999980926498</v>
      </c>
      <c r="O149">
        <f t="shared" si="20"/>
        <v>331.98116846084554</v>
      </c>
      <c r="P149">
        <f t="shared" si="21"/>
        <v>1</v>
      </c>
      <c r="Q149">
        <f t="shared" si="22"/>
        <v>1</v>
      </c>
      <c r="R149">
        <f t="shared" si="23"/>
        <v>1</v>
      </c>
      <c r="S149">
        <f t="shared" si="17"/>
        <v>3.4682995203192819</v>
      </c>
      <c r="T149">
        <f t="shared" si="18"/>
        <v>0.15999984741200024</v>
      </c>
      <c r="U149">
        <f t="shared" si="19"/>
        <v>0.53460759705413496</v>
      </c>
    </row>
    <row r="150" spans="1:21" x14ac:dyDescent="0.3">
      <c r="A150" s="1">
        <v>43033</v>
      </c>
      <c r="B150" s="1">
        <v>43124</v>
      </c>
      <c r="C150">
        <v>335.93964481353697</v>
      </c>
      <c r="D150">
        <v>331.599999904632</v>
      </c>
      <c r="E150">
        <v>326.75</v>
      </c>
      <c r="F150">
        <v>4.8499999046325604</v>
      </c>
      <c r="G150">
        <v>9.1896448135375906</v>
      </c>
      <c r="H150">
        <v>4.8499999046325604</v>
      </c>
      <c r="J150" s="1">
        <v>43033</v>
      </c>
      <c r="K150">
        <v>326.75</v>
      </c>
      <c r="L150">
        <v>332.55</v>
      </c>
      <c r="M150">
        <v>335.93964481353697</v>
      </c>
      <c r="N150">
        <v>331.599999904632</v>
      </c>
      <c r="O150">
        <f t="shared" si="20"/>
        <v>334.24482240676849</v>
      </c>
      <c r="P150">
        <f t="shared" si="21"/>
        <v>1</v>
      </c>
      <c r="Q150">
        <f t="shared" si="22"/>
        <v>1</v>
      </c>
      <c r="R150">
        <f t="shared" si="23"/>
        <v>1</v>
      </c>
      <c r="S150">
        <f t="shared" si="17"/>
        <v>18.832517935384846</v>
      </c>
      <c r="T150">
        <f t="shared" si="18"/>
        <v>0.90250018119923081</v>
      </c>
      <c r="U150">
        <f t="shared" si="19"/>
        <v>6.9950860678075344</v>
      </c>
    </row>
    <row r="151" spans="1:21" x14ac:dyDescent="0.3">
      <c r="A151" s="1">
        <v>43034</v>
      </c>
      <c r="B151" s="1">
        <v>43125</v>
      </c>
      <c r="C151">
        <v>332.48384380340502</v>
      </c>
      <c r="D151">
        <v>334.30000019073401</v>
      </c>
      <c r="E151">
        <v>323.75</v>
      </c>
      <c r="F151">
        <v>10.550000190734799</v>
      </c>
      <c r="G151">
        <v>8.7338438034057599</v>
      </c>
      <c r="H151">
        <v>10.550000190734799</v>
      </c>
      <c r="J151" s="1">
        <v>43034</v>
      </c>
      <c r="K151">
        <v>323.75</v>
      </c>
      <c r="L151">
        <v>331.45</v>
      </c>
      <c r="M151">
        <v>332.48384380340502</v>
      </c>
      <c r="N151">
        <v>334.30000019073401</v>
      </c>
      <c r="O151">
        <f t="shared" si="20"/>
        <v>331.96692190170251</v>
      </c>
      <c r="P151">
        <f t="shared" si="21"/>
        <v>1</v>
      </c>
      <c r="Q151">
        <f t="shared" si="22"/>
        <v>1</v>
      </c>
      <c r="R151">
        <f t="shared" si="23"/>
        <v>1</v>
      </c>
      <c r="S151">
        <f t="shared" si="17"/>
        <v>3.2984240232358806</v>
      </c>
      <c r="T151">
        <f t="shared" si="18"/>
        <v>8.1225010871839611</v>
      </c>
      <c r="U151">
        <f t="shared" si="19"/>
        <v>5.4432543027501747</v>
      </c>
    </row>
    <row r="152" spans="1:21" x14ac:dyDescent="0.3">
      <c r="A152" s="1">
        <v>43035</v>
      </c>
      <c r="B152" s="1">
        <v>43126</v>
      </c>
      <c r="C152">
        <v>328.93133029937701</v>
      </c>
      <c r="D152">
        <v>335.95000038146901</v>
      </c>
      <c r="E152">
        <v>326.85000000000002</v>
      </c>
      <c r="F152">
        <v>9.1000003814697195</v>
      </c>
      <c r="G152">
        <v>2.0813302993774401</v>
      </c>
      <c r="H152">
        <v>9.1000003814697195</v>
      </c>
      <c r="J152" s="1">
        <v>43035</v>
      </c>
      <c r="K152">
        <v>326.85000000000002</v>
      </c>
      <c r="L152">
        <v>332.25</v>
      </c>
      <c r="M152">
        <v>328.93133029937701</v>
      </c>
      <c r="N152">
        <v>335.95000038146901</v>
      </c>
      <c r="O152">
        <f t="shared" si="20"/>
        <v>330.5906651496885</v>
      </c>
      <c r="P152">
        <f t="shared" si="21"/>
        <v>1</v>
      </c>
      <c r="Q152">
        <f t="shared" si="22"/>
        <v>1</v>
      </c>
      <c r="R152">
        <f t="shared" si="23"/>
        <v>1</v>
      </c>
      <c r="S152">
        <f t="shared" si="17"/>
        <v>49.261729721253339</v>
      </c>
      <c r="T152">
        <f t="shared" si="18"/>
        <v>13.690002822870822</v>
      </c>
      <c r="U152">
        <f t="shared" si="19"/>
        <v>28.722474126603807</v>
      </c>
    </row>
    <row r="153" spans="1:21" x14ac:dyDescent="0.3">
      <c r="A153" s="1">
        <v>43038</v>
      </c>
      <c r="B153" s="1">
        <v>43129</v>
      </c>
      <c r="C153">
        <v>324.15138740539498</v>
      </c>
      <c r="D153">
        <v>338.500000190734</v>
      </c>
      <c r="E153">
        <v>327.45</v>
      </c>
      <c r="F153">
        <v>-11.050000190734799</v>
      </c>
      <c r="G153">
        <v>-3.29861259460449</v>
      </c>
      <c r="H153">
        <v>11.050000190734799</v>
      </c>
      <c r="J153" s="1">
        <v>43038</v>
      </c>
      <c r="K153">
        <v>327.45</v>
      </c>
      <c r="L153">
        <v>325.89999999999998</v>
      </c>
      <c r="M153">
        <v>324.15138740539498</v>
      </c>
      <c r="N153">
        <v>338.500000190734</v>
      </c>
      <c r="O153">
        <f t="shared" si="20"/>
        <v>325.02569370269748</v>
      </c>
      <c r="P153">
        <f t="shared" si="21"/>
        <v>0</v>
      </c>
      <c r="Q153">
        <f t="shared" si="22"/>
        <v>0</v>
      </c>
      <c r="R153">
        <f t="shared" si="23"/>
        <v>0</v>
      </c>
      <c r="S153">
        <f t="shared" si="17"/>
        <v>205.88268886359424</v>
      </c>
      <c r="T153">
        <f t="shared" si="18"/>
        <v>158.76000480649739</v>
      </c>
      <c r="U153">
        <f t="shared" si="19"/>
        <v>181.55693533354301</v>
      </c>
    </row>
    <row r="154" spans="1:21" x14ac:dyDescent="0.3">
      <c r="A154" s="1">
        <v>43039</v>
      </c>
      <c r="B154" s="1">
        <v>43130</v>
      </c>
      <c r="C154">
        <v>336.97944526672302</v>
      </c>
      <c r="D154">
        <v>333.89999990463201</v>
      </c>
      <c r="E154">
        <v>331.05</v>
      </c>
      <c r="F154">
        <v>2.8499999046325599</v>
      </c>
      <c r="G154">
        <v>5.9294452667236301</v>
      </c>
      <c r="H154">
        <v>2.8499999046325599</v>
      </c>
      <c r="J154" s="1">
        <v>43039</v>
      </c>
      <c r="K154">
        <v>331.05</v>
      </c>
      <c r="L154">
        <v>327.7</v>
      </c>
      <c r="M154">
        <v>336.97944526672302</v>
      </c>
      <c r="N154">
        <v>333.89999990463201</v>
      </c>
      <c r="O154">
        <f t="shared" si="20"/>
        <v>332.33972263336148</v>
      </c>
      <c r="P154">
        <f t="shared" si="21"/>
        <v>1</v>
      </c>
      <c r="Q154">
        <f t="shared" si="22"/>
        <v>0</v>
      </c>
      <c r="R154">
        <f t="shared" si="23"/>
        <v>1</v>
      </c>
      <c r="S154">
        <f t="shared" si="17"/>
        <v>9.4829837381038171</v>
      </c>
      <c r="T154">
        <f t="shared" si="18"/>
        <v>38.439998817437093</v>
      </c>
      <c r="U154">
        <f t="shared" si="19"/>
        <v>2.4344651632434298</v>
      </c>
    </row>
    <row r="155" spans="1:21" x14ac:dyDescent="0.3">
      <c r="A155" s="1">
        <v>43040</v>
      </c>
      <c r="B155" s="1">
        <v>43131</v>
      </c>
      <c r="C155">
        <v>341.23066883087102</v>
      </c>
      <c r="D155">
        <v>334.45000009536699</v>
      </c>
      <c r="E155">
        <v>336.55</v>
      </c>
      <c r="F155">
        <v>-2.0999999046325599</v>
      </c>
      <c r="G155">
        <v>4.6806688308715803</v>
      </c>
      <c r="H155">
        <v>-2.0999999046325599</v>
      </c>
      <c r="J155" s="1">
        <v>43040</v>
      </c>
      <c r="K155">
        <v>336.55</v>
      </c>
      <c r="L155">
        <v>327.7</v>
      </c>
      <c r="M155">
        <v>341.23066883087102</v>
      </c>
      <c r="N155">
        <v>334.45000009536699</v>
      </c>
      <c r="O155">
        <f t="shared" si="20"/>
        <v>334.46533441543551</v>
      </c>
      <c r="P155">
        <f t="shared" si="21"/>
        <v>0</v>
      </c>
      <c r="Q155">
        <f t="shared" si="22"/>
        <v>1</v>
      </c>
      <c r="R155">
        <f t="shared" si="23"/>
        <v>1</v>
      </c>
      <c r="S155">
        <f t="shared" si="17"/>
        <v>45.977468500641912</v>
      </c>
      <c r="T155">
        <f t="shared" si="18"/>
        <v>45.562501287454502</v>
      </c>
      <c r="U155">
        <f t="shared" si="19"/>
        <v>2.3514137196377035E-4</v>
      </c>
    </row>
    <row r="156" spans="1:21" x14ac:dyDescent="0.3">
      <c r="A156" s="1">
        <v>43041</v>
      </c>
      <c r="B156" s="1">
        <v>43132</v>
      </c>
      <c r="C156">
        <v>342.59199457168501</v>
      </c>
      <c r="D156">
        <v>333.65000002384102</v>
      </c>
      <c r="E156">
        <v>335.05</v>
      </c>
      <c r="F156">
        <v>-1.3999999761581401</v>
      </c>
      <c r="G156">
        <v>7.5419945716857901</v>
      </c>
      <c r="H156">
        <v>-1.3999999761581401</v>
      </c>
      <c r="J156" s="1">
        <v>43041</v>
      </c>
      <c r="K156">
        <v>335.05</v>
      </c>
      <c r="L156">
        <v>322.25</v>
      </c>
      <c r="M156">
        <v>342.59199457168501</v>
      </c>
      <c r="N156">
        <v>333.65000002384102</v>
      </c>
      <c r="O156">
        <f t="shared" si="20"/>
        <v>332.42099728584253</v>
      </c>
      <c r="P156">
        <f t="shared" si="21"/>
        <v>0</v>
      </c>
      <c r="Q156">
        <f t="shared" si="22"/>
        <v>1</v>
      </c>
      <c r="R156">
        <f t="shared" si="23"/>
        <v>1</v>
      </c>
      <c r="S156">
        <f t="shared" si="17"/>
        <v>79.959266493671649</v>
      </c>
      <c r="T156">
        <f t="shared" si="18"/>
        <v>129.96000054357518</v>
      </c>
      <c r="U156">
        <f t="shared" si="19"/>
        <v>1.5104477300077725</v>
      </c>
    </row>
    <row r="157" spans="1:21" x14ac:dyDescent="0.3">
      <c r="A157" s="1">
        <v>43042</v>
      </c>
      <c r="B157" s="1">
        <v>43133</v>
      </c>
      <c r="C157">
        <v>339.37763128280602</v>
      </c>
      <c r="D157">
        <v>327.40000019073398</v>
      </c>
      <c r="E157">
        <v>336.35</v>
      </c>
      <c r="F157">
        <v>-8.9499998092651296</v>
      </c>
      <c r="G157">
        <v>3.0276312828063898</v>
      </c>
      <c r="H157">
        <v>-8.9499998092651296</v>
      </c>
      <c r="J157" s="1">
        <v>43042</v>
      </c>
      <c r="K157">
        <v>336.35</v>
      </c>
      <c r="L157">
        <v>321.85000000000002</v>
      </c>
      <c r="M157">
        <v>339.37763128280602</v>
      </c>
      <c r="N157">
        <v>327.40000019073398</v>
      </c>
      <c r="O157">
        <f t="shared" si="20"/>
        <v>330.61381564140299</v>
      </c>
      <c r="P157">
        <f t="shared" si="21"/>
        <v>0</v>
      </c>
      <c r="Q157">
        <f t="shared" si="22"/>
        <v>1</v>
      </c>
      <c r="R157">
        <f t="shared" si="23"/>
        <v>1</v>
      </c>
      <c r="S157">
        <f t="shared" si="17"/>
        <v>143.46364657777096</v>
      </c>
      <c r="T157">
        <f t="shared" si="18"/>
        <v>30.802502117146922</v>
      </c>
      <c r="U157">
        <f t="shared" si="19"/>
        <v>10.328609750958897</v>
      </c>
    </row>
    <row r="158" spans="1:21" x14ac:dyDescent="0.3">
      <c r="A158" s="1">
        <v>43045</v>
      </c>
      <c r="B158" s="1">
        <v>43136</v>
      </c>
      <c r="C158">
        <v>336.283271217346</v>
      </c>
      <c r="D158">
        <v>323.00000038146902</v>
      </c>
      <c r="E158">
        <v>334.15</v>
      </c>
      <c r="F158">
        <v>-11.149999618530201</v>
      </c>
      <c r="G158">
        <v>2.1332712173461901</v>
      </c>
      <c r="H158">
        <v>-11.149999618530201</v>
      </c>
      <c r="J158" s="1">
        <v>43045</v>
      </c>
      <c r="K158">
        <v>334.15</v>
      </c>
      <c r="L158">
        <v>325</v>
      </c>
      <c r="M158">
        <v>336.283271217346</v>
      </c>
      <c r="N158">
        <v>323.00000038146902</v>
      </c>
      <c r="O158">
        <f t="shared" si="20"/>
        <v>330.64163560867303</v>
      </c>
      <c r="P158">
        <f t="shared" si="21"/>
        <v>0</v>
      </c>
      <c r="Q158">
        <f t="shared" si="22"/>
        <v>1</v>
      </c>
      <c r="R158">
        <f t="shared" si="23"/>
        <v>1</v>
      </c>
      <c r="S158">
        <f t="shared" si="17"/>
        <v>176.44528409925982</v>
      </c>
      <c r="T158">
        <f t="shared" si="18"/>
        <v>3.9999984741240588</v>
      </c>
      <c r="U158">
        <f t="shared" si="19"/>
        <v>58.394588945645218</v>
      </c>
    </row>
    <row r="159" spans="1:21" x14ac:dyDescent="0.3">
      <c r="A159" s="1">
        <v>43046</v>
      </c>
      <c r="B159" s="1">
        <v>43137</v>
      </c>
      <c r="C159">
        <v>335.33289182186098</v>
      </c>
      <c r="D159">
        <v>317.64999961852999</v>
      </c>
      <c r="E159">
        <v>333.75</v>
      </c>
      <c r="F159">
        <v>-16.100000381469702</v>
      </c>
      <c r="G159">
        <v>1.58289182186126</v>
      </c>
      <c r="H159">
        <v>-16.100000381469702</v>
      </c>
      <c r="J159" s="1">
        <v>43046</v>
      </c>
      <c r="K159">
        <v>333.75</v>
      </c>
      <c r="L159">
        <v>326.60000000000002</v>
      </c>
      <c r="M159">
        <v>335.33289182186098</v>
      </c>
      <c r="N159">
        <v>317.64999961852999</v>
      </c>
      <c r="O159">
        <f t="shared" si="20"/>
        <v>330.96644591093047</v>
      </c>
      <c r="P159">
        <f t="shared" si="21"/>
        <v>0</v>
      </c>
      <c r="Q159">
        <f t="shared" si="22"/>
        <v>1</v>
      </c>
      <c r="R159">
        <f t="shared" si="23"/>
        <v>1</v>
      </c>
      <c r="S159">
        <f t="shared" si="17"/>
        <v>312.68467667462403</v>
      </c>
      <c r="T159">
        <f t="shared" si="18"/>
        <v>80.10250682831375</v>
      </c>
      <c r="U159">
        <f t="shared" si="19"/>
        <v>177.32774185838662</v>
      </c>
    </row>
    <row r="160" spans="1:21" x14ac:dyDescent="0.3">
      <c r="A160" s="1">
        <v>43047</v>
      </c>
      <c r="B160" s="1">
        <v>43138</v>
      </c>
      <c r="C160">
        <v>333.556128382682</v>
      </c>
      <c r="D160">
        <v>309.5</v>
      </c>
      <c r="E160">
        <v>335.25</v>
      </c>
      <c r="F160">
        <v>25.75</v>
      </c>
      <c r="G160">
        <v>-1.6938716173171899</v>
      </c>
      <c r="H160">
        <v>-25.75</v>
      </c>
      <c r="J160" s="1">
        <v>43047</v>
      </c>
      <c r="K160">
        <v>335.25</v>
      </c>
      <c r="L160">
        <v>321.64999999999998</v>
      </c>
      <c r="M160">
        <v>333.556128382682</v>
      </c>
      <c r="N160">
        <v>309.5</v>
      </c>
      <c r="O160">
        <f t="shared" si="20"/>
        <v>327.60306419134099</v>
      </c>
      <c r="P160">
        <f t="shared" si="21"/>
        <v>1</v>
      </c>
      <c r="Q160">
        <f t="shared" si="22"/>
        <v>1</v>
      </c>
      <c r="R160">
        <f t="shared" si="23"/>
        <v>1</v>
      </c>
      <c r="S160">
        <f t="shared" si="17"/>
        <v>578.69731276407867</v>
      </c>
      <c r="T160">
        <f t="shared" si="18"/>
        <v>147.62249999999943</v>
      </c>
      <c r="U160">
        <f t="shared" si="19"/>
        <v>327.72093311581244</v>
      </c>
    </row>
    <row r="161" spans="1:21" x14ac:dyDescent="0.3">
      <c r="A161" s="1">
        <v>43048</v>
      </c>
      <c r="B161" s="1">
        <v>43139</v>
      </c>
      <c r="C161">
        <v>330.88971843719401</v>
      </c>
      <c r="D161">
        <v>312.50000038146902</v>
      </c>
      <c r="E161">
        <v>333.65</v>
      </c>
      <c r="F161">
        <v>21.149999618530199</v>
      </c>
      <c r="G161">
        <v>-2.76028156280517</v>
      </c>
      <c r="H161">
        <v>-21.149999618530199</v>
      </c>
      <c r="J161" s="1">
        <v>43048</v>
      </c>
      <c r="K161">
        <v>333.65</v>
      </c>
      <c r="L161">
        <v>320.7</v>
      </c>
      <c r="M161">
        <v>330.88971843719401</v>
      </c>
      <c r="N161">
        <v>312.50000038146902</v>
      </c>
      <c r="O161">
        <f t="shared" si="20"/>
        <v>325.79485921859703</v>
      </c>
      <c r="P161">
        <f t="shared" si="21"/>
        <v>1</v>
      </c>
      <c r="Q161">
        <f t="shared" si="22"/>
        <v>1</v>
      </c>
      <c r="R161">
        <f t="shared" si="23"/>
        <v>1</v>
      </c>
      <c r="S161">
        <f t="shared" si="17"/>
        <v>338.18173016905746</v>
      </c>
      <c r="T161">
        <f t="shared" si="18"/>
        <v>67.239993743908002</v>
      </c>
      <c r="U161">
        <f t="shared" si="19"/>
        <v>176.75327149916058</v>
      </c>
    </row>
    <row r="162" spans="1:21" x14ac:dyDescent="0.3">
      <c r="A162" s="1">
        <v>43049</v>
      </c>
      <c r="B162" s="1">
        <v>43140</v>
      </c>
      <c r="C162">
        <v>329.82933797836301</v>
      </c>
      <c r="D162">
        <v>303.85000076293898</v>
      </c>
      <c r="E162">
        <v>332.9</v>
      </c>
      <c r="F162">
        <v>29.049999237060501</v>
      </c>
      <c r="G162">
        <v>-3.0706620216369598</v>
      </c>
      <c r="H162">
        <v>-29.049999237060501</v>
      </c>
      <c r="J162" s="1">
        <v>43049</v>
      </c>
      <c r="K162">
        <v>332.9</v>
      </c>
      <c r="L162">
        <v>321.39999999999998</v>
      </c>
      <c r="M162">
        <v>329.82933797836301</v>
      </c>
      <c r="N162">
        <v>303.85000076293898</v>
      </c>
      <c r="O162">
        <f t="shared" si="20"/>
        <v>325.6146689891815</v>
      </c>
      <c r="P162">
        <f t="shared" si="21"/>
        <v>1</v>
      </c>
      <c r="Q162">
        <f t="shared" si="22"/>
        <v>1</v>
      </c>
      <c r="R162">
        <f t="shared" si="23"/>
        <v>1</v>
      </c>
      <c r="S162">
        <f t="shared" si="17"/>
        <v>674.92596215271647</v>
      </c>
      <c r="T162">
        <f t="shared" si="18"/>
        <v>308.00247322084175</v>
      </c>
      <c r="U162">
        <f t="shared" si="19"/>
        <v>473.70078299841072</v>
      </c>
    </row>
    <row r="163" spans="1:21" x14ac:dyDescent="0.3">
      <c r="A163" s="1">
        <v>43052</v>
      </c>
      <c r="B163" s="1">
        <v>43143</v>
      </c>
      <c r="C163">
        <v>324.064914512634</v>
      </c>
      <c r="D163">
        <v>308.09999923705999</v>
      </c>
      <c r="E163">
        <v>331.55</v>
      </c>
      <c r="F163">
        <v>23.4500007629394</v>
      </c>
      <c r="G163">
        <v>-7.48508548736572</v>
      </c>
      <c r="H163">
        <v>-23.4500007629394</v>
      </c>
      <c r="J163" s="1">
        <v>43052</v>
      </c>
      <c r="K163">
        <v>331.55</v>
      </c>
      <c r="L163">
        <v>321.5</v>
      </c>
      <c r="M163">
        <v>324.064914512634</v>
      </c>
      <c r="N163">
        <v>308.09999923705999</v>
      </c>
      <c r="O163">
        <f t="shared" si="20"/>
        <v>322.782457256317</v>
      </c>
      <c r="P163">
        <f t="shared" si="21"/>
        <v>1</v>
      </c>
      <c r="Q163">
        <f t="shared" si="22"/>
        <v>1</v>
      </c>
      <c r="R163">
        <f t="shared" si="23"/>
        <v>1</v>
      </c>
      <c r="S163">
        <f t="shared" si="17"/>
        <v>254.87851975625651</v>
      </c>
      <c r="T163">
        <f t="shared" si="18"/>
        <v>179.56002044679286</v>
      </c>
      <c r="U163">
        <f t="shared" si="19"/>
        <v>215.57457348724455</v>
      </c>
    </row>
    <row r="164" spans="1:21" x14ac:dyDescent="0.3">
      <c r="A164" s="1">
        <v>43053</v>
      </c>
      <c r="B164" s="1">
        <v>43144</v>
      </c>
      <c r="C164">
        <v>325.81667022705</v>
      </c>
      <c r="D164">
        <v>311.400000381469</v>
      </c>
      <c r="E164">
        <v>331.3</v>
      </c>
      <c r="F164">
        <v>19.899999618530199</v>
      </c>
      <c r="G164">
        <v>-5.4833297729492099</v>
      </c>
      <c r="H164">
        <v>-19.899999618530199</v>
      </c>
      <c r="J164" s="1">
        <v>43053</v>
      </c>
      <c r="K164">
        <v>331.3</v>
      </c>
      <c r="L164">
        <v>320.45</v>
      </c>
      <c r="M164">
        <v>325.81667022705</v>
      </c>
      <c r="N164">
        <v>311.400000381469</v>
      </c>
      <c r="O164">
        <f t="shared" si="20"/>
        <v>323.13333511352499</v>
      </c>
      <c r="P164">
        <f t="shared" si="21"/>
        <v>1</v>
      </c>
      <c r="Q164">
        <f t="shared" si="22"/>
        <v>1</v>
      </c>
      <c r="R164">
        <f t="shared" si="23"/>
        <v>1</v>
      </c>
      <c r="S164">
        <f t="shared" si="17"/>
        <v>207.84036943648442</v>
      </c>
      <c r="T164">
        <f t="shared" si="18"/>
        <v>81.90249309541106</v>
      </c>
      <c r="U164">
        <f t="shared" si="19"/>
        <v>137.6711439344715</v>
      </c>
    </row>
    <row r="165" spans="1:21" x14ac:dyDescent="0.3">
      <c r="A165" s="1">
        <v>43054</v>
      </c>
      <c r="B165" s="1">
        <v>43145</v>
      </c>
      <c r="C165">
        <v>323.73547878265299</v>
      </c>
      <c r="D165">
        <v>314.29999961853002</v>
      </c>
      <c r="E165">
        <v>329.15</v>
      </c>
      <c r="F165">
        <v>14.8500003814697</v>
      </c>
      <c r="G165">
        <v>-5.4145212173461896</v>
      </c>
      <c r="H165">
        <v>-14.8500003814697</v>
      </c>
      <c r="J165" s="1">
        <v>43054</v>
      </c>
      <c r="K165">
        <v>329.15</v>
      </c>
      <c r="L165">
        <v>322.85000000000002</v>
      </c>
      <c r="M165">
        <v>323.73547878265299</v>
      </c>
      <c r="N165">
        <v>314.29999961853002</v>
      </c>
      <c r="O165">
        <f t="shared" si="20"/>
        <v>323.29273939132651</v>
      </c>
      <c r="P165">
        <f t="shared" si="21"/>
        <v>1</v>
      </c>
      <c r="Q165">
        <f t="shared" si="22"/>
        <v>1</v>
      </c>
      <c r="R165">
        <f t="shared" si="23"/>
        <v>1</v>
      </c>
      <c r="S165">
        <f t="shared" si="17"/>
        <v>89.028267056598636</v>
      </c>
      <c r="T165">
        <f t="shared" si="18"/>
        <v>73.102506523137137</v>
      </c>
      <c r="U165">
        <f t="shared" si="19"/>
        <v>80.869368621235736</v>
      </c>
    </row>
    <row r="166" spans="1:21" x14ac:dyDescent="0.3">
      <c r="A166" s="1">
        <v>43055</v>
      </c>
      <c r="B166" s="1">
        <v>43146</v>
      </c>
      <c r="C166">
        <v>321.52682285308799</v>
      </c>
      <c r="D166">
        <v>314.3</v>
      </c>
      <c r="E166">
        <v>331.3</v>
      </c>
      <c r="F166">
        <v>17</v>
      </c>
      <c r="G166">
        <v>-9.7731771469116193</v>
      </c>
      <c r="H166">
        <v>-17</v>
      </c>
      <c r="J166" s="1">
        <v>43055</v>
      </c>
      <c r="K166">
        <v>331.3</v>
      </c>
      <c r="L166">
        <v>324.3</v>
      </c>
      <c r="M166">
        <v>321.52682285308799</v>
      </c>
      <c r="N166">
        <v>314.3</v>
      </c>
      <c r="O166">
        <f t="shared" si="20"/>
        <v>322.91341142654403</v>
      </c>
      <c r="P166">
        <f t="shared" si="21"/>
        <v>1</v>
      </c>
      <c r="Q166">
        <f t="shared" si="22"/>
        <v>1</v>
      </c>
      <c r="R166">
        <f t="shared" si="23"/>
        <v>1</v>
      </c>
      <c r="S166">
        <f t="shared" si="17"/>
        <v>52.226968549914709</v>
      </c>
      <c r="T166">
        <f t="shared" si="18"/>
        <v>100</v>
      </c>
      <c r="U166">
        <f t="shared" si="19"/>
        <v>74.190856402919067</v>
      </c>
    </row>
    <row r="167" spans="1:21" x14ac:dyDescent="0.3">
      <c r="A167" s="1">
        <v>43056</v>
      </c>
      <c r="B167" s="1">
        <v>43147</v>
      </c>
      <c r="C167">
        <v>322.43510742187499</v>
      </c>
      <c r="D167">
        <v>314.30000038146898</v>
      </c>
      <c r="E167">
        <v>330.95</v>
      </c>
      <c r="F167">
        <v>16.649999618530199</v>
      </c>
      <c r="G167">
        <v>-8.514892578125</v>
      </c>
      <c r="H167">
        <v>-16.649999618530199</v>
      </c>
      <c r="J167" s="1">
        <v>43056</v>
      </c>
      <c r="K167">
        <v>330.95</v>
      </c>
      <c r="L167">
        <v>322.75</v>
      </c>
      <c r="M167">
        <v>322.43510742187499</v>
      </c>
      <c r="N167">
        <v>314.30000038146898</v>
      </c>
      <c r="O167">
        <f t="shared" si="20"/>
        <v>322.59255371093752</v>
      </c>
      <c r="P167">
        <f t="shared" si="21"/>
        <v>1</v>
      </c>
      <c r="Q167">
        <f t="shared" si="22"/>
        <v>1</v>
      </c>
      <c r="R167">
        <f t="shared" si="23"/>
        <v>1</v>
      </c>
      <c r="S167">
        <f t="shared" si="17"/>
        <v>66.17996655886347</v>
      </c>
      <c r="T167">
        <f t="shared" si="18"/>
        <v>71.402493553174452</v>
      </c>
      <c r="U167">
        <f t="shared" si="19"/>
        <v>68.766440722079878</v>
      </c>
    </row>
    <row r="168" spans="1:21" x14ac:dyDescent="0.3">
      <c r="A168" s="1">
        <v>43059</v>
      </c>
      <c r="B168" s="1">
        <v>43150</v>
      </c>
      <c r="C168">
        <v>324.81929225921601</v>
      </c>
      <c r="D168">
        <v>316.250000190734</v>
      </c>
      <c r="E168">
        <v>329.45</v>
      </c>
      <c r="F168">
        <v>13.199999809265099</v>
      </c>
      <c r="G168">
        <v>-4.6307077407836896</v>
      </c>
      <c r="H168">
        <v>-13.199999809265099</v>
      </c>
      <c r="J168" s="1">
        <v>43059</v>
      </c>
      <c r="K168">
        <v>329.45</v>
      </c>
      <c r="L168">
        <v>324.14999999999998</v>
      </c>
      <c r="M168">
        <v>324.81929225921601</v>
      </c>
      <c r="N168">
        <v>316.250000190734</v>
      </c>
      <c r="O168">
        <f t="shared" si="20"/>
        <v>324.484646129608</v>
      </c>
      <c r="P168">
        <f t="shared" si="21"/>
        <v>1</v>
      </c>
      <c r="Q168">
        <f t="shared" si="22"/>
        <v>1</v>
      </c>
      <c r="R168">
        <f t="shared" si="23"/>
        <v>1</v>
      </c>
      <c r="S168">
        <f t="shared" si="17"/>
        <v>73.432766554948756</v>
      </c>
      <c r="T168">
        <f t="shared" si="18"/>
        <v>62.40999698640249</v>
      </c>
      <c r="U168">
        <f t="shared" si="19"/>
        <v>67.809393738613991</v>
      </c>
    </row>
    <row r="169" spans="1:21" x14ac:dyDescent="0.3">
      <c r="A169" s="1">
        <v>43060</v>
      </c>
      <c r="B169" s="1">
        <v>43151</v>
      </c>
      <c r="C169">
        <v>326.11330661773599</v>
      </c>
      <c r="D169">
        <v>311.99999961853001</v>
      </c>
      <c r="E169">
        <v>330.85</v>
      </c>
      <c r="F169">
        <v>18.850000381469702</v>
      </c>
      <c r="G169">
        <v>-4.73669338226318</v>
      </c>
      <c r="H169">
        <v>-18.850000381469702</v>
      </c>
      <c r="J169" s="1">
        <v>43060</v>
      </c>
      <c r="K169">
        <v>330.85</v>
      </c>
      <c r="L169">
        <v>323.85000000000002</v>
      </c>
      <c r="M169">
        <v>326.11330661773599</v>
      </c>
      <c r="N169">
        <v>311.99999961853001</v>
      </c>
      <c r="O169">
        <f t="shared" si="20"/>
        <v>324.98165330886798</v>
      </c>
      <c r="P169">
        <f t="shared" si="21"/>
        <v>1</v>
      </c>
      <c r="Q169">
        <f t="shared" si="22"/>
        <v>1</v>
      </c>
      <c r="R169">
        <f t="shared" si="23"/>
        <v>1</v>
      </c>
      <c r="S169">
        <f t="shared" si="17"/>
        <v>199.18543445383634</v>
      </c>
      <c r="T169">
        <f t="shared" si="18"/>
        <v>140.4225090408394</v>
      </c>
      <c r="U169">
        <f t="shared" si="19"/>
        <v>168.52333253586528</v>
      </c>
    </row>
    <row r="170" spans="1:21" x14ac:dyDescent="0.3">
      <c r="A170" s="1">
        <v>43061</v>
      </c>
      <c r="B170" s="1">
        <v>43152</v>
      </c>
      <c r="C170">
        <v>322.23700885772701</v>
      </c>
      <c r="D170">
        <v>314.05</v>
      </c>
      <c r="E170">
        <v>332.55</v>
      </c>
      <c r="F170">
        <v>18.5</v>
      </c>
      <c r="G170">
        <v>-10.312991142272899</v>
      </c>
      <c r="H170">
        <v>-18.5</v>
      </c>
      <c r="J170" s="1">
        <v>43061</v>
      </c>
      <c r="K170">
        <v>332.55</v>
      </c>
      <c r="L170">
        <v>323.55</v>
      </c>
      <c r="M170">
        <v>322.23700885772701</v>
      </c>
      <c r="N170">
        <v>314.05</v>
      </c>
      <c r="O170">
        <f t="shared" si="20"/>
        <v>322.89350442886348</v>
      </c>
      <c r="P170">
        <f t="shared" si="21"/>
        <v>1</v>
      </c>
      <c r="Q170">
        <f t="shared" si="22"/>
        <v>1</v>
      </c>
      <c r="R170">
        <f t="shared" si="23"/>
        <v>1</v>
      </c>
      <c r="S170">
        <f t="shared" si="17"/>
        <v>67.027114036500265</v>
      </c>
      <c r="T170">
        <f t="shared" si="18"/>
        <v>90.25</v>
      </c>
      <c r="U170">
        <f t="shared" si="19"/>
        <v>78.207570583327779</v>
      </c>
    </row>
    <row r="171" spans="1:21" x14ac:dyDescent="0.3">
      <c r="A171" s="1">
        <v>43062</v>
      </c>
      <c r="B171" s="1">
        <v>43153</v>
      </c>
      <c r="C171">
        <v>329.57885367870301</v>
      </c>
      <c r="D171">
        <v>311.84999961852998</v>
      </c>
      <c r="E171">
        <v>331.45</v>
      </c>
      <c r="F171">
        <v>19.600000381469702</v>
      </c>
      <c r="G171">
        <v>-1.8711463212966899</v>
      </c>
      <c r="H171">
        <v>-19.600000381469702</v>
      </c>
      <c r="J171" s="1">
        <v>43062</v>
      </c>
      <c r="K171">
        <v>331.45</v>
      </c>
      <c r="L171">
        <v>316.85000000000002</v>
      </c>
      <c r="M171">
        <v>329.57885367870301</v>
      </c>
      <c r="N171">
        <v>311.84999961852998</v>
      </c>
      <c r="O171">
        <f t="shared" si="20"/>
        <v>323.21442683935152</v>
      </c>
      <c r="P171">
        <f t="shared" si="21"/>
        <v>1</v>
      </c>
      <c r="Q171">
        <f t="shared" si="22"/>
        <v>1</v>
      </c>
      <c r="R171">
        <f t="shared" si="23"/>
        <v>1</v>
      </c>
      <c r="S171">
        <f t="shared" si="17"/>
        <v>314.31226628691388</v>
      </c>
      <c r="T171">
        <f t="shared" si="18"/>
        <v>25.000003814700595</v>
      </c>
      <c r="U171">
        <f t="shared" si="19"/>
        <v>129.15020605734958</v>
      </c>
    </row>
    <row r="172" spans="1:21" x14ac:dyDescent="0.3">
      <c r="A172" s="1">
        <v>43063</v>
      </c>
      <c r="B172" s="1">
        <v>43154</v>
      </c>
      <c r="C172">
        <v>333.77019548416098</v>
      </c>
      <c r="D172">
        <v>316.94999980926502</v>
      </c>
      <c r="E172">
        <v>332.25</v>
      </c>
      <c r="F172">
        <v>-15.300000190734799</v>
      </c>
      <c r="G172">
        <v>1.5201954841613701</v>
      </c>
      <c r="H172">
        <v>-15.300000190734799</v>
      </c>
      <c r="J172" s="1">
        <v>43063</v>
      </c>
      <c r="K172">
        <v>332.25</v>
      </c>
      <c r="L172">
        <v>318.5</v>
      </c>
      <c r="M172">
        <v>333.77019548416098</v>
      </c>
      <c r="N172">
        <v>316.94999980926502</v>
      </c>
      <c r="O172">
        <f t="shared" si="20"/>
        <v>326.13509774208046</v>
      </c>
      <c r="P172">
        <f t="shared" si="21"/>
        <v>0</v>
      </c>
      <c r="Q172">
        <f t="shared" si="22"/>
        <v>1</v>
      </c>
      <c r="R172">
        <f t="shared" si="23"/>
        <v>1</v>
      </c>
      <c r="S172">
        <f t="shared" si="17"/>
        <v>282.91898254178864</v>
      </c>
      <c r="T172">
        <f t="shared" si="18"/>
        <v>2.4025005912784652</v>
      </c>
      <c r="U172">
        <f t="shared" si="19"/>
        <v>84.366024035410433</v>
      </c>
    </row>
    <row r="173" spans="1:21" x14ac:dyDescent="0.3">
      <c r="A173" s="1">
        <v>43066</v>
      </c>
      <c r="B173" s="1">
        <v>43157</v>
      </c>
      <c r="C173">
        <v>332.655362987518</v>
      </c>
      <c r="D173">
        <v>317.099999809265</v>
      </c>
      <c r="E173">
        <v>325.89999999999998</v>
      </c>
      <c r="F173">
        <v>-8.8000001907348597</v>
      </c>
      <c r="G173">
        <v>6.7553629875183097</v>
      </c>
      <c r="H173">
        <v>-8.8000001907348597</v>
      </c>
      <c r="J173" s="1">
        <v>43066</v>
      </c>
      <c r="K173">
        <v>325.89999999999998</v>
      </c>
      <c r="L173">
        <v>318.5</v>
      </c>
      <c r="M173">
        <v>332.655362987518</v>
      </c>
      <c r="N173">
        <v>317.099999809265</v>
      </c>
      <c r="O173">
        <f t="shared" si="20"/>
        <v>325.57768149375897</v>
      </c>
      <c r="P173">
        <f t="shared" si="21"/>
        <v>0</v>
      </c>
      <c r="Q173">
        <f t="shared" si="22"/>
        <v>1</v>
      </c>
      <c r="R173">
        <f t="shared" si="23"/>
        <v>1</v>
      </c>
      <c r="S173">
        <f t="shared" si="17"/>
        <v>241.96932360734937</v>
      </c>
      <c r="T173">
        <f t="shared" si="18"/>
        <v>1.9600005340580355</v>
      </c>
      <c r="U173">
        <f t="shared" si="19"/>
        <v>71.871086743604565</v>
      </c>
    </row>
    <row r="174" spans="1:21" x14ac:dyDescent="0.3">
      <c r="A174" s="1">
        <v>43067</v>
      </c>
      <c r="B174" s="1">
        <v>43158</v>
      </c>
      <c r="C174">
        <v>329.12635953426297</v>
      </c>
      <c r="D174">
        <v>315.750000190734</v>
      </c>
      <c r="E174">
        <v>327.7</v>
      </c>
      <c r="F174">
        <v>-11.949999809265099</v>
      </c>
      <c r="G174">
        <v>1.42635953426361</v>
      </c>
      <c r="H174">
        <v>-11.949999809265099</v>
      </c>
      <c r="J174" s="1">
        <v>43067</v>
      </c>
      <c r="K174">
        <v>327.7</v>
      </c>
      <c r="L174">
        <v>317.45</v>
      </c>
      <c r="M174">
        <v>329.12635953426297</v>
      </c>
      <c r="N174">
        <v>315.750000190734</v>
      </c>
      <c r="O174">
        <f t="shared" si="20"/>
        <v>323.28817976713151</v>
      </c>
      <c r="P174">
        <f t="shared" si="21"/>
        <v>0</v>
      </c>
      <c r="Q174">
        <f t="shared" si="22"/>
        <v>1</v>
      </c>
      <c r="R174">
        <f t="shared" si="23"/>
        <v>1</v>
      </c>
      <c r="S174">
        <f t="shared" si="17"/>
        <v>178.92698928721492</v>
      </c>
      <c r="T174">
        <f t="shared" si="18"/>
        <v>2.8899993515044002</v>
      </c>
      <c r="U174">
        <f t="shared" si="19"/>
        <v>56.824151326016555</v>
      </c>
    </row>
    <row r="175" spans="1:21" x14ac:dyDescent="0.3">
      <c r="A175" s="1">
        <v>43068</v>
      </c>
      <c r="B175" s="1">
        <v>43159</v>
      </c>
      <c r="C175">
        <v>329.69802601337398</v>
      </c>
      <c r="D175">
        <v>312.45</v>
      </c>
      <c r="E175">
        <v>327.7</v>
      </c>
      <c r="F175">
        <v>-15.25</v>
      </c>
      <c r="G175">
        <v>1.99802601337432</v>
      </c>
      <c r="H175">
        <v>-15.25</v>
      </c>
      <c r="J175" s="1">
        <v>43068</v>
      </c>
      <c r="K175">
        <v>327.7</v>
      </c>
      <c r="L175">
        <v>321.2</v>
      </c>
      <c r="M175">
        <v>329.69802601337398</v>
      </c>
      <c r="N175">
        <v>312.45</v>
      </c>
      <c r="O175">
        <f t="shared" si="20"/>
        <v>325.44901300668698</v>
      </c>
      <c r="P175">
        <f t="shared" si="21"/>
        <v>0</v>
      </c>
      <c r="Q175">
        <f t="shared" si="22"/>
        <v>1</v>
      </c>
      <c r="R175">
        <f t="shared" si="23"/>
        <v>1</v>
      </c>
      <c r="S175">
        <f t="shared" si="17"/>
        <v>297.49440135802575</v>
      </c>
      <c r="T175">
        <f t="shared" si="18"/>
        <v>76.5625</v>
      </c>
      <c r="U175">
        <f t="shared" si="19"/>
        <v>168.97433914801763</v>
      </c>
    </row>
    <row r="176" spans="1:21" x14ac:dyDescent="0.3">
      <c r="A176" s="1">
        <v>43069</v>
      </c>
      <c r="B176" s="1">
        <v>43160</v>
      </c>
      <c r="C176">
        <v>323.69181406497898</v>
      </c>
      <c r="D176">
        <v>312.44999980926502</v>
      </c>
      <c r="E176">
        <v>322.25</v>
      </c>
      <c r="F176">
        <v>-9.8000001907348597</v>
      </c>
      <c r="G176">
        <v>1.4418140649795499</v>
      </c>
      <c r="H176">
        <v>-9.8000001907348597</v>
      </c>
      <c r="J176" s="1">
        <v>43069</v>
      </c>
      <c r="K176">
        <v>322.25</v>
      </c>
      <c r="L176">
        <v>325.64999999999998</v>
      </c>
      <c r="M176">
        <v>323.69181406497898</v>
      </c>
      <c r="N176">
        <v>312.44999980926502</v>
      </c>
      <c r="O176">
        <f t="shared" si="20"/>
        <v>324.67090703248948</v>
      </c>
      <c r="P176">
        <f t="shared" si="21"/>
        <v>0</v>
      </c>
      <c r="Q176">
        <f t="shared" si="22"/>
        <v>0</v>
      </c>
      <c r="R176">
        <f t="shared" si="23"/>
        <v>0</v>
      </c>
      <c r="S176">
        <f t="shared" si="17"/>
        <v>126.37838775997366</v>
      </c>
      <c r="T176">
        <f t="shared" si="18"/>
        <v>174.24000503540282</v>
      </c>
      <c r="U176">
        <f t="shared" si="19"/>
        <v>149.35057335865974</v>
      </c>
    </row>
    <row r="177" spans="1:21" x14ac:dyDescent="0.3">
      <c r="A177" s="1">
        <v>43070</v>
      </c>
      <c r="B177" s="1">
        <v>43161</v>
      </c>
      <c r="C177">
        <v>319.36383829116801</v>
      </c>
      <c r="D177">
        <v>308.15000019073398</v>
      </c>
      <c r="E177">
        <v>321.85000000000002</v>
      </c>
      <c r="F177">
        <v>13.699999809265099</v>
      </c>
      <c r="G177">
        <v>-2.48616170883178</v>
      </c>
      <c r="H177">
        <v>-13.699999809265099</v>
      </c>
      <c r="J177" s="1">
        <v>43070</v>
      </c>
      <c r="K177">
        <v>321.85000000000002</v>
      </c>
      <c r="L177">
        <v>325.64999999999998</v>
      </c>
      <c r="M177">
        <v>319.36383829116801</v>
      </c>
      <c r="N177">
        <v>308.15000019073398</v>
      </c>
      <c r="O177">
        <f t="shared" si="20"/>
        <v>322.50691914558399</v>
      </c>
      <c r="P177">
        <f t="shared" si="21"/>
        <v>1</v>
      </c>
      <c r="Q177">
        <f t="shared" si="22"/>
        <v>0</v>
      </c>
      <c r="R177">
        <f t="shared" si="23"/>
        <v>0</v>
      </c>
      <c r="S177">
        <f t="shared" si="17"/>
        <v>125.75016494274594</v>
      </c>
      <c r="T177">
        <f t="shared" si="18"/>
        <v>306.24999332431008</v>
      </c>
      <c r="U177">
        <f t="shared" si="19"/>
        <v>206.1211218761317</v>
      </c>
    </row>
    <row r="178" spans="1:21" x14ac:dyDescent="0.3">
      <c r="A178" s="1">
        <v>43073</v>
      </c>
      <c r="B178" s="1">
        <v>43164</v>
      </c>
      <c r="C178">
        <v>323.58062374591799</v>
      </c>
      <c r="D178">
        <v>303.85000038146899</v>
      </c>
      <c r="E178">
        <v>325</v>
      </c>
      <c r="F178">
        <v>21.149999618530199</v>
      </c>
      <c r="G178">
        <v>-1.4193762540817201</v>
      </c>
      <c r="H178">
        <v>-21.149999618530199</v>
      </c>
      <c r="J178" s="1">
        <v>43073</v>
      </c>
      <c r="K178">
        <v>325</v>
      </c>
      <c r="L178">
        <v>325.64999999999998</v>
      </c>
      <c r="M178">
        <v>323.58062374591799</v>
      </c>
      <c r="N178">
        <v>303.85000038146899</v>
      </c>
      <c r="O178">
        <f t="shared" si="20"/>
        <v>324.61531187295896</v>
      </c>
      <c r="P178">
        <f t="shared" si="21"/>
        <v>1</v>
      </c>
      <c r="Q178">
        <f t="shared" si="22"/>
        <v>0</v>
      </c>
      <c r="R178">
        <f t="shared" si="23"/>
        <v>1</v>
      </c>
      <c r="S178">
        <f t="shared" si="17"/>
        <v>389.29749834974086</v>
      </c>
      <c r="T178">
        <f t="shared" si="18"/>
        <v>475.23998336795131</v>
      </c>
      <c r="U178">
        <f t="shared" si="19"/>
        <v>431.1981613386053</v>
      </c>
    </row>
    <row r="179" spans="1:21" x14ac:dyDescent="0.3">
      <c r="A179" s="1">
        <v>43074</v>
      </c>
      <c r="B179" s="1">
        <v>43165</v>
      </c>
      <c r="C179">
        <v>324.49667654037398</v>
      </c>
      <c r="D179">
        <v>310.30000076293902</v>
      </c>
      <c r="E179">
        <v>326.60000000000002</v>
      </c>
      <c r="F179">
        <v>16.299999237060501</v>
      </c>
      <c r="G179">
        <v>-2.1033234596252401</v>
      </c>
      <c r="H179">
        <v>-16.299999237060501</v>
      </c>
      <c r="J179" s="1">
        <v>43074</v>
      </c>
      <c r="K179">
        <v>326.60000000000002</v>
      </c>
      <c r="L179">
        <v>326.5</v>
      </c>
      <c r="M179">
        <v>324.49667654037398</v>
      </c>
      <c r="N179">
        <v>310.30000076293902</v>
      </c>
      <c r="O179">
        <f t="shared" si="20"/>
        <v>325.49833827018699</v>
      </c>
      <c r="P179">
        <f t="shared" si="21"/>
        <v>1</v>
      </c>
      <c r="Q179">
        <f t="shared" si="22"/>
        <v>1</v>
      </c>
      <c r="R179">
        <f t="shared" si="23"/>
        <v>1</v>
      </c>
      <c r="S179">
        <f t="shared" si="17"/>
        <v>201.54560312960857</v>
      </c>
      <c r="T179">
        <f t="shared" si="18"/>
        <v>262.43997528077631</v>
      </c>
      <c r="U179">
        <f t="shared" si="19"/>
        <v>230.98946298422044</v>
      </c>
    </row>
    <row r="180" spans="1:21" x14ac:dyDescent="0.3">
      <c r="A180" s="1">
        <v>43075</v>
      </c>
      <c r="B180" s="1">
        <v>43166</v>
      </c>
      <c r="C180">
        <v>322.658401751518</v>
      </c>
      <c r="D180">
        <v>310.45000019073399</v>
      </c>
      <c r="E180">
        <v>321.64999999999998</v>
      </c>
      <c r="F180">
        <v>-11.199999809265099</v>
      </c>
      <c r="G180">
        <v>1.00840175151824</v>
      </c>
      <c r="H180">
        <v>-11.199999809265099</v>
      </c>
      <c r="J180" s="1">
        <v>43075</v>
      </c>
      <c r="K180">
        <v>321.64999999999998</v>
      </c>
      <c r="L180">
        <v>327.7</v>
      </c>
      <c r="M180">
        <v>322.658401751518</v>
      </c>
      <c r="N180">
        <v>310.45000019073399</v>
      </c>
      <c r="O180">
        <f t="shared" si="20"/>
        <v>325.17920087575897</v>
      </c>
      <c r="P180">
        <f t="shared" si="21"/>
        <v>0</v>
      </c>
      <c r="Q180">
        <f t="shared" si="22"/>
        <v>0</v>
      </c>
      <c r="R180">
        <f t="shared" si="23"/>
        <v>0</v>
      </c>
      <c r="S180">
        <f t="shared" si="17"/>
        <v>149.0450686693535</v>
      </c>
      <c r="T180">
        <f t="shared" si="18"/>
        <v>297.56249341967708</v>
      </c>
      <c r="U180">
        <f t="shared" si="19"/>
        <v>216.94935281974028</v>
      </c>
    </row>
    <row r="181" spans="1:21" x14ac:dyDescent="0.3">
      <c r="A181" s="1">
        <v>43076</v>
      </c>
      <c r="B181" s="1">
        <v>43167</v>
      </c>
      <c r="C181">
        <v>323.63892288208001</v>
      </c>
      <c r="D181">
        <v>313.60000009536702</v>
      </c>
      <c r="E181">
        <v>320.7</v>
      </c>
      <c r="F181">
        <v>-7.0999999046325604</v>
      </c>
      <c r="G181">
        <v>2.9389228820800701</v>
      </c>
      <c r="H181">
        <v>-7.0999999046325604</v>
      </c>
      <c r="J181" s="1">
        <v>43076</v>
      </c>
      <c r="K181">
        <v>320.7</v>
      </c>
      <c r="L181">
        <v>325</v>
      </c>
      <c r="M181">
        <v>323.63892288208001</v>
      </c>
      <c r="N181">
        <v>313.60000009536702</v>
      </c>
      <c r="O181">
        <f t="shared" si="20"/>
        <v>324.31946144104</v>
      </c>
      <c r="P181">
        <f t="shared" si="21"/>
        <v>0</v>
      </c>
      <c r="Q181">
        <f t="shared" si="22"/>
        <v>0</v>
      </c>
      <c r="R181">
        <f t="shared" si="23"/>
        <v>0</v>
      </c>
      <c r="S181">
        <f t="shared" ref="S181:S244" si="24">POWER(M181-N181, 2)</f>
        <v>100.77997071758526</v>
      </c>
      <c r="T181">
        <f t="shared" ref="T181:T244" si="25">POWER(N181-L181,2)</f>
        <v>129.95999782563189</v>
      </c>
      <c r="U181">
        <f t="shared" ref="U181:U244" si="26">POWER(O181-N181, 2)</f>
        <v>114.90685154137724</v>
      </c>
    </row>
    <row r="182" spans="1:21" x14ac:dyDescent="0.3">
      <c r="A182" s="1">
        <v>43077</v>
      </c>
      <c r="B182" s="1">
        <v>43168</v>
      </c>
      <c r="C182">
        <v>321.07028173804201</v>
      </c>
      <c r="D182">
        <v>317.099999809265</v>
      </c>
      <c r="E182">
        <v>321.39999999999998</v>
      </c>
      <c r="F182">
        <v>4.3000001907348597</v>
      </c>
      <c r="G182">
        <v>-0.32971826195716802</v>
      </c>
      <c r="H182">
        <v>-4.3000001907348597</v>
      </c>
      <c r="J182" s="1">
        <v>43077</v>
      </c>
      <c r="K182">
        <v>321.39999999999998</v>
      </c>
      <c r="L182">
        <v>328.95</v>
      </c>
      <c r="M182">
        <v>321.07028173804201</v>
      </c>
      <c r="N182">
        <v>317.099999809265</v>
      </c>
      <c r="O182">
        <f t="shared" si="20"/>
        <v>325.01014086902103</v>
      </c>
      <c r="P182">
        <f t="shared" si="21"/>
        <v>1</v>
      </c>
      <c r="Q182">
        <f t="shared" si="22"/>
        <v>0</v>
      </c>
      <c r="R182">
        <f t="shared" si="23"/>
        <v>0</v>
      </c>
      <c r="S182">
        <f t="shared" si="24"/>
        <v>15.763138593973315</v>
      </c>
      <c r="T182">
        <f t="shared" si="25"/>
        <v>140.42250452041927</v>
      </c>
      <c r="U182">
        <f t="shared" si="26"/>
        <v>62.570331585238229</v>
      </c>
    </row>
    <row r="183" spans="1:21" x14ac:dyDescent="0.3">
      <c r="A183" s="1">
        <v>43080</v>
      </c>
      <c r="B183" s="1">
        <v>43171</v>
      </c>
      <c r="C183">
        <v>317.992862224578</v>
      </c>
      <c r="D183">
        <v>320.10000002384101</v>
      </c>
      <c r="E183">
        <v>321.5</v>
      </c>
      <c r="F183">
        <v>1.3999999761581401</v>
      </c>
      <c r="G183">
        <v>-3.5071377754211399</v>
      </c>
      <c r="H183">
        <v>-1.3999999761581401</v>
      </c>
      <c r="J183" s="1">
        <v>43080</v>
      </c>
      <c r="K183">
        <v>321.5</v>
      </c>
      <c r="L183">
        <v>331.25</v>
      </c>
      <c r="M183">
        <v>317.992862224578</v>
      </c>
      <c r="N183">
        <v>320.10000002384101</v>
      </c>
      <c r="O183">
        <f t="shared" si="20"/>
        <v>324.62143111228897</v>
      </c>
      <c r="P183">
        <f t="shared" si="21"/>
        <v>1</v>
      </c>
      <c r="Q183">
        <f t="shared" si="22"/>
        <v>0</v>
      </c>
      <c r="R183">
        <f t="shared" si="23"/>
        <v>0</v>
      </c>
      <c r="S183">
        <f t="shared" si="24"/>
        <v>4.4400297050829209</v>
      </c>
      <c r="T183">
        <f t="shared" si="25"/>
        <v>124.32249946834558</v>
      </c>
      <c r="U183">
        <f t="shared" si="26"/>
        <v>20.443339087583784</v>
      </c>
    </row>
    <row r="184" spans="1:21" x14ac:dyDescent="0.3">
      <c r="A184" s="1">
        <v>43081</v>
      </c>
      <c r="B184" s="1">
        <v>43172</v>
      </c>
      <c r="C184">
        <v>318.14537448882999</v>
      </c>
      <c r="D184">
        <v>321.49999995231599</v>
      </c>
      <c r="E184">
        <v>320.45</v>
      </c>
      <c r="F184">
        <v>-1.04999995231628</v>
      </c>
      <c r="G184">
        <v>-2.30462551116943</v>
      </c>
      <c r="H184">
        <v>1.04999995231628</v>
      </c>
      <c r="J184" s="1">
        <v>43081</v>
      </c>
      <c r="K184">
        <v>320.45</v>
      </c>
      <c r="L184">
        <v>330.45</v>
      </c>
      <c r="M184">
        <v>318.14537448882999</v>
      </c>
      <c r="N184">
        <v>321.49999995231599</v>
      </c>
      <c r="O184">
        <f t="shared" si="20"/>
        <v>324.29768724441499</v>
      </c>
      <c r="P184">
        <f t="shared" si="21"/>
        <v>0</v>
      </c>
      <c r="Q184">
        <f t="shared" si="22"/>
        <v>1</v>
      </c>
      <c r="R184">
        <f t="shared" si="23"/>
        <v>1</v>
      </c>
      <c r="S184">
        <f t="shared" si="24"/>
        <v>11.253512000268673</v>
      </c>
      <c r="T184">
        <f t="shared" si="25"/>
        <v>80.102500853543603</v>
      </c>
      <c r="U184">
        <f t="shared" si="26"/>
        <v>7.8270541843722299</v>
      </c>
    </row>
    <row r="185" spans="1:21" x14ac:dyDescent="0.3">
      <c r="A185" s="1">
        <v>43082</v>
      </c>
      <c r="B185" s="1">
        <v>43173</v>
      </c>
      <c r="C185">
        <v>320.611891841888</v>
      </c>
      <c r="D185">
        <v>321.550000047683</v>
      </c>
      <c r="E185">
        <v>322.85000000000002</v>
      </c>
      <c r="F185">
        <v>1.29999995231628</v>
      </c>
      <c r="G185">
        <v>-2.23810815811157</v>
      </c>
      <c r="H185">
        <v>-1.29999995231628</v>
      </c>
      <c r="J185" s="1">
        <v>43082</v>
      </c>
      <c r="K185">
        <v>322.85000000000002</v>
      </c>
      <c r="L185">
        <v>327.85</v>
      </c>
      <c r="M185">
        <v>320.611891841888</v>
      </c>
      <c r="N185">
        <v>321.550000047683</v>
      </c>
      <c r="O185">
        <f t="shared" si="20"/>
        <v>324.23094592094401</v>
      </c>
      <c r="P185">
        <f t="shared" si="21"/>
        <v>1</v>
      </c>
      <c r="Q185">
        <f t="shared" si="22"/>
        <v>0</v>
      </c>
      <c r="R185">
        <f t="shared" si="23"/>
        <v>0</v>
      </c>
      <c r="S185">
        <f t="shared" si="24"/>
        <v>0.88004700577992134</v>
      </c>
      <c r="T185">
        <f t="shared" si="25"/>
        <v>39.689999399194491</v>
      </c>
      <c r="U185">
        <f t="shared" si="26"/>
        <v>7.1874707753552372</v>
      </c>
    </row>
    <row r="186" spans="1:21" x14ac:dyDescent="0.3">
      <c r="A186" s="1">
        <v>43083</v>
      </c>
      <c r="B186" s="1">
        <v>43174</v>
      </c>
      <c r="C186">
        <v>323.47296856641702</v>
      </c>
      <c r="D186">
        <v>322.84999995231601</v>
      </c>
      <c r="E186">
        <v>324.3</v>
      </c>
      <c r="F186">
        <v>1.45000004768371</v>
      </c>
      <c r="G186">
        <v>-0.82703143358230502</v>
      </c>
      <c r="H186">
        <v>-1.45000004768371</v>
      </c>
      <c r="J186" s="1">
        <v>43083</v>
      </c>
      <c r="K186">
        <v>324.3</v>
      </c>
      <c r="L186">
        <v>326.5</v>
      </c>
      <c r="M186">
        <v>323.47296856641702</v>
      </c>
      <c r="N186">
        <v>322.84999995231601</v>
      </c>
      <c r="O186">
        <f t="shared" si="20"/>
        <v>324.98648428320848</v>
      </c>
      <c r="P186">
        <f t="shared" si="21"/>
        <v>1</v>
      </c>
      <c r="Q186">
        <f t="shared" si="22"/>
        <v>0</v>
      </c>
      <c r="R186">
        <f t="shared" si="23"/>
        <v>0</v>
      </c>
      <c r="S186">
        <f t="shared" si="24"/>
        <v>0.38808989415493561</v>
      </c>
      <c r="T186">
        <f t="shared" si="25"/>
        <v>13.32250034809312</v>
      </c>
      <c r="U186">
        <f t="shared" si="26"/>
        <v>4.5645652961490537</v>
      </c>
    </row>
    <row r="187" spans="1:21" x14ac:dyDescent="0.3">
      <c r="A187" s="1">
        <v>43084</v>
      </c>
      <c r="B187" s="1">
        <v>43175</v>
      </c>
      <c r="C187">
        <v>325.79508924484202</v>
      </c>
      <c r="D187">
        <v>322</v>
      </c>
      <c r="E187">
        <v>322.75</v>
      </c>
      <c r="F187">
        <v>-0.75</v>
      </c>
      <c r="G187">
        <v>3.04508924484252</v>
      </c>
      <c r="H187">
        <v>-0.75</v>
      </c>
      <c r="J187" s="1">
        <v>43084</v>
      </c>
      <c r="K187">
        <v>322.75</v>
      </c>
      <c r="L187">
        <v>326.85000000000002</v>
      </c>
      <c r="M187">
        <v>325.79508924484202</v>
      </c>
      <c r="N187">
        <v>322</v>
      </c>
      <c r="O187">
        <f t="shared" si="20"/>
        <v>326.32254462242099</v>
      </c>
      <c r="P187">
        <f t="shared" si="21"/>
        <v>0</v>
      </c>
      <c r="Q187">
        <f t="shared" si="22"/>
        <v>0</v>
      </c>
      <c r="R187">
        <f t="shared" si="23"/>
        <v>0</v>
      </c>
      <c r="S187">
        <f t="shared" si="24"/>
        <v>14.402702376315556</v>
      </c>
      <c r="T187">
        <f t="shared" si="25"/>
        <v>23.522500000000221</v>
      </c>
      <c r="U187">
        <f t="shared" si="26"/>
        <v>18.684392012820634</v>
      </c>
    </row>
    <row r="188" spans="1:21" x14ac:dyDescent="0.3">
      <c r="A188" s="1">
        <v>43087</v>
      </c>
      <c r="B188" s="1">
        <v>43178</v>
      </c>
      <c r="C188">
        <v>328.262766265869</v>
      </c>
      <c r="D188">
        <v>319.849999809265</v>
      </c>
      <c r="E188">
        <v>324.14999999999998</v>
      </c>
      <c r="F188">
        <v>-4.3000001907348597</v>
      </c>
      <c r="G188">
        <v>4.1127662658691397</v>
      </c>
      <c r="H188">
        <v>-4.3000001907348597</v>
      </c>
      <c r="J188" s="1">
        <v>43087</v>
      </c>
      <c r="K188">
        <v>324.14999999999998</v>
      </c>
      <c r="L188">
        <v>327.3</v>
      </c>
      <c r="M188">
        <v>328.262766265869</v>
      </c>
      <c r="N188">
        <v>319.849999809265</v>
      </c>
      <c r="O188">
        <f t="shared" si="20"/>
        <v>327.78138313293448</v>
      </c>
      <c r="P188">
        <f t="shared" si="21"/>
        <v>0</v>
      </c>
      <c r="Q188">
        <f t="shared" si="22"/>
        <v>0</v>
      </c>
      <c r="R188">
        <f t="shared" si="23"/>
        <v>0</v>
      </c>
      <c r="S188">
        <f t="shared" si="24"/>
        <v>70.774639453361488</v>
      </c>
      <c r="T188">
        <f t="shared" si="25"/>
        <v>55.502502841951703</v>
      </c>
      <c r="U188">
        <f t="shared" si="26"/>
        <v>62.906841426982311</v>
      </c>
    </row>
    <row r="189" spans="1:21" x14ac:dyDescent="0.3">
      <c r="A189" s="1">
        <v>43088</v>
      </c>
      <c r="B189" s="1">
        <v>43179</v>
      </c>
      <c r="C189">
        <v>329.49115476608199</v>
      </c>
      <c r="D189">
        <v>321.300000047683</v>
      </c>
      <c r="E189">
        <v>323.85000000000002</v>
      </c>
      <c r="F189">
        <v>-2.5499999523162802</v>
      </c>
      <c r="G189">
        <v>5.6411547660827601</v>
      </c>
      <c r="H189">
        <v>-2.5499999523162802</v>
      </c>
      <c r="J189" s="1">
        <v>43088</v>
      </c>
      <c r="K189">
        <v>323.85000000000002</v>
      </c>
      <c r="L189">
        <v>330.5</v>
      </c>
      <c r="M189">
        <v>329.49115476608199</v>
      </c>
      <c r="N189">
        <v>321.300000047683</v>
      </c>
      <c r="O189">
        <f t="shared" si="20"/>
        <v>329.995577383041</v>
      </c>
      <c r="P189">
        <f t="shared" si="21"/>
        <v>0</v>
      </c>
      <c r="Q189">
        <f t="shared" si="22"/>
        <v>0</v>
      </c>
      <c r="R189">
        <f t="shared" si="23"/>
        <v>0</v>
      </c>
      <c r="S189">
        <f t="shared" si="24"/>
        <v>67.095015620750047</v>
      </c>
      <c r="T189">
        <f t="shared" si="25"/>
        <v>84.639999122632815</v>
      </c>
      <c r="U189">
        <f t="shared" si="26"/>
        <v>75.613065195191666</v>
      </c>
    </row>
    <row r="190" spans="1:21" x14ac:dyDescent="0.3">
      <c r="A190" s="1">
        <v>43089</v>
      </c>
      <c r="B190" s="1">
        <v>43180</v>
      </c>
      <c r="C190">
        <v>329.82234601974397</v>
      </c>
      <c r="D190">
        <v>321.59999995231601</v>
      </c>
      <c r="E190">
        <v>323.55</v>
      </c>
      <c r="F190">
        <v>-1.95000004768371</v>
      </c>
      <c r="G190">
        <v>6.2723460197448704</v>
      </c>
      <c r="H190">
        <v>-1.95000004768371</v>
      </c>
      <c r="J190" s="1">
        <v>43089</v>
      </c>
      <c r="K190">
        <v>323.55</v>
      </c>
      <c r="L190">
        <v>329.2</v>
      </c>
      <c r="M190">
        <v>329.82234601974397</v>
      </c>
      <c r="N190">
        <v>321.59999995231601</v>
      </c>
      <c r="O190">
        <f t="shared" si="20"/>
        <v>329.51117300987198</v>
      </c>
      <c r="P190">
        <f t="shared" si="21"/>
        <v>0</v>
      </c>
      <c r="Q190">
        <f t="shared" si="22"/>
        <v>0</v>
      </c>
      <c r="R190">
        <f t="shared" si="23"/>
        <v>0</v>
      </c>
      <c r="S190">
        <f t="shared" si="24"/>
        <v>67.606974852548092</v>
      </c>
      <c r="T190">
        <f t="shared" si="25"/>
        <v>57.760000724796456</v>
      </c>
      <c r="U190">
        <f t="shared" si="26"/>
        <v>62.58665914659948</v>
      </c>
    </row>
    <row r="191" spans="1:21" x14ac:dyDescent="0.3">
      <c r="A191" s="1">
        <v>43090</v>
      </c>
      <c r="B191" s="1">
        <v>43181</v>
      </c>
      <c r="C191">
        <v>324.65970621109</v>
      </c>
      <c r="D191">
        <v>322.10000000000002</v>
      </c>
      <c r="E191">
        <v>316.85000000000002</v>
      </c>
      <c r="F191">
        <v>5.25</v>
      </c>
      <c r="G191">
        <v>7.8097062110900799</v>
      </c>
      <c r="H191">
        <v>5.25</v>
      </c>
      <c r="J191" s="1">
        <v>43090</v>
      </c>
      <c r="K191">
        <v>316.85000000000002</v>
      </c>
      <c r="L191">
        <v>329.4</v>
      </c>
      <c r="M191">
        <v>324.65970621109</v>
      </c>
      <c r="N191">
        <v>322.10000000000002</v>
      </c>
      <c r="O191">
        <f t="shared" si="20"/>
        <v>327.02985310554499</v>
      </c>
      <c r="P191">
        <f t="shared" si="21"/>
        <v>1</v>
      </c>
      <c r="Q191">
        <f t="shared" si="22"/>
        <v>1</v>
      </c>
      <c r="R191">
        <f t="shared" si="23"/>
        <v>1</v>
      </c>
      <c r="S191">
        <f t="shared" si="24"/>
        <v>6.5520958870925918</v>
      </c>
      <c r="T191">
        <f t="shared" si="25"/>
        <v>53.289999999999338</v>
      </c>
      <c r="U191">
        <f t="shared" si="26"/>
        <v>24.303451642251328</v>
      </c>
    </row>
    <row r="192" spans="1:21" x14ac:dyDescent="0.3">
      <c r="A192" s="1">
        <v>43091</v>
      </c>
      <c r="B192" s="1">
        <v>43182</v>
      </c>
      <c r="C192">
        <v>329.547747611999</v>
      </c>
      <c r="D192">
        <v>311.5</v>
      </c>
      <c r="E192">
        <v>318.5</v>
      </c>
      <c r="F192">
        <v>-7</v>
      </c>
      <c r="G192">
        <v>11.047747611999499</v>
      </c>
      <c r="H192">
        <v>-7</v>
      </c>
      <c r="J192" s="1">
        <v>43091</v>
      </c>
      <c r="K192">
        <v>318.5</v>
      </c>
      <c r="L192">
        <v>329.6</v>
      </c>
      <c r="M192">
        <v>329.547747611999</v>
      </c>
      <c r="N192">
        <v>311.5</v>
      </c>
      <c r="O192">
        <f t="shared" si="20"/>
        <v>329.57387380599948</v>
      </c>
      <c r="P192">
        <f t="shared" si="21"/>
        <v>0</v>
      </c>
      <c r="Q192">
        <f t="shared" si="22"/>
        <v>0</v>
      </c>
      <c r="R192">
        <f t="shared" si="23"/>
        <v>0</v>
      </c>
      <c r="S192">
        <f t="shared" si="24"/>
        <v>325.7211938664156</v>
      </c>
      <c r="T192">
        <f t="shared" si="25"/>
        <v>327.61000000000081</v>
      </c>
      <c r="U192">
        <f t="shared" si="26"/>
        <v>326.66491435519424</v>
      </c>
    </row>
    <row r="193" spans="1:21" x14ac:dyDescent="0.3">
      <c r="A193" s="1">
        <v>43094</v>
      </c>
      <c r="B193" s="1">
        <v>43185</v>
      </c>
      <c r="C193">
        <v>328.29121112823401</v>
      </c>
      <c r="D193">
        <v>314.5</v>
      </c>
      <c r="E193">
        <v>318.5</v>
      </c>
      <c r="F193">
        <v>-4</v>
      </c>
      <c r="G193">
        <v>9.7912111282348597</v>
      </c>
      <c r="H193">
        <v>-4</v>
      </c>
      <c r="J193" s="1">
        <v>43094</v>
      </c>
      <c r="K193">
        <v>318.5</v>
      </c>
      <c r="L193">
        <v>326.25</v>
      </c>
      <c r="M193">
        <v>328.29121112823401</v>
      </c>
      <c r="N193">
        <v>314.5</v>
      </c>
      <c r="O193">
        <f t="shared" si="20"/>
        <v>327.27060556411698</v>
      </c>
      <c r="P193">
        <f t="shared" si="21"/>
        <v>0</v>
      </c>
      <c r="Q193">
        <f t="shared" si="22"/>
        <v>0</v>
      </c>
      <c r="R193">
        <f t="shared" si="23"/>
        <v>0</v>
      </c>
      <c r="S193">
        <f t="shared" si="24"/>
        <v>190.19750438352563</v>
      </c>
      <c r="T193">
        <f t="shared" si="25"/>
        <v>138.0625</v>
      </c>
      <c r="U193">
        <f t="shared" si="26"/>
        <v>163.08836647425548</v>
      </c>
    </row>
    <row r="194" spans="1:21" x14ac:dyDescent="0.3">
      <c r="A194" s="1">
        <v>43095</v>
      </c>
      <c r="B194" s="1">
        <v>43186</v>
      </c>
      <c r="C194">
        <v>327.66654510498</v>
      </c>
      <c r="D194">
        <v>315.15000004768302</v>
      </c>
      <c r="E194">
        <v>317.45</v>
      </c>
      <c r="F194">
        <v>-2.2999999523162802</v>
      </c>
      <c r="G194">
        <v>10.216545104980399</v>
      </c>
      <c r="H194">
        <v>-2.2999999523162802</v>
      </c>
      <c r="J194" s="1">
        <v>43095</v>
      </c>
      <c r="K194">
        <v>317.45</v>
      </c>
      <c r="L194">
        <v>331.25</v>
      </c>
      <c r="M194">
        <v>327.66654510498</v>
      </c>
      <c r="N194">
        <v>315.15000004768302</v>
      </c>
      <c r="O194">
        <f t="shared" si="20"/>
        <v>329.45827255249003</v>
      </c>
      <c r="P194">
        <f t="shared" si="21"/>
        <v>0</v>
      </c>
      <c r="Q194">
        <f t="shared" si="22"/>
        <v>0</v>
      </c>
      <c r="R194">
        <f t="shared" si="23"/>
        <v>0</v>
      </c>
      <c r="S194">
        <f t="shared" si="24"/>
        <v>156.66390017134546</v>
      </c>
      <c r="T194">
        <f t="shared" si="25"/>
        <v>259.20999846460666</v>
      </c>
      <c r="U194">
        <f t="shared" si="26"/>
        <v>204.72666207181621</v>
      </c>
    </row>
    <row r="195" spans="1:21" x14ac:dyDescent="0.3">
      <c r="A195" s="1">
        <v>43096</v>
      </c>
      <c r="B195" s="1">
        <v>43187</v>
      </c>
      <c r="C195">
        <v>331.56163806915202</v>
      </c>
      <c r="D195">
        <v>310.64999980926501</v>
      </c>
      <c r="E195">
        <v>321.2</v>
      </c>
      <c r="F195">
        <v>-10.550000190734799</v>
      </c>
      <c r="G195">
        <v>10.3616380691528</v>
      </c>
      <c r="H195">
        <v>-10.550000190734799</v>
      </c>
      <c r="J195" s="1">
        <v>43096</v>
      </c>
      <c r="K195">
        <v>321.2</v>
      </c>
      <c r="L195">
        <v>331.6</v>
      </c>
      <c r="M195">
        <v>331.56163806915202</v>
      </c>
      <c r="N195">
        <v>310.64999980926501</v>
      </c>
      <c r="O195">
        <f t="shared" ref="O195:O258" si="27">(L195+M195)/2</f>
        <v>331.58081903457605</v>
      </c>
      <c r="P195">
        <f t="shared" ref="P195:P258" si="28">IF((K195-M195)*(K195-N195)&gt;0, 1, 0)</f>
        <v>0</v>
      </c>
      <c r="Q195">
        <f t="shared" ref="Q195:Q258" si="29">IF((K195-L195)*(K195-N195)&gt;0, 1, 0)</f>
        <v>0</v>
      </c>
      <c r="R195">
        <f t="shared" ref="R195:R258" si="30">IF((K195-O195)*(K195-N195)&gt;0, 1, 0)</f>
        <v>0</v>
      </c>
      <c r="S195">
        <f t="shared" si="24"/>
        <v>437.29661471237034</v>
      </c>
      <c r="T195">
        <f t="shared" si="25"/>
        <v>438.90250799179699</v>
      </c>
      <c r="U195">
        <f t="shared" si="26"/>
        <v>438.09919344265029</v>
      </c>
    </row>
    <row r="196" spans="1:21" x14ac:dyDescent="0.3">
      <c r="A196" s="1">
        <v>43097</v>
      </c>
      <c r="B196" s="1">
        <v>43188</v>
      </c>
      <c r="C196">
        <v>337.40443744659399</v>
      </c>
      <c r="D196">
        <v>314.45000019073399</v>
      </c>
      <c r="E196">
        <v>325.64999999999998</v>
      </c>
      <c r="F196">
        <v>-11.199999809265099</v>
      </c>
      <c r="G196">
        <v>11.754437446594199</v>
      </c>
      <c r="H196">
        <v>-11.199999809265099</v>
      </c>
      <c r="J196" s="1">
        <v>43097</v>
      </c>
      <c r="K196">
        <v>325.64999999999998</v>
      </c>
      <c r="L196">
        <v>334.3</v>
      </c>
      <c r="M196">
        <v>337.40443744659399</v>
      </c>
      <c r="N196">
        <v>314.45000019073399</v>
      </c>
      <c r="O196">
        <f t="shared" si="27"/>
        <v>335.85221872329703</v>
      </c>
      <c r="P196">
        <f t="shared" si="28"/>
        <v>0</v>
      </c>
      <c r="Q196">
        <f t="shared" si="29"/>
        <v>0</v>
      </c>
      <c r="R196">
        <f t="shared" si="30"/>
        <v>0</v>
      </c>
      <c r="S196">
        <f t="shared" si="24"/>
        <v>526.90618973321352</v>
      </c>
      <c r="T196">
        <f t="shared" si="25"/>
        <v>394.02249242786115</v>
      </c>
      <c r="U196">
        <f t="shared" si="26"/>
        <v>458.05495811558484</v>
      </c>
    </row>
    <row r="197" spans="1:21" x14ac:dyDescent="0.3">
      <c r="A197" s="1">
        <v>43098</v>
      </c>
      <c r="B197" s="1">
        <v>43189</v>
      </c>
      <c r="C197">
        <v>338.02805175781202</v>
      </c>
      <c r="D197">
        <v>314.54999961853002</v>
      </c>
      <c r="E197">
        <v>325.64999999999998</v>
      </c>
      <c r="F197">
        <v>-11.1000003814697</v>
      </c>
      <c r="G197">
        <v>12.3780517578125</v>
      </c>
      <c r="H197">
        <v>-11.1000003814697</v>
      </c>
      <c r="J197" s="1">
        <v>43098</v>
      </c>
      <c r="K197">
        <v>325.64999999999998</v>
      </c>
      <c r="L197">
        <v>335.95</v>
      </c>
      <c r="M197">
        <v>338.02805175781202</v>
      </c>
      <c r="N197">
        <v>314.54999961853002</v>
      </c>
      <c r="O197">
        <f t="shared" si="27"/>
        <v>336.98902587890598</v>
      </c>
      <c r="P197">
        <f t="shared" si="28"/>
        <v>0</v>
      </c>
      <c r="Q197">
        <f t="shared" si="29"/>
        <v>0</v>
      </c>
      <c r="R197">
        <f t="shared" si="30"/>
        <v>0</v>
      </c>
      <c r="S197">
        <f t="shared" si="24"/>
        <v>551.21893225484405</v>
      </c>
      <c r="T197">
        <f t="shared" si="25"/>
        <v>457.96001632691468</v>
      </c>
      <c r="U197">
        <f t="shared" si="26"/>
        <v>503.50989951384167</v>
      </c>
    </row>
    <row r="198" spans="1:21" x14ac:dyDescent="0.3">
      <c r="A198" s="1">
        <v>43101</v>
      </c>
      <c r="B198" s="1">
        <v>43192</v>
      </c>
      <c r="C198">
        <v>330.44570531845</v>
      </c>
      <c r="D198">
        <v>313.45000019073399</v>
      </c>
      <c r="E198">
        <v>325.64999999999998</v>
      </c>
      <c r="F198">
        <v>-12.199999809265099</v>
      </c>
      <c r="G198">
        <v>4.7957053184509197</v>
      </c>
      <c r="H198">
        <v>-12.199999809265099</v>
      </c>
      <c r="J198" s="1">
        <v>43101</v>
      </c>
      <c r="K198">
        <v>325.64999999999998</v>
      </c>
      <c r="L198">
        <v>338.5</v>
      </c>
      <c r="M198">
        <v>330.44570531845</v>
      </c>
      <c r="N198">
        <v>313.45000019073399</v>
      </c>
      <c r="O198">
        <f t="shared" si="27"/>
        <v>334.472852659225</v>
      </c>
      <c r="P198">
        <f t="shared" si="28"/>
        <v>0</v>
      </c>
      <c r="Q198">
        <f t="shared" si="29"/>
        <v>0</v>
      </c>
      <c r="R198">
        <f t="shared" si="30"/>
        <v>0</v>
      </c>
      <c r="S198">
        <f t="shared" si="24"/>
        <v>288.85399278827219</v>
      </c>
      <c r="T198">
        <f t="shared" si="25"/>
        <v>627.50249044422719</v>
      </c>
      <c r="U198">
        <f t="shared" si="26"/>
        <v>441.96032591193853</v>
      </c>
    </row>
    <row r="199" spans="1:21" x14ac:dyDescent="0.3">
      <c r="A199" s="1">
        <v>43102</v>
      </c>
      <c r="B199" s="1">
        <v>43193</v>
      </c>
      <c r="C199">
        <v>328.69153881072998</v>
      </c>
      <c r="D199">
        <v>312.80000019073401</v>
      </c>
      <c r="E199">
        <v>326.5</v>
      </c>
      <c r="F199">
        <v>-13.699999809265099</v>
      </c>
      <c r="G199">
        <v>2.19153881072998</v>
      </c>
      <c r="H199">
        <v>-13.699999809265099</v>
      </c>
      <c r="J199" s="1">
        <v>43102</v>
      </c>
      <c r="K199">
        <v>326.5</v>
      </c>
      <c r="L199">
        <v>333.9</v>
      </c>
      <c r="M199">
        <v>328.69153881072998</v>
      </c>
      <c r="N199">
        <v>312.80000019073401</v>
      </c>
      <c r="O199">
        <f t="shared" si="27"/>
        <v>331.29576940536498</v>
      </c>
      <c r="P199">
        <f t="shared" si="28"/>
        <v>0</v>
      </c>
      <c r="Q199">
        <f t="shared" si="29"/>
        <v>0</v>
      </c>
      <c r="R199">
        <f t="shared" si="30"/>
        <v>0</v>
      </c>
      <c r="S199">
        <f t="shared" si="24"/>
        <v>252.5409997108234</v>
      </c>
      <c r="T199">
        <f t="shared" si="25"/>
        <v>445.20999195102382</v>
      </c>
      <c r="U199">
        <f t="shared" si="26"/>
        <v>342.09347884089067</v>
      </c>
    </row>
    <row r="200" spans="1:21" x14ac:dyDescent="0.3">
      <c r="A200" s="1">
        <v>43103</v>
      </c>
      <c r="B200" s="1">
        <v>43194</v>
      </c>
      <c r="C200">
        <v>328.724170279502</v>
      </c>
      <c r="D200">
        <v>307.55000038146898</v>
      </c>
      <c r="E200">
        <v>327.7</v>
      </c>
      <c r="F200">
        <v>-20.149999618530199</v>
      </c>
      <c r="G200">
        <v>1.02417027950286</v>
      </c>
      <c r="H200">
        <v>-20.149999618530199</v>
      </c>
      <c r="J200" s="1">
        <v>43103</v>
      </c>
      <c r="K200">
        <v>327.7</v>
      </c>
      <c r="L200">
        <v>334.45</v>
      </c>
      <c r="M200">
        <v>328.724170279502</v>
      </c>
      <c r="N200">
        <v>307.55000038146898</v>
      </c>
      <c r="O200">
        <f t="shared" si="27"/>
        <v>331.58708513975103</v>
      </c>
      <c r="P200">
        <f t="shared" si="28"/>
        <v>0</v>
      </c>
      <c r="Q200">
        <f t="shared" si="29"/>
        <v>0</v>
      </c>
      <c r="R200">
        <f t="shared" si="30"/>
        <v>0</v>
      </c>
      <c r="S200">
        <f t="shared" si="24"/>
        <v>448.34547087076805</v>
      </c>
      <c r="T200">
        <f t="shared" si="25"/>
        <v>723.60997947696865</v>
      </c>
      <c r="U200">
        <f t="shared" si="26"/>
        <v>577.78144367683524</v>
      </c>
    </row>
    <row r="201" spans="1:21" x14ac:dyDescent="0.3">
      <c r="A201" s="1">
        <v>43104</v>
      </c>
      <c r="B201" s="1">
        <v>43195</v>
      </c>
      <c r="C201">
        <v>323.00417375564501</v>
      </c>
      <c r="D201">
        <v>312.94999980926502</v>
      </c>
      <c r="E201">
        <v>325</v>
      </c>
      <c r="F201">
        <v>12.050000190734799</v>
      </c>
      <c r="G201">
        <v>-1.9958262443542401</v>
      </c>
      <c r="H201">
        <v>-12.050000190734799</v>
      </c>
      <c r="J201" s="1">
        <v>43104</v>
      </c>
      <c r="K201">
        <v>325</v>
      </c>
      <c r="L201">
        <v>333.65</v>
      </c>
      <c r="M201">
        <v>323.00417375564501</v>
      </c>
      <c r="N201">
        <v>312.94999980926502</v>
      </c>
      <c r="O201">
        <f t="shared" si="27"/>
        <v>328.32708687782247</v>
      </c>
      <c r="P201">
        <f t="shared" si="28"/>
        <v>1</v>
      </c>
      <c r="Q201">
        <f t="shared" si="29"/>
        <v>0</v>
      </c>
      <c r="R201">
        <f t="shared" si="30"/>
        <v>0</v>
      </c>
      <c r="S201">
        <f t="shared" si="24"/>
        <v>101.08641374406618</v>
      </c>
      <c r="T201">
        <f t="shared" si="25"/>
        <v>428.49000789642713</v>
      </c>
      <c r="U201">
        <f t="shared" si="26"/>
        <v>236.45480671399656</v>
      </c>
    </row>
    <row r="202" spans="1:21" x14ac:dyDescent="0.3">
      <c r="A202" s="1">
        <v>43105</v>
      </c>
      <c r="B202" s="1">
        <v>43196</v>
      </c>
      <c r="C202">
        <v>328.81456948518701</v>
      </c>
      <c r="D202">
        <v>311.2</v>
      </c>
      <c r="E202">
        <v>328.95</v>
      </c>
      <c r="F202">
        <v>17.75</v>
      </c>
      <c r="G202">
        <v>-0.13543051481246901</v>
      </c>
      <c r="H202">
        <v>-17.75</v>
      </c>
      <c r="J202" s="1">
        <v>43105</v>
      </c>
      <c r="K202">
        <v>328.95</v>
      </c>
      <c r="L202">
        <v>327.39999999999998</v>
      </c>
      <c r="M202">
        <v>328.81456948518701</v>
      </c>
      <c r="N202">
        <v>311.2</v>
      </c>
      <c r="O202">
        <f t="shared" si="27"/>
        <v>328.10728474259349</v>
      </c>
      <c r="P202">
        <f t="shared" si="28"/>
        <v>1</v>
      </c>
      <c r="Q202">
        <f t="shared" si="29"/>
        <v>1</v>
      </c>
      <c r="R202">
        <f t="shared" si="30"/>
        <v>1</v>
      </c>
      <c r="S202">
        <f t="shared" si="24"/>
        <v>310.27305814848171</v>
      </c>
      <c r="T202">
        <f t="shared" si="25"/>
        <v>262.43999999999966</v>
      </c>
      <c r="U202">
        <f t="shared" si="26"/>
        <v>285.85627736713508</v>
      </c>
    </row>
    <row r="203" spans="1:21" x14ac:dyDescent="0.3">
      <c r="A203" s="1">
        <v>43108</v>
      </c>
      <c r="B203" s="1">
        <v>43199</v>
      </c>
      <c r="C203">
        <v>329.62771809101099</v>
      </c>
      <c r="D203">
        <v>312.950000762939</v>
      </c>
      <c r="E203">
        <v>331.25</v>
      </c>
      <c r="F203">
        <v>18.299999237060501</v>
      </c>
      <c r="G203">
        <v>-1.62228190898895</v>
      </c>
      <c r="H203">
        <v>-18.299999237060501</v>
      </c>
      <c r="J203" s="1">
        <v>43108</v>
      </c>
      <c r="K203">
        <v>331.25</v>
      </c>
      <c r="L203">
        <v>323</v>
      </c>
      <c r="M203">
        <v>329.62771809101099</v>
      </c>
      <c r="N203">
        <v>312.950000762939</v>
      </c>
      <c r="O203">
        <f t="shared" si="27"/>
        <v>326.31385904550552</v>
      </c>
      <c r="P203">
        <f t="shared" si="28"/>
        <v>1</v>
      </c>
      <c r="Q203">
        <f t="shared" si="29"/>
        <v>1</v>
      </c>
      <c r="R203">
        <f t="shared" si="30"/>
        <v>1</v>
      </c>
      <c r="S203">
        <f t="shared" si="24"/>
        <v>278.1462552750728</v>
      </c>
      <c r="T203">
        <f t="shared" si="25"/>
        <v>101.00248466492671</v>
      </c>
      <c r="U203">
        <f t="shared" si="26"/>
        <v>178.59270819652193</v>
      </c>
    </row>
    <row r="204" spans="1:21" x14ac:dyDescent="0.3">
      <c r="A204" s="1">
        <v>43109</v>
      </c>
      <c r="B204" s="1">
        <v>43200</v>
      </c>
      <c r="C204">
        <v>327.29464931488002</v>
      </c>
      <c r="D204">
        <v>313.45</v>
      </c>
      <c r="E204">
        <v>330.45</v>
      </c>
      <c r="F204">
        <v>17</v>
      </c>
      <c r="G204">
        <v>-3.15535068511962</v>
      </c>
      <c r="H204">
        <v>-17</v>
      </c>
      <c r="J204" s="1">
        <v>43109</v>
      </c>
      <c r="K204">
        <v>330.45</v>
      </c>
      <c r="L204">
        <v>317.64999999999998</v>
      </c>
      <c r="M204">
        <v>327.29464931488002</v>
      </c>
      <c r="N204">
        <v>313.45</v>
      </c>
      <c r="O204">
        <f t="shared" si="27"/>
        <v>322.47232465744003</v>
      </c>
      <c r="P204">
        <f t="shared" si="28"/>
        <v>1</v>
      </c>
      <c r="Q204">
        <f t="shared" si="29"/>
        <v>1</v>
      </c>
      <c r="R204">
        <f t="shared" si="30"/>
        <v>1</v>
      </c>
      <c r="S204">
        <f t="shared" si="24"/>
        <v>191.67431465200809</v>
      </c>
      <c r="T204">
        <f t="shared" si="25"/>
        <v>17.639999999999905</v>
      </c>
      <c r="U204">
        <f t="shared" si="26"/>
        <v>81.402342224250489</v>
      </c>
    </row>
    <row r="205" spans="1:21" x14ac:dyDescent="0.3">
      <c r="A205" s="1">
        <v>43110</v>
      </c>
      <c r="B205" s="1">
        <v>43201</v>
      </c>
      <c r="C205">
        <v>326.65686426162699</v>
      </c>
      <c r="D205">
        <v>312.45000038146901</v>
      </c>
      <c r="E205">
        <v>327.85</v>
      </c>
      <c r="F205">
        <v>15.399999618530201</v>
      </c>
      <c r="G205">
        <v>-1.1931357383728001</v>
      </c>
      <c r="H205">
        <v>-15.399999618530201</v>
      </c>
      <c r="J205" s="1">
        <v>43110</v>
      </c>
      <c r="K205">
        <v>327.85</v>
      </c>
      <c r="L205">
        <v>309.5</v>
      </c>
      <c r="M205">
        <v>326.65686426162699</v>
      </c>
      <c r="N205">
        <v>312.45000038146901</v>
      </c>
      <c r="O205">
        <f t="shared" si="27"/>
        <v>318.0784321308135</v>
      </c>
      <c r="P205">
        <f t="shared" si="28"/>
        <v>1</v>
      </c>
      <c r="Q205">
        <f t="shared" si="29"/>
        <v>1</v>
      </c>
      <c r="R205">
        <f t="shared" si="30"/>
        <v>1</v>
      </c>
      <c r="S205">
        <f t="shared" si="24"/>
        <v>201.83498130933751</v>
      </c>
      <c r="T205">
        <f t="shared" si="25"/>
        <v>8.7025022506673064</v>
      </c>
      <c r="U205">
        <f t="shared" si="26"/>
        <v>31.67924395702903</v>
      </c>
    </row>
    <row r="206" spans="1:21" x14ac:dyDescent="0.3">
      <c r="A206" s="1">
        <v>43111</v>
      </c>
      <c r="B206" s="1">
        <v>43202</v>
      </c>
      <c r="C206">
        <v>327.19144695997198</v>
      </c>
      <c r="D206">
        <v>311.75</v>
      </c>
      <c r="E206">
        <v>326.5</v>
      </c>
      <c r="F206">
        <v>-14.75</v>
      </c>
      <c r="G206">
        <v>0.69144695997238104</v>
      </c>
      <c r="H206">
        <v>-14.75</v>
      </c>
      <c r="J206" s="1">
        <v>43111</v>
      </c>
      <c r="K206">
        <v>326.5</v>
      </c>
      <c r="L206">
        <v>312.5</v>
      </c>
      <c r="M206">
        <v>327.19144695997198</v>
      </c>
      <c r="N206">
        <v>311.75</v>
      </c>
      <c r="O206">
        <f t="shared" si="27"/>
        <v>319.84572347998596</v>
      </c>
      <c r="P206">
        <f t="shared" si="28"/>
        <v>0</v>
      </c>
      <c r="Q206">
        <f t="shared" si="29"/>
        <v>1</v>
      </c>
      <c r="R206">
        <f t="shared" si="30"/>
        <v>1</v>
      </c>
      <c r="S206">
        <f t="shared" si="24"/>
        <v>238.43828421762802</v>
      </c>
      <c r="T206">
        <f t="shared" si="25"/>
        <v>0.5625</v>
      </c>
      <c r="U206">
        <f t="shared" si="26"/>
        <v>65.540738664396031</v>
      </c>
    </row>
    <row r="207" spans="1:21" x14ac:dyDescent="0.3">
      <c r="A207" s="1">
        <v>43112</v>
      </c>
      <c r="B207" s="1">
        <v>43203</v>
      </c>
      <c r="C207">
        <v>323.41785488128602</v>
      </c>
      <c r="D207">
        <v>314.45000038146901</v>
      </c>
      <c r="E207">
        <v>326.85000000000002</v>
      </c>
      <c r="F207">
        <v>12.399999618530201</v>
      </c>
      <c r="G207">
        <v>-3.43214511871337</v>
      </c>
      <c r="H207">
        <v>-12.399999618530201</v>
      </c>
      <c r="J207" s="1">
        <v>43112</v>
      </c>
      <c r="K207">
        <v>326.85000000000002</v>
      </c>
      <c r="L207">
        <v>303.85000000000002</v>
      </c>
      <c r="M207">
        <v>323.41785488128602</v>
      </c>
      <c r="N207">
        <v>314.45000038146901</v>
      </c>
      <c r="O207">
        <f t="shared" si="27"/>
        <v>313.63392744064299</v>
      </c>
      <c r="P207">
        <f t="shared" si="28"/>
        <v>1</v>
      </c>
      <c r="Q207">
        <f t="shared" si="29"/>
        <v>1</v>
      </c>
      <c r="R207">
        <f t="shared" si="30"/>
        <v>1</v>
      </c>
      <c r="S207">
        <f t="shared" si="24"/>
        <v>80.422414329888156</v>
      </c>
      <c r="T207">
        <f t="shared" si="25"/>
        <v>112.36000808714269</v>
      </c>
      <c r="U207">
        <f t="shared" si="26"/>
        <v>0.66597504474842562</v>
      </c>
    </row>
    <row r="208" spans="1:21" x14ac:dyDescent="0.3">
      <c r="A208" s="1">
        <v>43115</v>
      </c>
      <c r="B208" s="1">
        <v>43206</v>
      </c>
      <c r="C208">
        <v>326.09453897476197</v>
      </c>
      <c r="D208">
        <v>314.3</v>
      </c>
      <c r="E208">
        <v>327.3</v>
      </c>
      <c r="F208">
        <v>13</v>
      </c>
      <c r="G208">
        <v>-1.20546102523803</v>
      </c>
      <c r="H208">
        <v>-13</v>
      </c>
      <c r="J208" s="1">
        <v>43115</v>
      </c>
      <c r="K208">
        <v>327.3</v>
      </c>
      <c r="L208">
        <v>308.10000000000002</v>
      </c>
      <c r="M208">
        <v>326.09453897476197</v>
      </c>
      <c r="N208">
        <v>314.3</v>
      </c>
      <c r="O208">
        <f t="shared" si="27"/>
        <v>317.09726948738103</v>
      </c>
      <c r="P208">
        <f t="shared" si="28"/>
        <v>1</v>
      </c>
      <c r="Q208">
        <f t="shared" si="29"/>
        <v>1</v>
      </c>
      <c r="R208">
        <f t="shared" si="30"/>
        <v>1</v>
      </c>
      <c r="S208">
        <f t="shared" si="24"/>
        <v>139.11114962717897</v>
      </c>
      <c r="T208">
        <f t="shared" si="25"/>
        <v>38.439999999999856</v>
      </c>
      <c r="U208">
        <f t="shared" si="26"/>
        <v>7.8247165850328493</v>
      </c>
    </row>
    <row r="209" spans="1:21" x14ac:dyDescent="0.3">
      <c r="A209" s="1">
        <v>43116</v>
      </c>
      <c r="B209" s="1">
        <v>43207</v>
      </c>
      <c r="C209">
        <v>326.09219312667801</v>
      </c>
      <c r="D209">
        <v>314.39999961852999</v>
      </c>
      <c r="E209">
        <v>330.5</v>
      </c>
      <c r="F209">
        <v>16.100000381469702</v>
      </c>
      <c r="G209">
        <v>-4.4078068733215297</v>
      </c>
      <c r="H209">
        <v>-16.100000381469702</v>
      </c>
      <c r="J209" s="1">
        <v>43116</v>
      </c>
      <c r="K209">
        <v>330.5</v>
      </c>
      <c r="L209">
        <v>311.39999999999998</v>
      </c>
      <c r="M209">
        <v>326.09219312667801</v>
      </c>
      <c r="N209">
        <v>314.39999961852999</v>
      </c>
      <c r="O209">
        <f t="shared" si="27"/>
        <v>318.74609656333899</v>
      </c>
      <c r="P209">
        <f t="shared" si="28"/>
        <v>1</v>
      </c>
      <c r="Q209">
        <f t="shared" si="29"/>
        <v>1</v>
      </c>
      <c r="R209">
        <f t="shared" si="30"/>
        <v>1</v>
      </c>
      <c r="S209">
        <f t="shared" si="24"/>
        <v>136.70738903197878</v>
      </c>
      <c r="T209">
        <f t="shared" si="25"/>
        <v>8.9999977111802174</v>
      </c>
      <c r="U209">
        <f t="shared" si="26"/>
        <v>18.888558653678171</v>
      </c>
    </row>
    <row r="210" spans="1:21" x14ac:dyDescent="0.3">
      <c r="A210" s="1">
        <v>43117</v>
      </c>
      <c r="B210" s="1">
        <v>43208</v>
      </c>
      <c r="C210">
        <v>326.72172374725301</v>
      </c>
      <c r="D210">
        <v>317.59999961852998</v>
      </c>
      <c r="E210">
        <v>329.2</v>
      </c>
      <c r="F210">
        <v>11.6000003814697</v>
      </c>
      <c r="G210">
        <v>-2.4782762527465798</v>
      </c>
      <c r="H210">
        <v>-11.6000003814697</v>
      </c>
      <c r="J210" s="1">
        <v>43117</v>
      </c>
      <c r="K210">
        <v>329.2</v>
      </c>
      <c r="L210">
        <v>314.3</v>
      </c>
      <c r="M210">
        <v>326.72172374725301</v>
      </c>
      <c r="N210">
        <v>317.59999961852998</v>
      </c>
      <c r="O210">
        <f t="shared" si="27"/>
        <v>320.51086187362648</v>
      </c>
      <c r="P210">
        <f t="shared" si="28"/>
        <v>1</v>
      </c>
      <c r="Q210">
        <f t="shared" si="29"/>
        <v>1</v>
      </c>
      <c r="R210">
        <f t="shared" si="30"/>
        <v>1</v>
      </c>
      <c r="S210">
        <f t="shared" si="24"/>
        <v>83.205851080527935</v>
      </c>
      <c r="T210">
        <f t="shared" si="25"/>
        <v>10.889997482297924</v>
      </c>
      <c r="U210">
        <f t="shared" si="26"/>
        <v>8.473119068145504</v>
      </c>
    </row>
    <row r="211" spans="1:21" x14ac:dyDescent="0.3">
      <c r="A211" s="1">
        <v>43118</v>
      </c>
      <c r="B211" s="1">
        <v>43209</v>
      </c>
      <c r="C211">
        <v>323.27096071243199</v>
      </c>
      <c r="D211">
        <v>319.00000038146902</v>
      </c>
      <c r="E211">
        <v>329.4</v>
      </c>
      <c r="F211">
        <v>10.399999618530201</v>
      </c>
      <c r="G211">
        <v>-6.1290392875671298</v>
      </c>
      <c r="H211">
        <v>-10.399999618530201</v>
      </c>
      <c r="J211" s="1">
        <v>43118</v>
      </c>
      <c r="K211">
        <v>329.4</v>
      </c>
      <c r="L211">
        <v>314.3</v>
      </c>
      <c r="M211">
        <v>323.27096071243199</v>
      </c>
      <c r="N211">
        <v>319.00000038146902</v>
      </c>
      <c r="O211">
        <f t="shared" si="27"/>
        <v>318.785480356216</v>
      </c>
      <c r="P211">
        <f t="shared" si="28"/>
        <v>1</v>
      </c>
      <c r="Q211">
        <f t="shared" si="29"/>
        <v>1</v>
      </c>
      <c r="R211">
        <f t="shared" si="30"/>
        <v>1</v>
      </c>
      <c r="S211">
        <f t="shared" si="24"/>
        <v>18.241102148659273</v>
      </c>
      <c r="T211">
        <f t="shared" si="25"/>
        <v>22.090003585808844</v>
      </c>
      <c r="U211">
        <f t="shared" si="26"/>
        <v>4.6018841234557649E-2</v>
      </c>
    </row>
    <row r="212" spans="1:21" x14ac:dyDescent="0.3">
      <c r="A212" s="1">
        <v>43119</v>
      </c>
      <c r="B212" s="1">
        <v>43210</v>
      </c>
      <c r="C212">
        <v>326.18132028579703</v>
      </c>
      <c r="D212">
        <v>316.90000019073398</v>
      </c>
      <c r="E212">
        <v>329.6</v>
      </c>
      <c r="F212">
        <v>12.699999809265099</v>
      </c>
      <c r="G212">
        <v>-3.41867971420288</v>
      </c>
      <c r="H212">
        <v>-12.699999809265099</v>
      </c>
      <c r="J212" s="1">
        <v>43119</v>
      </c>
      <c r="K212">
        <v>329.6</v>
      </c>
      <c r="L212">
        <v>314.3</v>
      </c>
      <c r="M212">
        <v>326.18132028579703</v>
      </c>
      <c r="N212">
        <v>316.90000019073398</v>
      </c>
      <c r="O212">
        <f t="shared" si="27"/>
        <v>320.24066014289849</v>
      </c>
      <c r="P212">
        <f t="shared" si="28"/>
        <v>1</v>
      </c>
      <c r="Q212">
        <f t="shared" si="29"/>
        <v>1</v>
      </c>
      <c r="R212">
        <f t="shared" si="30"/>
        <v>1</v>
      </c>
      <c r="S212">
        <f t="shared" si="24"/>
        <v>86.142902707021221</v>
      </c>
      <c r="T212">
        <f t="shared" si="25"/>
        <v>6.7600009918166553</v>
      </c>
      <c r="U212">
        <f t="shared" si="26"/>
        <v>11.160008915995819</v>
      </c>
    </row>
    <row r="213" spans="1:21" x14ac:dyDescent="0.3">
      <c r="A213" s="1">
        <v>43122</v>
      </c>
      <c r="B213" s="1">
        <v>43213</v>
      </c>
      <c r="C213">
        <v>319.10354995727499</v>
      </c>
      <c r="D213">
        <v>317.10000038146899</v>
      </c>
      <c r="E213">
        <v>326.25</v>
      </c>
      <c r="F213">
        <v>9.1499996185302699</v>
      </c>
      <c r="G213">
        <v>-7.1464500427245996</v>
      </c>
      <c r="H213">
        <v>-9.1499996185302699</v>
      </c>
      <c r="J213" s="1">
        <v>43122</v>
      </c>
      <c r="K213">
        <v>326.25</v>
      </c>
      <c r="L213">
        <v>316.25</v>
      </c>
      <c r="M213">
        <v>319.10354995727499</v>
      </c>
      <c r="N213">
        <v>317.10000038146899</v>
      </c>
      <c r="O213">
        <f t="shared" si="27"/>
        <v>317.67677497863747</v>
      </c>
      <c r="P213">
        <f t="shared" si="28"/>
        <v>1</v>
      </c>
      <c r="Q213">
        <f t="shared" si="29"/>
        <v>1</v>
      </c>
      <c r="R213">
        <f t="shared" si="30"/>
        <v>1</v>
      </c>
      <c r="S213">
        <f t="shared" si="24"/>
        <v>4.0142109027124233</v>
      </c>
      <c r="T213">
        <f t="shared" si="25"/>
        <v>0.72250064849742446</v>
      </c>
      <c r="U213">
        <f t="shared" si="26"/>
        <v>0.33266893593886276</v>
      </c>
    </row>
    <row r="214" spans="1:21" x14ac:dyDescent="0.3">
      <c r="A214" s="1">
        <v>43123</v>
      </c>
      <c r="B214" s="1">
        <v>43214</v>
      </c>
      <c r="C214">
        <v>318.48876094818098</v>
      </c>
      <c r="D214">
        <v>315.35000038146899</v>
      </c>
      <c r="E214">
        <v>331.25</v>
      </c>
      <c r="F214">
        <v>15.899999618530201</v>
      </c>
      <c r="G214">
        <v>-12.7612390518188</v>
      </c>
      <c r="H214">
        <v>-15.899999618530201</v>
      </c>
      <c r="J214" s="1">
        <v>43123</v>
      </c>
      <c r="K214">
        <v>331.25</v>
      </c>
      <c r="L214">
        <v>312</v>
      </c>
      <c r="M214">
        <v>318.48876094818098</v>
      </c>
      <c r="N214">
        <v>315.35000038146899</v>
      </c>
      <c r="O214">
        <f t="shared" si="27"/>
        <v>315.24438047409046</v>
      </c>
      <c r="P214">
        <f t="shared" si="28"/>
        <v>1</v>
      </c>
      <c r="Q214">
        <f t="shared" si="29"/>
        <v>1</v>
      </c>
      <c r="R214">
        <f t="shared" si="30"/>
        <v>1</v>
      </c>
      <c r="S214">
        <f t="shared" si="24"/>
        <v>9.8518178951461994</v>
      </c>
      <c r="T214">
        <f t="shared" si="25"/>
        <v>11.222502555842363</v>
      </c>
      <c r="U214">
        <f t="shared" si="26"/>
        <v>1.1155564834648224E-2</v>
      </c>
    </row>
    <row r="215" spans="1:21" x14ac:dyDescent="0.3">
      <c r="A215" s="1">
        <v>43124</v>
      </c>
      <c r="B215" s="1">
        <v>43215</v>
      </c>
      <c r="C215">
        <v>327.182666873931</v>
      </c>
      <c r="D215">
        <v>312.95000038146901</v>
      </c>
      <c r="E215">
        <v>331.6</v>
      </c>
      <c r="F215">
        <v>18.649999618530199</v>
      </c>
      <c r="G215">
        <v>-4.4173331260681099</v>
      </c>
      <c r="H215">
        <v>-18.649999618530199</v>
      </c>
      <c r="J215" s="1">
        <v>43124</v>
      </c>
      <c r="K215">
        <v>331.6</v>
      </c>
      <c r="L215">
        <v>314.05</v>
      </c>
      <c r="M215">
        <v>327.182666873931</v>
      </c>
      <c r="N215">
        <v>312.95000038146901</v>
      </c>
      <c r="O215">
        <f t="shared" si="27"/>
        <v>320.61633343696553</v>
      </c>
      <c r="P215">
        <f t="shared" si="28"/>
        <v>1</v>
      </c>
      <c r="Q215">
        <f t="shared" si="29"/>
        <v>1</v>
      </c>
      <c r="R215">
        <f t="shared" si="30"/>
        <v>1</v>
      </c>
      <c r="S215">
        <f t="shared" si="24"/>
        <v>202.56879548565021</v>
      </c>
      <c r="T215">
        <f t="shared" si="25"/>
        <v>1.2099991607683478</v>
      </c>
      <c r="U215">
        <f t="shared" si="26"/>
        <v>58.772662517798651</v>
      </c>
    </row>
    <row r="216" spans="1:21" x14ac:dyDescent="0.3">
      <c r="A216" s="1">
        <v>43125</v>
      </c>
      <c r="B216" s="1">
        <v>43216</v>
      </c>
      <c r="C216">
        <v>328.00995092391901</v>
      </c>
      <c r="D216">
        <v>317.44999961853</v>
      </c>
      <c r="E216">
        <v>334.3</v>
      </c>
      <c r="F216">
        <v>16.850000381469702</v>
      </c>
      <c r="G216">
        <v>-6.2900490760803196</v>
      </c>
      <c r="H216">
        <v>-16.850000381469702</v>
      </c>
      <c r="J216" s="1">
        <v>43125</v>
      </c>
      <c r="K216">
        <v>334.3</v>
      </c>
      <c r="L216">
        <v>311.85000000000002</v>
      </c>
      <c r="M216">
        <v>328.00995092391901</v>
      </c>
      <c r="N216">
        <v>317.44999961853</v>
      </c>
      <c r="O216">
        <f t="shared" si="27"/>
        <v>319.92997546195954</v>
      </c>
      <c r="P216">
        <f t="shared" si="28"/>
        <v>1</v>
      </c>
      <c r="Q216">
        <f t="shared" si="29"/>
        <v>1</v>
      </c>
      <c r="R216">
        <f t="shared" si="30"/>
        <v>1</v>
      </c>
      <c r="S216">
        <f t="shared" si="24"/>
        <v>111.51257157218699</v>
      </c>
      <c r="T216">
        <f t="shared" si="25"/>
        <v>31.359995727535896</v>
      </c>
      <c r="U216">
        <f t="shared" si="26"/>
        <v>6.1502801839940719</v>
      </c>
    </row>
    <row r="217" spans="1:21" x14ac:dyDescent="0.3">
      <c r="A217" s="1">
        <v>43126</v>
      </c>
      <c r="B217" s="1">
        <v>43217</v>
      </c>
      <c r="C217">
        <v>333.23358650207501</v>
      </c>
      <c r="D217">
        <v>320.14999980926501</v>
      </c>
      <c r="E217">
        <v>335.95</v>
      </c>
      <c r="F217">
        <v>15.800000190734799</v>
      </c>
      <c r="G217">
        <v>-2.7164134979247998</v>
      </c>
      <c r="H217">
        <v>-15.800000190734799</v>
      </c>
      <c r="J217" s="1">
        <v>43126</v>
      </c>
      <c r="K217">
        <v>335.95</v>
      </c>
      <c r="L217">
        <v>316.95</v>
      </c>
      <c r="M217">
        <v>333.23358650207501</v>
      </c>
      <c r="N217">
        <v>320.14999980926501</v>
      </c>
      <c r="O217">
        <f t="shared" si="27"/>
        <v>325.09179325103753</v>
      </c>
      <c r="P217">
        <f t="shared" si="28"/>
        <v>1</v>
      </c>
      <c r="Q217">
        <f t="shared" si="29"/>
        <v>1</v>
      </c>
      <c r="R217">
        <f t="shared" si="30"/>
        <v>1</v>
      </c>
      <c r="S217">
        <f t="shared" si="24"/>
        <v>171.18024074827497</v>
      </c>
      <c r="T217">
        <f t="shared" si="25"/>
        <v>10.239998779296183</v>
      </c>
      <c r="U217">
        <f t="shared" si="26"/>
        <v>24.421322421145867</v>
      </c>
    </row>
    <row r="218" spans="1:21" x14ac:dyDescent="0.3">
      <c r="A218" s="1">
        <v>43129</v>
      </c>
      <c r="B218" s="1">
        <v>43220</v>
      </c>
      <c r="C218">
        <v>337.831963777542</v>
      </c>
      <c r="D218">
        <v>321.64999961852999</v>
      </c>
      <c r="E218">
        <v>338.5</v>
      </c>
      <c r="F218">
        <v>16.850000381469702</v>
      </c>
      <c r="G218">
        <v>-0.66803622245788497</v>
      </c>
      <c r="H218">
        <v>-16.850000381469702</v>
      </c>
      <c r="J218" s="1">
        <v>43129</v>
      </c>
      <c r="K218">
        <v>338.5</v>
      </c>
      <c r="L218">
        <v>317.10000000000002</v>
      </c>
      <c r="M218">
        <v>337.831963777542</v>
      </c>
      <c r="N218">
        <v>321.64999961852999</v>
      </c>
      <c r="O218">
        <f t="shared" si="27"/>
        <v>327.46598188877101</v>
      </c>
      <c r="P218">
        <f t="shared" si="28"/>
        <v>1</v>
      </c>
      <c r="Q218">
        <f t="shared" si="29"/>
        <v>1</v>
      </c>
      <c r="R218">
        <f t="shared" si="30"/>
        <v>1</v>
      </c>
      <c r="S218">
        <f t="shared" si="24"/>
        <v>261.85596404354931</v>
      </c>
      <c r="T218">
        <f t="shared" si="25"/>
        <v>20.702496528622842</v>
      </c>
      <c r="U218">
        <f t="shared" si="26"/>
        <v>33.825649767757916</v>
      </c>
    </row>
    <row r="219" spans="1:21" x14ac:dyDescent="0.3">
      <c r="A219" s="1">
        <v>43130</v>
      </c>
      <c r="B219" s="1">
        <v>43221</v>
      </c>
      <c r="C219">
        <v>338.61497774124098</v>
      </c>
      <c r="D219">
        <v>321.64999999999998</v>
      </c>
      <c r="E219">
        <v>333.9</v>
      </c>
      <c r="F219">
        <v>-12.25</v>
      </c>
      <c r="G219">
        <v>4.7149777412414497</v>
      </c>
      <c r="H219">
        <v>-12.25</v>
      </c>
      <c r="J219" s="1">
        <v>43130</v>
      </c>
      <c r="K219">
        <v>333.9</v>
      </c>
      <c r="L219">
        <v>315.75</v>
      </c>
      <c r="M219">
        <v>338.61497774124098</v>
      </c>
      <c r="N219">
        <v>321.64999999999998</v>
      </c>
      <c r="O219">
        <f t="shared" si="27"/>
        <v>327.18248887062049</v>
      </c>
      <c r="P219">
        <f t="shared" si="28"/>
        <v>0</v>
      </c>
      <c r="Q219">
        <f t="shared" si="29"/>
        <v>1</v>
      </c>
      <c r="R219">
        <f t="shared" si="30"/>
        <v>1</v>
      </c>
      <c r="S219">
        <f t="shared" si="24"/>
        <v>287.81046976080262</v>
      </c>
      <c r="T219">
        <f t="shared" si="25"/>
        <v>34.809999999999732</v>
      </c>
      <c r="U219">
        <f t="shared" si="26"/>
        <v>30.608433103539824</v>
      </c>
    </row>
    <row r="220" spans="1:21" x14ac:dyDescent="0.3">
      <c r="A220" s="1">
        <v>43131</v>
      </c>
      <c r="B220" s="1">
        <v>43222</v>
      </c>
      <c r="C220">
        <v>338.73458690643298</v>
      </c>
      <c r="D220">
        <v>319.750000190734</v>
      </c>
      <c r="E220">
        <v>334.45</v>
      </c>
      <c r="F220">
        <v>-14.699999809265099</v>
      </c>
      <c r="G220">
        <v>4.2845869064331001</v>
      </c>
      <c r="H220">
        <v>-14.699999809265099</v>
      </c>
      <c r="J220" s="1">
        <v>43131</v>
      </c>
      <c r="K220">
        <v>334.45</v>
      </c>
      <c r="L220">
        <v>312.45</v>
      </c>
      <c r="M220">
        <v>338.73458690643298</v>
      </c>
      <c r="N220">
        <v>319.750000190734</v>
      </c>
      <c r="O220">
        <f t="shared" si="27"/>
        <v>325.59229345321648</v>
      </c>
      <c r="P220">
        <f t="shared" si="28"/>
        <v>0</v>
      </c>
      <c r="Q220">
        <f t="shared" si="29"/>
        <v>1</v>
      </c>
      <c r="R220">
        <f t="shared" si="30"/>
        <v>1</v>
      </c>
      <c r="S220">
        <f t="shared" si="24"/>
        <v>360.41453276589425</v>
      </c>
      <c r="T220">
        <f t="shared" si="25"/>
        <v>53.290002784716592</v>
      </c>
      <c r="U220">
        <f t="shared" si="26"/>
        <v>34.132390564848244</v>
      </c>
    </row>
    <row r="221" spans="1:21" x14ac:dyDescent="0.3">
      <c r="A221" s="1">
        <v>43132</v>
      </c>
      <c r="B221" s="1">
        <v>43223</v>
      </c>
      <c r="C221">
        <v>329.89540901184</v>
      </c>
      <c r="D221">
        <v>318.00000038146902</v>
      </c>
      <c r="E221">
        <v>333.65</v>
      </c>
      <c r="F221">
        <v>15.649999618530201</v>
      </c>
      <c r="G221">
        <v>-3.7545909881591699</v>
      </c>
      <c r="H221">
        <v>-15.649999618530201</v>
      </c>
      <c r="J221" s="1">
        <v>43132</v>
      </c>
      <c r="K221">
        <v>333.65</v>
      </c>
      <c r="L221">
        <v>312.45</v>
      </c>
      <c r="M221">
        <v>329.89540901184</v>
      </c>
      <c r="N221">
        <v>318.00000038146902</v>
      </c>
      <c r="O221">
        <f t="shared" si="27"/>
        <v>321.17270450592002</v>
      </c>
      <c r="P221">
        <f t="shared" si="28"/>
        <v>1</v>
      </c>
      <c r="Q221">
        <f t="shared" si="29"/>
        <v>1</v>
      </c>
      <c r="R221">
        <f t="shared" si="30"/>
        <v>1</v>
      </c>
      <c r="S221">
        <f t="shared" si="24"/>
        <v>141.5007464835044</v>
      </c>
      <c r="T221">
        <f t="shared" si="25"/>
        <v>30.802504234306411</v>
      </c>
      <c r="U221">
        <f t="shared" si="26"/>
        <v>10.066051461308399</v>
      </c>
    </row>
    <row r="222" spans="1:21" x14ac:dyDescent="0.3">
      <c r="A222" s="1">
        <v>43133</v>
      </c>
      <c r="B222" s="1">
        <v>43224</v>
      </c>
      <c r="C222">
        <v>332.098947906494</v>
      </c>
      <c r="D222">
        <v>316.45000019073399</v>
      </c>
      <c r="E222">
        <v>327.39999999999998</v>
      </c>
      <c r="F222">
        <v>-10.949999809265099</v>
      </c>
      <c r="G222">
        <v>4.6989479064941397</v>
      </c>
      <c r="H222">
        <v>-10.949999809265099</v>
      </c>
      <c r="J222" s="1">
        <v>43133</v>
      </c>
      <c r="K222">
        <v>327.39999999999998</v>
      </c>
      <c r="L222">
        <v>308.14999999999998</v>
      </c>
      <c r="M222">
        <v>332.098947906494</v>
      </c>
      <c r="N222">
        <v>316.45000019073399</v>
      </c>
      <c r="O222">
        <f t="shared" si="27"/>
        <v>320.12447395324699</v>
      </c>
      <c r="P222">
        <f t="shared" si="28"/>
        <v>0</v>
      </c>
      <c r="Q222">
        <f t="shared" si="29"/>
        <v>1</v>
      </c>
      <c r="R222">
        <f t="shared" si="30"/>
        <v>1</v>
      </c>
      <c r="S222">
        <f t="shared" si="24"/>
        <v>244.88956461059064</v>
      </c>
      <c r="T222">
        <f t="shared" si="25"/>
        <v>68.890003166184613</v>
      </c>
      <c r="U222">
        <f t="shared" si="26"/>
        <v>13.501757431396463</v>
      </c>
    </row>
    <row r="223" spans="1:21" x14ac:dyDescent="0.3">
      <c r="A223" s="1">
        <v>43136</v>
      </c>
      <c r="B223" s="1">
        <v>43227</v>
      </c>
      <c r="C223">
        <v>334.377208709716</v>
      </c>
      <c r="D223">
        <v>316.44999980926502</v>
      </c>
      <c r="E223">
        <v>323</v>
      </c>
      <c r="F223">
        <v>-6.5500001907348597</v>
      </c>
      <c r="G223">
        <v>11.377208709716699</v>
      </c>
      <c r="H223">
        <v>-6.5500001907348597</v>
      </c>
      <c r="J223" s="1">
        <v>43136</v>
      </c>
      <c r="K223">
        <v>323</v>
      </c>
      <c r="L223">
        <v>303.85000000000002</v>
      </c>
      <c r="M223">
        <v>334.377208709716</v>
      </c>
      <c r="N223">
        <v>316.44999980926502</v>
      </c>
      <c r="O223">
        <f t="shared" si="27"/>
        <v>319.11360435485801</v>
      </c>
      <c r="P223">
        <f t="shared" si="28"/>
        <v>0</v>
      </c>
      <c r="Q223">
        <f t="shared" si="29"/>
        <v>1</v>
      </c>
      <c r="R223">
        <f t="shared" si="30"/>
        <v>1</v>
      </c>
      <c r="S223">
        <f t="shared" si="24"/>
        <v>321.38481896040878</v>
      </c>
      <c r="T223">
        <f t="shared" si="25"/>
        <v>158.75999519347803</v>
      </c>
      <c r="U223">
        <f t="shared" si="26"/>
        <v>7.0947891753036325</v>
      </c>
    </row>
    <row r="224" spans="1:21" x14ac:dyDescent="0.3">
      <c r="A224" s="1">
        <v>43137</v>
      </c>
      <c r="B224" s="1">
        <v>43228</v>
      </c>
      <c r="C224">
        <v>330.50528087615902</v>
      </c>
      <c r="D224">
        <v>314.05000009536701</v>
      </c>
      <c r="E224">
        <v>317.64999999999998</v>
      </c>
      <c r="F224">
        <v>-3.5999999046325599</v>
      </c>
      <c r="G224">
        <v>12.8552808761596</v>
      </c>
      <c r="H224">
        <v>-3.5999999046325599</v>
      </c>
      <c r="J224" s="1">
        <v>43137</v>
      </c>
      <c r="K224">
        <v>317.64999999999998</v>
      </c>
      <c r="L224">
        <v>310.3</v>
      </c>
      <c r="M224">
        <v>330.50528087615902</v>
      </c>
      <c r="N224">
        <v>314.05000009536701</v>
      </c>
      <c r="O224">
        <f t="shared" si="27"/>
        <v>320.40264043807952</v>
      </c>
      <c r="P224">
        <f t="shared" si="28"/>
        <v>0</v>
      </c>
      <c r="Q224">
        <f t="shared" si="29"/>
        <v>1</v>
      </c>
      <c r="R224">
        <f t="shared" si="30"/>
        <v>0</v>
      </c>
      <c r="S224">
        <f t="shared" si="24"/>
        <v>270.77626557470285</v>
      </c>
      <c r="T224">
        <f t="shared" si="25"/>
        <v>14.062500715252506</v>
      </c>
      <c r="U224">
        <f t="shared" si="26"/>
        <v>40.356039323858447</v>
      </c>
    </row>
    <row r="225" spans="1:21" x14ac:dyDescent="0.3">
      <c r="A225" s="1">
        <v>43138</v>
      </c>
      <c r="B225" s="1">
        <v>43229</v>
      </c>
      <c r="C225">
        <v>320.60464000701899</v>
      </c>
      <c r="D225">
        <v>314.05000019073401</v>
      </c>
      <c r="E225">
        <v>309.5</v>
      </c>
      <c r="F225">
        <v>4.5500001907348597</v>
      </c>
      <c r="G225">
        <v>11.104640007019</v>
      </c>
      <c r="H225">
        <v>4.5500001907348597</v>
      </c>
      <c r="J225" s="1">
        <v>43138</v>
      </c>
      <c r="K225">
        <v>309.5</v>
      </c>
      <c r="L225">
        <v>310.45</v>
      </c>
      <c r="M225">
        <v>320.60464000701899</v>
      </c>
      <c r="N225">
        <v>314.05000019073401</v>
      </c>
      <c r="O225">
        <f t="shared" si="27"/>
        <v>315.52732000350949</v>
      </c>
      <c r="P225">
        <f t="shared" si="28"/>
        <v>1</v>
      </c>
      <c r="Q225">
        <f t="shared" si="29"/>
        <v>1</v>
      </c>
      <c r="R225">
        <f t="shared" si="30"/>
        <v>1</v>
      </c>
      <c r="S225">
        <f t="shared" si="24"/>
        <v>42.963303121228336</v>
      </c>
      <c r="T225">
        <f t="shared" si="25"/>
        <v>12.960001373284994</v>
      </c>
      <c r="U225">
        <f t="shared" si="26"/>
        <v>2.1824738292189698</v>
      </c>
    </row>
    <row r="226" spans="1:21" x14ac:dyDescent="0.3">
      <c r="A226" s="1">
        <v>43139</v>
      </c>
      <c r="B226" s="1">
        <v>43230</v>
      </c>
      <c r="C226">
        <v>323.52452182769701</v>
      </c>
      <c r="D226">
        <v>315.849999904632</v>
      </c>
      <c r="E226">
        <v>312.5</v>
      </c>
      <c r="F226">
        <v>3.3499999046325599</v>
      </c>
      <c r="G226">
        <v>11.024521827697701</v>
      </c>
      <c r="H226">
        <v>3.3499999046325599</v>
      </c>
      <c r="J226" s="1">
        <v>43139</v>
      </c>
      <c r="K226">
        <v>312.5</v>
      </c>
      <c r="L226">
        <v>313.60000000000002</v>
      </c>
      <c r="M226">
        <v>323.52452182769701</v>
      </c>
      <c r="N226">
        <v>315.849999904632</v>
      </c>
      <c r="O226">
        <f t="shared" si="27"/>
        <v>318.56226091384849</v>
      </c>
      <c r="P226">
        <f t="shared" si="28"/>
        <v>1</v>
      </c>
      <c r="Q226">
        <f t="shared" si="29"/>
        <v>1</v>
      </c>
      <c r="R226">
        <f t="shared" si="30"/>
        <v>1</v>
      </c>
      <c r="S226">
        <f t="shared" si="24"/>
        <v>58.898286747605539</v>
      </c>
      <c r="T226">
        <f t="shared" si="25"/>
        <v>5.0624995708439062</v>
      </c>
      <c r="U226">
        <f t="shared" si="26"/>
        <v>7.3563597821160558</v>
      </c>
    </row>
    <row r="227" spans="1:21" x14ac:dyDescent="0.3">
      <c r="A227" s="1">
        <v>43140</v>
      </c>
      <c r="B227" s="1">
        <v>43231</v>
      </c>
      <c r="C227">
        <v>318.39411602020198</v>
      </c>
      <c r="D227">
        <v>317.65000019073398</v>
      </c>
      <c r="E227">
        <v>303.85000000000002</v>
      </c>
      <c r="F227">
        <v>13.800000190734799</v>
      </c>
      <c r="G227">
        <v>14.544116020202599</v>
      </c>
      <c r="H227">
        <v>13.800000190734799</v>
      </c>
      <c r="J227" s="1">
        <v>43140</v>
      </c>
      <c r="K227">
        <v>303.85000000000002</v>
      </c>
      <c r="L227">
        <v>317.10000000000002</v>
      </c>
      <c r="M227">
        <v>318.39411602020198</v>
      </c>
      <c r="N227">
        <v>317.65000019073398</v>
      </c>
      <c r="O227">
        <f t="shared" si="27"/>
        <v>317.747058010101</v>
      </c>
      <c r="P227">
        <f t="shared" si="28"/>
        <v>1</v>
      </c>
      <c r="Q227">
        <f t="shared" si="29"/>
        <v>1</v>
      </c>
      <c r="R227">
        <f t="shared" si="30"/>
        <v>1</v>
      </c>
      <c r="S227">
        <f t="shared" si="24"/>
        <v>0.55370836766485088</v>
      </c>
      <c r="T227">
        <f t="shared" si="25"/>
        <v>0.30250020980738557</v>
      </c>
      <c r="U227">
        <f t="shared" si="26"/>
        <v>9.4202203002817647E-3</v>
      </c>
    </row>
    <row r="228" spans="1:21" x14ac:dyDescent="0.3">
      <c r="A228" s="1">
        <v>43143</v>
      </c>
      <c r="B228" s="1">
        <v>43234</v>
      </c>
      <c r="C228">
        <v>318.81561336517302</v>
      </c>
      <c r="D228">
        <v>316.85000000000002</v>
      </c>
      <c r="E228">
        <v>308.10000000000002</v>
      </c>
      <c r="F228">
        <v>8.75</v>
      </c>
      <c r="G228">
        <v>10.715613365173301</v>
      </c>
      <c r="H228">
        <v>8.75</v>
      </c>
      <c r="J228" s="1">
        <v>43143</v>
      </c>
      <c r="K228">
        <v>308.10000000000002</v>
      </c>
      <c r="L228">
        <v>320.10000000000002</v>
      </c>
      <c r="M228">
        <v>318.81561336517302</v>
      </c>
      <c r="N228">
        <v>316.85000000000002</v>
      </c>
      <c r="O228">
        <f t="shared" si="27"/>
        <v>319.45780668258652</v>
      </c>
      <c r="P228">
        <f t="shared" si="28"/>
        <v>1</v>
      </c>
      <c r="Q228">
        <f t="shared" si="29"/>
        <v>1</v>
      </c>
      <c r="R228">
        <f t="shared" si="30"/>
        <v>1</v>
      </c>
      <c r="S228">
        <f t="shared" si="24"/>
        <v>3.8636359013467207</v>
      </c>
      <c r="T228">
        <f t="shared" si="25"/>
        <v>10.5625</v>
      </c>
      <c r="U228">
        <f t="shared" si="26"/>
        <v>6.8006556937428035</v>
      </c>
    </row>
    <row r="229" spans="1:21" x14ac:dyDescent="0.3">
      <c r="A229" s="1">
        <v>43144</v>
      </c>
      <c r="B229" s="1">
        <v>43235</v>
      </c>
      <c r="C229">
        <v>323.67199745178198</v>
      </c>
      <c r="D229">
        <v>313.74999990463198</v>
      </c>
      <c r="E229">
        <v>311.39999999999998</v>
      </c>
      <c r="F229">
        <v>2.3499999046325599</v>
      </c>
      <c r="G229">
        <v>12.2719974517822</v>
      </c>
      <c r="H229">
        <v>2.3499999046325599</v>
      </c>
      <c r="J229" s="1">
        <v>43144</v>
      </c>
      <c r="K229">
        <v>311.39999999999998</v>
      </c>
      <c r="L229">
        <v>321.5</v>
      </c>
      <c r="M229">
        <v>323.67199745178198</v>
      </c>
      <c r="N229">
        <v>313.74999990463198</v>
      </c>
      <c r="O229">
        <f t="shared" si="27"/>
        <v>322.58599872589099</v>
      </c>
      <c r="P229">
        <f t="shared" si="28"/>
        <v>1</v>
      </c>
      <c r="Q229">
        <f t="shared" si="29"/>
        <v>1</v>
      </c>
      <c r="R229">
        <f t="shared" si="30"/>
        <v>1</v>
      </c>
      <c r="S229">
        <f t="shared" si="24"/>
        <v>98.446035325650598</v>
      </c>
      <c r="T229">
        <f t="shared" si="25"/>
        <v>60.062501478204361</v>
      </c>
      <c r="U229">
        <f t="shared" si="26"/>
        <v>78.074875169290635</v>
      </c>
    </row>
    <row r="230" spans="1:21" x14ac:dyDescent="0.3">
      <c r="A230" s="1">
        <v>43145</v>
      </c>
      <c r="B230" s="1">
        <v>43236</v>
      </c>
      <c r="C230">
        <v>325.99348526000898</v>
      </c>
      <c r="D230">
        <v>314.90000002384102</v>
      </c>
      <c r="E230">
        <v>314.3</v>
      </c>
      <c r="F230">
        <v>0.60000002384185702</v>
      </c>
      <c r="G230">
        <v>11.6934852600097</v>
      </c>
      <c r="H230">
        <v>0.60000002384185702</v>
      </c>
      <c r="J230" s="1">
        <v>43145</v>
      </c>
      <c r="K230">
        <v>314.3</v>
      </c>
      <c r="L230">
        <v>321.55</v>
      </c>
      <c r="M230">
        <v>325.99348526000898</v>
      </c>
      <c r="N230">
        <v>314.90000002384102</v>
      </c>
      <c r="O230">
        <f t="shared" si="27"/>
        <v>323.7717426300045</v>
      </c>
      <c r="P230">
        <f t="shared" si="28"/>
        <v>1</v>
      </c>
      <c r="Q230">
        <f t="shared" si="29"/>
        <v>1</v>
      </c>
      <c r="R230">
        <f t="shared" si="30"/>
        <v>1</v>
      </c>
      <c r="S230">
        <f t="shared" si="24"/>
        <v>123.0654146850766</v>
      </c>
      <c r="T230">
        <f t="shared" si="25"/>
        <v>44.222499682914631</v>
      </c>
      <c r="U230">
        <f t="shared" si="26"/>
        <v>78.707816870016373</v>
      </c>
    </row>
    <row r="231" spans="1:21" x14ac:dyDescent="0.3">
      <c r="A231" s="1">
        <v>43146</v>
      </c>
      <c r="B231" s="1">
        <v>43237</v>
      </c>
      <c r="C231">
        <v>324.99442367553701</v>
      </c>
      <c r="D231">
        <v>313.40000002384102</v>
      </c>
      <c r="E231">
        <v>314.3</v>
      </c>
      <c r="F231">
        <v>-0.89999997615814198</v>
      </c>
      <c r="G231">
        <v>10.6944236755371</v>
      </c>
      <c r="H231">
        <v>-0.89999997615814198</v>
      </c>
      <c r="J231" s="1">
        <v>43146</v>
      </c>
      <c r="K231">
        <v>314.3</v>
      </c>
      <c r="L231">
        <v>322.85000000000002</v>
      </c>
      <c r="M231">
        <v>324.99442367553701</v>
      </c>
      <c r="N231">
        <v>313.40000002384102</v>
      </c>
      <c r="O231">
        <f t="shared" si="27"/>
        <v>323.92221183776849</v>
      </c>
      <c r="P231">
        <f t="shared" si="28"/>
        <v>0</v>
      </c>
      <c r="Q231">
        <f t="shared" si="29"/>
        <v>0</v>
      </c>
      <c r="R231">
        <f t="shared" si="30"/>
        <v>0</v>
      </c>
      <c r="S231">
        <f t="shared" si="24"/>
        <v>134.43065981500737</v>
      </c>
      <c r="T231">
        <f t="shared" si="25"/>
        <v>89.302499549405212</v>
      </c>
      <c r="U231">
        <f t="shared" si="26"/>
        <v>110.71694145715482</v>
      </c>
    </row>
    <row r="232" spans="1:21" x14ac:dyDescent="0.3">
      <c r="A232" s="1">
        <v>43147</v>
      </c>
      <c r="B232" s="1">
        <v>43238</v>
      </c>
      <c r="C232">
        <v>325.09645442962602</v>
      </c>
      <c r="D232">
        <v>314.74999998807903</v>
      </c>
      <c r="E232">
        <v>314.3</v>
      </c>
      <c r="F232">
        <v>0.44999998807907099</v>
      </c>
      <c r="G232">
        <v>10.796454429626399</v>
      </c>
      <c r="H232">
        <v>0.44999998807907099</v>
      </c>
      <c r="J232" s="1">
        <v>43147</v>
      </c>
      <c r="K232">
        <v>314.3</v>
      </c>
      <c r="L232">
        <v>322</v>
      </c>
      <c r="M232">
        <v>325.09645442962602</v>
      </c>
      <c r="N232">
        <v>314.74999998807903</v>
      </c>
      <c r="O232">
        <f t="shared" si="27"/>
        <v>323.54822721481298</v>
      </c>
      <c r="P232">
        <f t="shared" si="28"/>
        <v>1</v>
      </c>
      <c r="Q232">
        <f t="shared" si="29"/>
        <v>1</v>
      </c>
      <c r="R232">
        <f t="shared" si="30"/>
        <v>1</v>
      </c>
      <c r="S232">
        <f t="shared" si="24"/>
        <v>107.04911951100756</v>
      </c>
      <c r="T232">
        <f t="shared" si="25"/>
        <v>52.562500172854129</v>
      </c>
      <c r="U232">
        <f t="shared" si="26"/>
        <v>77.40880233324269</v>
      </c>
    </row>
    <row r="233" spans="1:21" x14ac:dyDescent="0.3">
      <c r="A233" s="1">
        <v>43150</v>
      </c>
      <c r="B233" s="1">
        <v>43241</v>
      </c>
      <c r="C233">
        <v>327.33259963989201</v>
      </c>
      <c r="D233">
        <v>315.10000002384101</v>
      </c>
      <c r="E233">
        <v>316.25</v>
      </c>
      <c r="F233">
        <v>-1.1499999761581401</v>
      </c>
      <c r="G233">
        <v>11.0825996398925</v>
      </c>
      <c r="H233">
        <v>-1.1499999761581401</v>
      </c>
      <c r="J233" s="1">
        <v>43150</v>
      </c>
      <c r="K233">
        <v>316.25</v>
      </c>
      <c r="L233">
        <v>319.85000000000002</v>
      </c>
      <c r="M233">
        <v>327.33259963989201</v>
      </c>
      <c r="N233">
        <v>315.10000002384101</v>
      </c>
      <c r="O233">
        <f t="shared" si="27"/>
        <v>323.59129981994602</v>
      </c>
      <c r="P233">
        <f t="shared" si="28"/>
        <v>0</v>
      </c>
      <c r="Q233">
        <f t="shared" si="29"/>
        <v>0</v>
      </c>
      <c r="R233">
        <f t="shared" si="30"/>
        <v>0</v>
      </c>
      <c r="S233">
        <f t="shared" si="24"/>
        <v>149.63649336661118</v>
      </c>
      <c r="T233">
        <f t="shared" si="25"/>
        <v>22.562499773510666</v>
      </c>
      <c r="U233">
        <f t="shared" si="26"/>
        <v>72.102172227333</v>
      </c>
    </row>
    <row r="234" spans="1:21" x14ac:dyDescent="0.3">
      <c r="A234" s="1">
        <v>43151</v>
      </c>
      <c r="B234" s="1">
        <v>43242</v>
      </c>
      <c r="C234">
        <v>321.487494468688</v>
      </c>
      <c r="D234">
        <v>315.099999904632</v>
      </c>
      <c r="E234">
        <v>312</v>
      </c>
      <c r="F234">
        <v>3.0999999046325599</v>
      </c>
      <c r="G234">
        <v>9.4874944686889595</v>
      </c>
      <c r="H234">
        <v>3.0999999046325599</v>
      </c>
      <c r="J234" s="1">
        <v>43151</v>
      </c>
      <c r="K234">
        <v>312</v>
      </c>
      <c r="L234">
        <v>321.3</v>
      </c>
      <c r="M234">
        <v>321.487494468688</v>
      </c>
      <c r="N234">
        <v>315.099999904632</v>
      </c>
      <c r="O234">
        <f t="shared" si="27"/>
        <v>321.393747234344</v>
      </c>
      <c r="P234">
        <f t="shared" si="28"/>
        <v>1</v>
      </c>
      <c r="Q234">
        <f t="shared" si="29"/>
        <v>1</v>
      </c>
      <c r="R234">
        <f t="shared" si="30"/>
        <v>1</v>
      </c>
      <c r="S234">
        <f t="shared" si="24"/>
        <v>40.800086805844934</v>
      </c>
      <c r="T234">
        <f t="shared" si="25"/>
        <v>38.44000118256335</v>
      </c>
      <c r="U234">
        <f t="shared" si="26"/>
        <v>39.611255450256991</v>
      </c>
    </row>
    <row r="235" spans="1:21" x14ac:dyDescent="0.3">
      <c r="A235" s="1">
        <v>43152</v>
      </c>
      <c r="B235" s="1">
        <v>43243</v>
      </c>
      <c r="C235">
        <v>320.18245105743398</v>
      </c>
      <c r="D235">
        <v>317.14999990463201</v>
      </c>
      <c r="E235">
        <v>314.05</v>
      </c>
      <c r="F235">
        <v>3.0999999046325599</v>
      </c>
      <c r="G235">
        <v>6.1324510574340803</v>
      </c>
      <c r="H235">
        <v>3.0999999046325599</v>
      </c>
      <c r="J235" s="1">
        <v>43152</v>
      </c>
      <c r="K235">
        <v>314.05</v>
      </c>
      <c r="L235">
        <v>321.60000000000002</v>
      </c>
      <c r="M235">
        <v>320.18245105743398</v>
      </c>
      <c r="N235">
        <v>317.14999990463201</v>
      </c>
      <c r="O235">
        <f t="shared" si="27"/>
        <v>320.89122552871697</v>
      </c>
      <c r="P235">
        <f t="shared" si="28"/>
        <v>1</v>
      </c>
      <c r="Q235">
        <f t="shared" si="29"/>
        <v>1</v>
      </c>
      <c r="R235">
        <f t="shared" si="30"/>
        <v>1</v>
      </c>
      <c r="S235">
        <f t="shared" si="24"/>
        <v>9.1957599941299879</v>
      </c>
      <c r="T235">
        <f t="shared" si="25"/>
        <v>19.80250084877531</v>
      </c>
      <c r="U235">
        <f t="shared" si="26"/>
        <v>13.996769170309909</v>
      </c>
    </row>
    <row r="236" spans="1:21" x14ac:dyDescent="0.3">
      <c r="A236" s="1">
        <v>43153</v>
      </c>
      <c r="B236" s="1">
        <v>43244</v>
      </c>
      <c r="C236">
        <v>313.21893975734702</v>
      </c>
      <c r="D236">
        <v>316.54999980926499</v>
      </c>
      <c r="E236">
        <v>311.85000000000002</v>
      </c>
      <c r="F236">
        <v>4.6999998092651296</v>
      </c>
      <c r="G236">
        <v>1.3689397573471001</v>
      </c>
      <c r="H236">
        <v>4.6999998092651296</v>
      </c>
      <c r="J236" s="1">
        <v>43153</v>
      </c>
      <c r="K236">
        <v>311.85000000000002</v>
      </c>
      <c r="L236">
        <v>322.10000000000002</v>
      </c>
      <c r="M236">
        <v>313.21893975734702</v>
      </c>
      <c r="N236">
        <v>316.54999980926499</v>
      </c>
      <c r="O236">
        <f t="shared" si="27"/>
        <v>317.65946987867352</v>
      </c>
      <c r="P236">
        <f t="shared" si="28"/>
        <v>1</v>
      </c>
      <c r="Q236">
        <f t="shared" si="29"/>
        <v>1</v>
      </c>
      <c r="R236">
        <f t="shared" si="30"/>
        <v>1</v>
      </c>
      <c r="S236">
        <f t="shared" si="24"/>
        <v>11.095961069483769</v>
      </c>
      <c r="T236">
        <f t="shared" si="25"/>
        <v>30.802502117158912</v>
      </c>
      <c r="U236">
        <f t="shared" si="26"/>
        <v>1.2309238349133693</v>
      </c>
    </row>
    <row r="237" spans="1:21" x14ac:dyDescent="0.3">
      <c r="A237" s="1">
        <v>43154</v>
      </c>
      <c r="B237" s="1">
        <v>43245</v>
      </c>
      <c r="C237">
        <v>316.98534224629401</v>
      </c>
      <c r="D237">
        <v>317.29999999403901</v>
      </c>
      <c r="E237">
        <v>316.95</v>
      </c>
      <c r="F237">
        <v>0.34999999403953502</v>
      </c>
      <c r="G237">
        <v>3.53422462940216E-2</v>
      </c>
      <c r="H237">
        <v>0.34999999403953502</v>
      </c>
      <c r="J237" s="1">
        <v>43154</v>
      </c>
      <c r="K237">
        <v>316.95</v>
      </c>
      <c r="L237">
        <v>311.5</v>
      </c>
      <c r="M237">
        <v>316.98534224629401</v>
      </c>
      <c r="N237">
        <v>317.29999999403901</v>
      </c>
      <c r="O237">
        <f t="shared" si="27"/>
        <v>314.24267112314703</v>
      </c>
      <c r="P237">
        <f t="shared" si="28"/>
        <v>1</v>
      </c>
      <c r="Q237">
        <f t="shared" si="29"/>
        <v>0</v>
      </c>
      <c r="R237">
        <f t="shared" si="30"/>
        <v>0</v>
      </c>
      <c r="S237">
        <f t="shared" si="24"/>
        <v>9.9009498215957517E-2</v>
      </c>
      <c r="T237">
        <f t="shared" si="25"/>
        <v>33.639999930852547</v>
      </c>
      <c r="U237">
        <f t="shared" si="26"/>
        <v>9.3472598247896226</v>
      </c>
    </row>
    <row r="238" spans="1:21" x14ac:dyDescent="0.3">
      <c r="A238" s="1">
        <v>43157</v>
      </c>
      <c r="B238" s="1">
        <v>43248</v>
      </c>
      <c r="C238">
        <v>310.48126039505001</v>
      </c>
      <c r="D238">
        <v>318.10000000000002</v>
      </c>
      <c r="E238">
        <v>317.10000000000002</v>
      </c>
      <c r="F238">
        <v>-1</v>
      </c>
      <c r="G238">
        <v>-6.6187396049499503</v>
      </c>
      <c r="H238">
        <v>1</v>
      </c>
      <c r="J238" s="1">
        <v>43157</v>
      </c>
      <c r="K238">
        <v>317.10000000000002</v>
      </c>
      <c r="L238">
        <v>314.5</v>
      </c>
      <c r="M238">
        <v>310.48126039505001</v>
      </c>
      <c r="N238">
        <v>318.10000000000002</v>
      </c>
      <c r="O238">
        <f t="shared" si="27"/>
        <v>312.49063019752498</v>
      </c>
      <c r="P238">
        <f t="shared" si="28"/>
        <v>0</v>
      </c>
      <c r="Q238">
        <f t="shared" si="29"/>
        <v>0</v>
      </c>
      <c r="R238">
        <f t="shared" si="30"/>
        <v>0</v>
      </c>
      <c r="S238">
        <f t="shared" si="24"/>
        <v>58.045193168033805</v>
      </c>
      <c r="T238">
        <f t="shared" si="25"/>
        <v>12.960000000000164</v>
      </c>
      <c r="U238">
        <f t="shared" si="26"/>
        <v>31.465029580918912</v>
      </c>
    </row>
    <row r="239" spans="1:21" x14ac:dyDescent="0.3">
      <c r="A239" s="1">
        <v>43158</v>
      </c>
      <c r="B239" s="1">
        <v>43249</v>
      </c>
      <c r="C239">
        <v>307.729056358337</v>
      </c>
      <c r="D239">
        <v>314.89999997615803</v>
      </c>
      <c r="E239">
        <v>315.75</v>
      </c>
      <c r="F239">
        <v>0.85000002384185702</v>
      </c>
      <c r="G239">
        <v>-8.0209436416625906</v>
      </c>
      <c r="H239">
        <v>-0.85000002384185702</v>
      </c>
      <c r="J239" s="1">
        <v>43158</v>
      </c>
      <c r="K239">
        <v>315.75</v>
      </c>
      <c r="L239">
        <v>315.14999999999998</v>
      </c>
      <c r="M239">
        <v>307.729056358337</v>
      </c>
      <c r="N239">
        <v>314.89999997615803</v>
      </c>
      <c r="O239">
        <f t="shared" si="27"/>
        <v>311.43952817916852</v>
      </c>
      <c r="P239">
        <f t="shared" si="28"/>
        <v>1</v>
      </c>
      <c r="Q239">
        <f t="shared" si="29"/>
        <v>1</v>
      </c>
      <c r="R239">
        <f t="shared" si="30"/>
        <v>1</v>
      </c>
      <c r="S239">
        <f t="shared" si="24"/>
        <v>51.422432369968078</v>
      </c>
      <c r="T239">
        <f t="shared" si="25"/>
        <v>6.2500011920974999E-2</v>
      </c>
      <c r="U239">
        <f t="shared" si="26"/>
        <v>11.974865057759802</v>
      </c>
    </row>
    <row r="240" spans="1:21" x14ac:dyDescent="0.3">
      <c r="A240" s="1">
        <v>43159</v>
      </c>
      <c r="B240" s="1">
        <v>43250</v>
      </c>
      <c r="C240">
        <v>305.37483234405499</v>
      </c>
      <c r="D240">
        <v>307.54999990463199</v>
      </c>
      <c r="E240">
        <v>312.45</v>
      </c>
      <c r="F240">
        <v>4.9000000953674299</v>
      </c>
      <c r="G240">
        <v>-7.0751676559448198</v>
      </c>
      <c r="H240">
        <v>-4.9000000953674299</v>
      </c>
      <c r="J240" s="1">
        <v>43159</v>
      </c>
      <c r="K240">
        <v>312.45</v>
      </c>
      <c r="L240">
        <v>310.64999999999998</v>
      </c>
      <c r="M240">
        <v>305.37483234405499</v>
      </c>
      <c r="N240">
        <v>307.54999990463199</v>
      </c>
      <c r="O240">
        <f t="shared" si="27"/>
        <v>308.01241617202749</v>
      </c>
      <c r="P240">
        <f t="shared" si="28"/>
        <v>1</v>
      </c>
      <c r="Q240">
        <f t="shared" si="29"/>
        <v>1</v>
      </c>
      <c r="R240">
        <f t="shared" si="30"/>
        <v>1</v>
      </c>
      <c r="S240">
        <f t="shared" si="24"/>
        <v>4.7313539165864738</v>
      </c>
      <c r="T240">
        <f t="shared" si="25"/>
        <v>9.6100005912815387</v>
      </c>
      <c r="U240">
        <f t="shared" si="26"/>
        <v>0.21382880435198379</v>
      </c>
    </row>
    <row r="241" spans="1:21" x14ac:dyDescent="0.3">
      <c r="A241" s="1">
        <v>43160</v>
      </c>
      <c r="B241" s="1">
        <v>43251</v>
      </c>
      <c r="C241">
        <v>308.096958827972</v>
      </c>
      <c r="D241">
        <v>309.15000004768302</v>
      </c>
      <c r="E241">
        <v>312.45</v>
      </c>
      <c r="F241">
        <v>3.2999999523162802</v>
      </c>
      <c r="G241">
        <v>-4.3530411720275799</v>
      </c>
      <c r="H241">
        <v>-3.2999999523162802</v>
      </c>
      <c r="J241" s="1">
        <v>43160</v>
      </c>
      <c r="K241">
        <v>312.45</v>
      </c>
      <c r="L241">
        <v>314.45</v>
      </c>
      <c r="M241">
        <v>308.096958827972</v>
      </c>
      <c r="N241">
        <v>309.15000004768302</v>
      </c>
      <c r="O241">
        <f t="shared" si="27"/>
        <v>311.27347941398602</v>
      </c>
      <c r="P241">
        <f t="shared" si="28"/>
        <v>1</v>
      </c>
      <c r="Q241">
        <f t="shared" si="29"/>
        <v>0</v>
      </c>
      <c r="R241">
        <f t="shared" si="30"/>
        <v>1</v>
      </c>
      <c r="S241">
        <f t="shared" si="24"/>
        <v>1.1088958104104716</v>
      </c>
      <c r="T241">
        <f t="shared" si="25"/>
        <v>28.089999494559844</v>
      </c>
      <c r="U241">
        <f t="shared" si="26"/>
        <v>4.509164619114598</v>
      </c>
    </row>
    <row r="242" spans="1:21" x14ac:dyDescent="0.3">
      <c r="A242" s="1">
        <v>43161</v>
      </c>
      <c r="B242" s="1">
        <v>43252</v>
      </c>
      <c r="C242">
        <v>304.63475027084303</v>
      </c>
      <c r="D242">
        <v>311.39999999999998</v>
      </c>
      <c r="E242">
        <v>308.14999999999998</v>
      </c>
      <c r="F242">
        <v>-3.25</v>
      </c>
      <c r="G242">
        <v>-3.5152497291564901</v>
      </c>
      <c r="H242">
        <v>3.25</v>
      </c>
      <c r="J242" s="1">
        <v>43161</v>
      </c>
      <c r="K242">
        <v>308.14999999999998</v>
      </c>
      <c r="L242">
        <v>314.55</v>
      </c>
      <c r="M242">
        <v>304.63475027084303</v>
      </c>
      <c r="N242">
        <v>311.39999999999998</v>
      </c>
      <c r="O242">
        <f t="shared" si="27"/>
        <v>309.59237513542155</v>
      </c>
      <c r="P242">
        <f t="shared" si="28"/>
        <v>0</v>
      </c>
      <c r="Q242">
        <f t="shared" si="29"/>
        <v>1</v>
      </c>
      <c r="R242">
        <f t="shared" si="30"/>
        <v>1</v>
      </c>
      <c r="S242">
        <f t="shared" si="24"/>
        <v>45.768603897858171</v>
      </c>
      <c r="T242">
        <f t="shared" si="25"/>
        <v>9.9225000000002144</v>
      </c>
      <c r="U242">
        <f t="shared" si="26"/>
        <v>3.2675076510421839</v>
      </c>
    </row>
    <row r="243" spans="1:21" x14ac:dyDescent="0.3">
      <c r="A243" s="1">
        <v>43164</v>
      </c>
      <c r="B243" s="1">
        <v>43255</v>
      </c>
      <c r="C243">
        <v>300.89189491271901</v>
      </c>
      <c r="D243">
        <v>313.15000019073398</v>
      </c>
      <c r="E243">
        <v>303.85000000000002</v>
      </c>
      <c r="F243">
        <v>-9.3000001907348597</v>
      </c>
      <c r="G243">
        <v>-2.9581050872802699</v>
      </c>
      <c r="H243">
        <v>9.3000001907348597</v>
      </c>
      <c r="J243" s="1">
        <v>43164</v>
      </c>
      <c r="K243">
        <v>303.85000000000002</v>
      </c>
      <c r="L243">
        <v>313.45</v>
      </c>
      <c r="M243">
        <v>300.89189491271901</v>
      </c>
      <c r="N243">
        <v>313.15000019073398</v>
      </c>
      <c r="O243">
        <f t="shared" si="27"/>
        <v>307.1709474563595</v>
      </c>
      <c r="P243">
        <f t="shared" si="28"/>
        <v>0</v>
      </c>
      <c r="Q243">
        <f t="shared" si="29"/>
        <v>1</v>
      </c>
      <c r="R243">
        <f t="shared" si="30"/>
        <v>1</v>
      </c>
      <c r="S243">
        <f t="shared" si="24"/>
        <v>150.26114500689837</v>
      </c>
      <c r="T243">
        <f t="shared" si="25"/>
        <v>8.9999885559643639E-2</v>
      </c>
      <c r="U243">
        <f t="shared" si="26"/>
        <v>35.749071600430909</v>
      </c>
    </row>
    <row r="244" spans="1:21" x14ac:dyDescent="0.3">
      <c r="A244" s="1">
        <v>43165</v>
      </c>
      <c r="B244" s="1">
        <v>43256</v>
      </c>
      <c r="C244">
        <v>301.27713756561201</v>
      </c>
      <c r="D244">
        <v>313.75000004768299</v>
      </c>
      <c r="E244">
        <v>310.3</v>
      </c>
      <c r="F244">
        <v>-3.45000004768371</v>
      </c>
      <c r="G244">
        <v>-9.0228624343871999</v>
      </c>
      <c r="H244">
        <v>3.45000004768371</v>
      </c>
      <c r="J244" s="1">
        <v>43165</v>
      </c>
      <c r="K244">
        <v>310.3</v>
      </c>
      <c r="L244">
        <v>312.8</v>
      </c>
      <c r="M244">
        <v>301.27713756561201</v>
      </c>
      <c r="N244">
        <v>313.75000004768299</v>
      </c>
      <c r="O244">
        <f t="shared" si="27"/>
        <v>307.03856878280601</v>
      </c>
      <c r="P244">
        <f t="shared" si="28"/>
        <v>0</v>
      </c>
      <c r="Q244">
        <f t="shared" si="29"/>
        <v>1</v>
      </c>
      <c r="R244">
        <f t="shared" si="30"/>
        <v>0</v>
      </c>
      <c r="S244">
        <f t="shared" si="24"/>
        <v>155.57229849665384</v>
      </c>
      <c r="T244">
        <f t="shared" si="25"/>
        <v>0.90250009059765834</v>
      </c>
      <c r="U244">
        <f t="shared" si="26"/>
        <v>45.043309623168199</v>
      </c>
    </row>
    <row r="245" spans="1:21" x14ac:dyDescent="0.3">
      <c r="A245" s="1">
        <v>43166</v>
      </c>
      <c r="B245" s="1">
        <v>43257</v>
      </c>
      <c r="C245">
        <v>303.59525413513097</v>
      </c>
      <c r="D245">
        <v>313.74999995231599</v>
      </c>
      <c r="E245">
        <v>310.45</v>
      </c>
      <c r="F245">
        <v>-3.2999999523162802</v>
      </c>
      <c r="G245">
        <v>-6.8547458648681596</v>
      </c>
      <c r="H245">
        <v>3.2999999523162802</v>
      </c>
      <c r="J245" s="1">
        <v>43166</v>
      </c>
      <c r="K245">
        <v>310.45</v>
      </c>
      <c r="L245">
        <v>307.55</v>
      </c>
      <c r="M245">
        <v>303.59525413513097</v>
      </c>
      <c r="N245">
        <v>313.74999995231599</v>
      </c>
      <c r="O245">
        <f t="shared" si="27"/>
        <v>305.57262706756546</v>
      </c>
      <c r="P245">
        <f t="shared" si="28"/>
        <v>0</v>
      </c>
      <c r="Q245">
        <f t="shared" si="29"/>
        <v>0</v>
      </c>
      <c r="R245">
        <f t="shared" si="30"/>
        <v>0</v>
      </c>
      <c r="S245">
        <f t="shared" ref="S245:S267" si="31">POWER(M245-N245, 2)</f>
        <v>103.11886261163659</v>
      </c>
      <c r="T245">
        <f t="shared" ref="T245:T267" si="32">POWER(N245-L245,2)</f>
        <v>38.439999408718123</v>
      </c>
      <c r="U245">
        <f t="shared" ref="U245:U267" si="33">POWER(O245-N245, 2)</f>
        <v>66.869427296253136</v>
      </c>
    </row>
    <row r="246" spans="1:21" x14ac:dyDescent="0.3">
      <c r="A246" s="1">
        <v>43167</v>
      </c>
      <c r="B246" s="1">
        <v>43258</v>
      </c>
      <c r="C246">
        <v>304.88073406219399</v>
      </c>
      <c r="D246">
        <v>316.85000000000002</v>
      </c>
      <c r="E246">
        <v>313.60000000000002</v>
      </c>
      <c r="F246">
        <v>-3.25</v>
      </c>
      <c r="G246">
        <v>-8.7192659378051705</v>
      </c>
      <c r="H246">
        <v>3.25</v>
      </c>
      <c r="J246" s="1">
        <v>43167</v>
      </c>
      <c r="K246">
        <v>313.60000000000002</v>
      </c>
      <c r="L246">
        <v>312.95</v>
      </c>
      <c r="M246">
        <v>304.88073406219399</v>
      </c>
      <c r="N246">
        <v>316.85000000000002</v>
      </c>
      <c r="O246">
        <f t="shared" si="27"/>
        <v>308.91536703109699</v>
      </c>
      <c r="P246">
        <f t="shared" si="28"/>
        <v>0</v>
      </c>
      <c r="Q246">
        <f t="shared" si="29"/>
        <v>0</v>
      </c>
      <c r="R246">
        <f t="shared" si="30"/>
        <v>0</v>
      </c>
      <c r="S246">
        <f t="shared" si="31"/>
        <v>143.26332708992362</v>
      </c>
      <c r="T246">
        <f t="shared" si="32"/>
        <v>15.210000000000266</v>
      </c>
      <c r="U246">
        <f t="shared" si="33"/>
        <v>62.958400351202933</v>
      </c>
    </row>
    <row r="247" spans="1:21" x14ac:dyDescent="0.3">
      <c r="A247" s="1">
        <v>43168</v>
      </c>
      <c r="B247" s="1">
        <v>43259</v>
      </c>
      <c r="C247">
        <v>305.376302337646</v>
      </c>
      <c r="D247">
        <v>313.300000047683</v>
      </c>
      <c r="E247">
        <v>317.10000000000002</v>
      </c>
      <c r="F247">
        <v>3.7999999523162802</v>
      </c>
      <c r="G247">
        <v>-11.7236976623535</v>
      </c>
      <c r="H247">
        <v>-3.7999999523162802</v>
      </c>
      <c r="J247" s="1">
        <v>43168</v>
      </c>
      <c r="K247">
        <v>317.10000000000002</v>
      </c>
      <c r="L247">
        <v>311.2</v>
      </c>
      <c r="M247">
        <v>305.376302337646</v>
      </c>
      <c r="N247">
        <v>313.300000047683</v>
      </c>
      <c r="O247">
        <f t="shared" si="27"/>
        <v>308.28815116882299</v>
      </c>
      <c r="P247">
        <f t="shared" si="28"/>
        <v>1</v>
      </c>
      <c r="Q247">
        <f t="shared" si="29"/>
        <v>1</v>
      </c>
      <c r="R247">
        <f t="shared" si="30"/>
        <v>1</v>
      </c>
      <c r="S247">
        <f t="shared" si="31"/>
        <v>62.784985400045663</v>
      </c>
      <c r="T247">
        <f t="shared" si="32"/>
        <v>4.410000200268648</v>
      </c>
      <c r="U247">
        <f t="shared" si="33"/>
        <v>25.118629184530313</v>
      </c>
    </row>
    <row r="248" spans="1:21" x14ac:dyDescent="0.3">
      <c r="A248" s="1">
        <v>43171</v>
      </c>
      <c r="B248" s="1">
        <v>43262</v>
      </c>
      <c r="C248">
        <v>311.95753345489499</v>
      </c>
      <c r="D248">
        <v>316.14999995231602</v>
      </c>
      <c r="E248">
        <v>320.10000000000002</v>
      </c>
      <c r="F248">
        <v>3.95000004768371</v>
      </c>
      <c r="G248">
        <v>-8.1424665451049805</v>
      </c>
      <c r="H248">
        <v>-3.95000004768371</v>
      </c>
      <c r="J248" s="1">
        <v>43171</v>
      </c>
      <c r="K248">
        <v>320.10000000000002</v>
      </c>
      <c r="L248">
        <v>312.95</v>
      </c>
      <c r="M248">
        <v>311.95753345489499</v>
      </c>
      <c r="N248">
        <v>316.14999995231602</v>
      </c>
      <c r="O248">
        <f t="shared" si="27"/>
        <v>312.45376672744749</v>
      </c>
      <c r="P248">
        <f t="shared" si="28"/>
        <v>1</v>
      </c>
      <c r="Q248">
        <f t="shared" si="29"/>
        <v>1</v>
      </c>
      <c r="R248">
        <f t="shared" si="30"/>
        <v>1</v>
      </c>
      <c r="S248">
        <f t="shared" si="31"/>
        <v>17.576775331997819</v>
      </c>
      <c r="T248">
        <f t="shared" si="32"/>
        <v>10.23999969482262</v>
      </c>
      <c r="U248">
        <f t="shared" si="33"/>
        <v>13.662140052622055</v>
      </c>
    </row>
    <row r="249" spans="1:21" x14ac:dyDescent="0.3">
      <c r="A249" s="1">
        <v>43172</v>
      </c>
      <c r="B249" s="1">
        <v>43263</v>
      </c>
      <c r="C249">
        <v>315.93873786926201</v>
      </c>
      <c r="D249">
        <v>315.65000009536698</v>
      </c>
      <c r="E249">
        <v>321.5</v>
      </c>
      <c r="F249">
        <v>5.8499999046325604</v>
      </c>
      <c r="G249">
        <v>-5.5612621307373002</v>
      </c>
      <c r="H249">
        <v>-5.8499999046325604</v>
      </c>
      <c r="J249" s="1">
        <v>43172</v>
      </c>
      <c r="K249">
        <v>321.5</v>
      </c>
      <c r="L249">
        <v>313.45</v>
      </c>
      <c r="M249">
        <v>315.93873786926201</v>
      </c>
      <c r="N249">
        <v>315.65000009536698</v>
      </c>
      <c r="O249">
        <f t="shared" si="27"/>
        <v>314.69436893463103</v>
      </c>
      <c r="P249">
        <f t="shared" si="28"/>
        <v>1</v>
      </c>
      <c r="Q249">
        <f t="shared" si="29"/>
        <v>1</v>
      </c>
      <c r="R249">
        <f t="shared" si="30"/>
        <v>1</v>
      </c>
      <c r="S249">
        <f t="shared" si="31"/>
        <v>8.336950207386111E-2</v>
      </c>
      <c r="T249">
        <f t="shared" si="32"/>
        <v>4.840000419614757</v>
      </c>
      <c r="U249">
        <f t="shared" si="33"/>
        <v>0.91323091536953449</v>
      </c>
    </row>
    <row r="250" spans="1:21" x14ac:dyDescent="0.3">
      <c r="A250" s="1">
        <v>43173</v>
      </c>
      <c r="B250" s="1">
        <v>43264</v>
      </c>
      <c r="C250">
        <v>316.29790668487499</v>
      </c>
      <c r="D250">
        <v>315.64999990463201</v>
      </c>
      <c r="E250">
        <v>321.55</v>
      </c>
      <c r="F250">
        <v>5.9000000953674299</v>
      </c>
      <c r="G250">
        <v>-5.2520933151245099</v>
      </c>
      <c r="H250">
        <v>-5.9000000953674299</v>
      </c>
      <c r="J250" s="1">
        <v>43173</v>
      </c>
      <c r="K250">
        <v>321.55</v>
      </c>
      <c r="L250">
        <v>312.45</v>
      </c>
      <c r="M250">
        <v>316.29790668487499</v>
      </c>
      <c r="N250">
        <v>315.64999990463201</v>
      </c>
      <c r="O250">
        <f t="shared" si="27"/>
        <v>314.37395334243752</v>
      </c>
      <c r="P250">
        <f t="shared" si="28"/>
        <v>1</v>
      </c>
      <c r="Q250">
        <f t="shared" si="29"/>
        <v>1</v>
      </c>
      <c r="R250">
        <f t="shared" si="30"/>
        <v>1</v>
      </c>
      <c r="S250">
        <f t="shared" si="31"/>
        <v>0.41978319588482099</v>
      </c>
      <c r="T250">
        <f t="shared" si="32"/>
        <v>10.239999389644954</v>
      </c>
      <c r="U250">
        <f t="shared" si="33"/>
        <v>1.6282948288883881</v>
      </c>
    </row>
    <row r="251" spans="1:21" x14ac:dyDescent="0.3">
      <c r="A251" s="1">
        <v>43174</v>
      </c>
      <c r="B251" s="1">
        <v>43265</v>
      </c>
      <c r="C251">
        <v>318.365196323394</v>
      </c>
      <c r="D251">
        <v>310.40000019073398</v>
      </c>
      <c r="E251">
        <v>322.85000000000002</v>
      </c>
      <c r="F251">
        <v>12.449999809265099</v>
      </c>
      <c r="G251">
        <v>-4.4848036766052202</v>
      </c>
      <c r="H251">
        <v>-12.449999809265099</v>
      </c>
      <c r="J251" s="1">
        <v>43174</v>
      </c>
      <c r="K251">
        <v>322.85000000000002</v>
      </c>
      <c r="L251">
        <v>311.75</v>
      </c>
      <c r="M251">
        <v>318.365196323394</v>
      </c>
      <c r="N251">
        <v>310.40000019073398</v>
      </c>
      <c r="O251">
        <f t="shared" si="27"/>
        <v>315.057598161697</v>
      </c>
      <c r="P251">
        <f t="shared" si="28"/>
        <v>1</v>
      </c>
      <c r="Q251">
        <f t="shared" si="29"/>
        <v>1</v>
      </c>
      <c r="R251">
        <f t="shared" si="30"/>
        <v>1</v>
      </c>
      <c r="S251">
        <f t="shared" si="31"/>
        <v>63.444349431742232</v>
      </c>
      <c r="T251">
        <f t="shared" si="32"/>
        <v>1.8224994850182998</v>
      </c>
      <c r="U251">
        <f t="shared" si="33"/>
        <v>21.693218859118883</v>
      </c>
    </row>
    <row r="252" spans="1:21" x14ac:dyDescent="0.3">
      <c r="A252" s="1">
        <v>43175</v>
      </c>
      <c r="B252" s="1">
        <v>43266</v>
      </c>
      <c r="C252">
        <v>316.39447021484301</v>
      </c>
      <c r="D252">
        <v>309.19999980926502</v>
      </c>
      <c r="E252">
        <v>322</v>
      </c>
      <c r="F252">
        <v>12.800000190734799</v>
      </c>
      <c r="G252">
        <v>-5.60552978515625</v>
      </c>
      <c r="H252">
        <v>-12.800000190734799</v>
      </c>
      <c r="J252" s="1">
        <v>43175</v>
      </c>
      <c r="K252">
        <v>322</v>
      </c>
      <c r="L252">
        <v>314.45</v>
      </c>
      <c r="M252">
        <v>316.39447021484301</v>
      </c>
      <c r="N252">
        <v>309.19999980926502</v>
      </c>
      <c r="O252">
        <f t="shared" si="27"/>
        <v>315.4222351074215</v>
      </c>
      <c r="P252">
        <f t="shared" si="28"/>
        <v>1</v>
      </c>
      <c r="Q252">
        <f t="shared" si="29"/>
        <v>1</v>
      </c>
      <c r="R252">
        <f t="shared" si="30"/>
        <v>1</v>
      </c>
      <c r="S252">
        <f t="shared" si="31"/>
        <v>51.760404416737501</v>
      </c>
      <c r="T252">
        <f t="shared" si="32"/>
        <v>27.562502002717174</v>
      </c>
      <c r="U252">
        <f t="shared" si="33"/>
        <v>38.716212105624422</v>
      </c>
    </row>
    <row r="253" spans="1:21" x14ac:dyDescent="0.3">
      <c r="A253" s="1">
        <v>43178</v>
      </c>
      <c r="B253" s="1">
        <v>43269</v>
      </c>
      <c r="C253">
        <v>314.08880004882798</v>
      </c>
      <c r="D253">
        <v>305.85000000000002</v>
      </c>
      <c r="E253">
        <v>319.85000000000002</v>
      </c>
      <c r="F253">
        <v>14</v>
      </c>
      <c r="G253">
        <v>-5.7611999511718697</v>
      </c>
      <c r="H253">
        <v>-14</v>
      </c>
      <c r="J253" s="1">
        <v>43178</v>
      </c>
      <c r="K253">
        <v>319.85000000000002</v>
      </c>
      <c r="L253">
        <v>314.3</v>
      </c>
      <c r="M253">
        <v>314.08880004882798</v>
      </c>
      <c r="N253">
        <v>305.85000000000002</v>
      </c>
      <c r="O253">
        <f t="shared" si="27"/>
        <v>314.19440002441399</v>
      </c>
      <c r="P253">
        <f t="shared" si="28"/>
        <v>1</v>
      </c>
      <c r="Q253">
        <f t="shared" si="29"/>
        <v>1</v>
      </c>
      <c r="R253">
        <f t="shared" si="30"/>
        <v>1</v>
      </c>
      <c r="S253">
        <f t="shared" si="31"/>
        <v>67.877826244567501</v>
      </c>
      <c r="T253">
        <f t="shared" si="32"/>
        <v>71.402499999999804</v>
      </c>
      <c r="U253">
        <f t="shared" si="33"/>
        <v>69.629011767439891</v>
      </c>
    </row>
    <row r="254" spans="1:21" x14ac:dyDescent="0.3">
      <c r="A254" s="1">
        <v>43179</v>
      </c>
      <c r="B254" s="1">
        <v>43270</v>
      </c>
      <c r="C254">
        <v>315.92415027618398</v>
      </c>
      <c r="D254">
        <v>301.34999923705999</v>
      </c>
      <c r="E254">
        <v>321.3</v>
      </c>
      <c r="F254">
        <v>19.9500007629394</v>
      </c>
      <c r="G254">
        <v>-5.37584972381591</v>
      </c>
      <c r="H254">
        <v>-19.9500007629394</v>
      </c>
      <c r="J254" s="1">
        <v>43179</v>
      </c>
      <c r="K254">
        <v>321.3</v>
      </c>
      <c r="L254">
        <v>314.39999999999998</v>
      </c>
      <c r="M254">
        <v>315.92415027618398</v>
      </c>
      <c r="N254">
        <v>301.34999923705999</v>
      </c>
      <c r="O254">
        <f t="shared" si="27"/>
        <v>315.16207513809195</v>
      </c>
      <c r="P254">
        <f t="shared" si="28"/>
        <v>1</v>
      </c>
      <c r="Q254">
        <f t="shared" si="29"/>
        <v>1</v>
      </c>
      <c r="R254">
        <f t="shared" si="30"/>
        <v>1</v>
      </c>
      <c r="S254">
        <f t="shared" si="31"/>
        <v>212.40587851119886</v>
      </c>
      <c r="T254">
        <f t="shared" si="32"/>
        <v>170.30251991273425</v>
      </c>
      <c r="U254">
        <f t="shared" si="33"/>
        <v>190.77344069586783</v>
      </c>
    </row>
    <row r="255" spans="1:21" x14ac:dyDescent="0.3">
      <c r="A255" s="1">
        <v>43180</v>
      </c>
      <c r="B255" s="1">
        <v>43271</v>
      </c>
      <c r="C255">
        <v>313.45649204254102</v>
      </c>
      <c r="D255">
        <v>304.20000038146901</v>
      </c>
      <c r="E255">
        <v>321.60000000000002</v>
      </c>
      <c r="F255">
        <v>17.399999618530199</v>
      </c>
      <c r="G255">
        <v>-8.1435079574584908</v>
      </c>
      <c r="H255">
        <v>-17.399999618530199</v>
      </c>
      <c r="J255" s="1">
        <v>43180</v>
      </c>
      <c r="K255">
        <v>321.60000000000002</v>
      </c>
      <c r="L255">
        <v>317.60000000000002</v>
      </c>
      <c r="M255">
        <v>313.45649204254102</v>
      </c>
      <c r="N255">
        <v>304.20000038146901</v>
      </c>
      <c r="O255">
        <f t="shared" si="27"/>
        <v>315.52824602127055</v>
      </c>
      <c r="P255">
        <f t="shared" si="28"/>
        <v>1</v>
      </c>
      <c r="Q255">
        <f t="shared" si="29"/>
        <v>1</v>
      </c>
      <c r="R255">
        <f t="shared" si="30"/>
        <v>1</v>
      </c>
      <c r="S255">
        <f t="shared" si="31"/>
        <v>85.682637871495558</v>
      </c>
      <c r="T255">
        <f t="shared" si="32"/>
        <v>179.55998977663128</v>
      </c>
      <c r="U255">
        <f t="shared" si="33"/>
        <v>128.32914927568254</v>
      </c>
    </row>
    <row r="256" spans="1:21" x14ac:dyDescent="0.3">
      <c r="A256" s="1">
        <v>43181</v>
      </c>
      <c r="B256" s="1">
        <v>43272</v>
      </c>
      <c r="C256">
        <v>317.63099298477101</v>
      </c>
      <c r="D256">
        <v>300.74999961853001</v>
      </c>
      <c r="E256">
        <v>322.10000000000002</v>
      </c>
      <c r="F256">
        <v>21.350000381469702</v>
      </c>
      <c r="G256">
        <v>-4.4690070152282697</v>
      </c>
      <c r="H256">
        <v>-21.350000381469702</v>
      </c>
      <c r="J256" s="1">
        <v>43181</v>
      </c>
      <c r="K256">
        <v>322.10000000000002</v>
      </c>
      <c r="L256">
        <v>319</v>
      </c>
      <c r="M256">
        <v>317.63099298477101</v>
      </c>
      <c r="N256">
        <v>300.74999961853001</v>
      </c>
      <c r="O256">
        <f t="shared" si="27"/>
        <v>318.31549649238548</v>
      </c>
      <c r="P256">
        <f t="shared" si="28"/>
        <v>1</v>
      </c>
      <c r="Q256">
        <f t="shared" si="29"/>
        <v>1</v>
      </c>
      <c r="R256">
        <f t="shared" si="30"/>
        <v>1</v>
      </c>
      <c r="S256">
        <f t="shared" si="31"/>
        <v>284.96793703107267</v>
      </c>
      <c r="T256">
        <f t="shared" si="32"/>
        <v>333.06251392365471</v>
      </c>
      <c r="U256">
        <f t="shared" si="33"/>
        <v>308.54668042542613</v>
      </c>
    </row>
    <row r="257" spans="1:21" x14ac:dyDescent="0.3">
      <c r="A257" s="1">
        <v>43182</v>
      </c>
      <c r="B257" s="1">
        <v>43273</v>
      </c>
      <c r="C257">
        <v>319.18721008300702</v>
      </c>
      <c r="D257">
        <v>303.65000009536698</v>
      </c>
      <c r="E257">
        <v>311.5</v>
      </c>
      <c r="F257">
        <v>-7.8499999046325604</v>
      </c>
      <c r="G257">
        <v>7.6872100830078098</v>
      </c>
      <c r="H257">
        <v>-7.8499999046325604</v>
      </c>
      <c r="J257" s="1">
        <v>43182</v>
      </c>
      <c r="K257">
        <v>311.5</v>
      </c>
      <c r="L257">
        <v>316.89999999999998</v>
      </c>
      <c r="M257">
        <v>319.18721008300702</v>
      </c>
      <c r="N257">
        <v>303.65000009536698</v>
      </c>
      <c r="O257">
        <f t="shared" si="27"/>
        <v>318.0436050415035</v>
      </c>
      <c r="P257">
        <f t="shared" si="28"/>
        <v>0</v>
      </c>
      <c r="Q257">
        <f t="shared" si="29"/>
        <v>0</v>
      </c>
      <c r="R257">
        <f t="shared" si="30"/>
        <v>0</v>
      </c>
      <c r="S257">
        <f t="shared" si="31"/>
        <v>241.4048942000214</v>
      </c>
      <c r="T257">
        <f t="shared" si="32"/>
        <v>175.56249747277451</v>
      </c>
      <c r="U257">
        <f t="shared" si="33"/>
        <v>207.17586334544569</v>
      </c>
    </row>
    <row r="258" spans="1:21" x14ac:dyDescent="0.3">
      <c r="A258" s="1">
        <v>43185</v>
      </c>
      <c r="B258" s="1">
        <v>43276</v>
      </c>
      <c r="C258">
        <v>330.92030906677201</v>
      </c>
      <c r="D258">
        <v>303.25</v>
      </c>
      <c r="E258">
        <v>314.5</v>
      </c>
      <c r="F258">
        <v>-11.25</v>
      </c>
      <c r="G258">
        <v>16.420309066772401</v>
      </c>
      <c r="H258">
        <v>-11.25</v>
      </c>
      <c r="J258" s="1">
        <v>43185</v>
      </c>
      <c r="K258">
        <v>314.5</v>
      </c>
      <c r="L258">
        <v>317.10000000000002</v>
      </c>
      <c r="M258">
        <v>330.92030906677201</v>
      </c>
      <c r="N258">
        <v>303.25</v>
      </c>
      <c r="O258">
        <f t="shared" si="27"/>
        <v>324.01015453338601</v>
      </c>
      <c r="P258">
        <f t="shared" si="28"/>
        <v>0</v>
      </c>
      <c r="Q258">
        <f t="shared" si="29"/>
        <v>0</v>
      </c>
      <c r="R258">
        <f t="shared" si="30"/>
        <v>0</v>
      </c>
      <c r="S258">
        <f t="shared" si="31"/>
        <v>765.64600385068513</v>
      </c>
      <c r="T258">
        <f t="shared" si="32"/>
        <v>191.82250000000062</v>
      </c>
      <c r="U258">
        <f t="shared" si="33"/>
        <v>430.9840162500679</v>
      </c>
    </row>
    <row r="259" spans="1:21" x14ac:dyDescent="0.3">
      <c r="A259" s="1">
        <v>43186</v>
      </c>
      <c r="B259" s="1">
        <v>43277</v>
      </c>
      <c r="C259">
        <v>324.44502391815098</v>
      </c>
      <c r="D259">
        <v>302.39999999999998</v>
      </c>
      <c r="E259">
        <v>315.14999999999998</v>
      </c>
      <c r="F259">
        <v>-12.75</v>
      </c>
      <c r="G259">
        <v>9.2950239181518501</v>
      </c>
      <c r="H259">
        <v>-12.75</v>
      </c>
      <c r="J259" s="1">
        <v>43186</v>
      </c>
      <c r="K259">
        <v>315.14999999999998</v>
      </c>
      <c r="L259">
        <v>315.35000000000002</v>
      </c>
      <c r="M259">
        <v>324.44502391815098</v>
      </c>
      <c r="N259">
        <v>302.39999999999998</v>
      </c>
      <c r="O259">
        <f t="shared" ref="O259:O267" si="34">(L259+M259)/2</f>
        <v>319.89751195907547</v>
      </c>
      <c r="P259">
        <f t="shared" ref="P259:P267" si="35">IF((K259-M259)*(K259-N259)&gt;0, 1, 0)</f>
        <v>0</v>
      </c>
      <c r="Q259">
        <f t="shared" ref="Q259:Q267" si="36">IF((K259-L259)*(K259-N259)&gt;0, 1, 0)</f>
        <v>0</v>
      </c>
      <c r="R259">
        <f t="shared" ref="R259:R267" si="37">IF((K259-O259)*(K259-N259)&gt;0, 1, 0)</f>
        <v>0</v>
      </c>
      <c r="S259">
        <f t="shared" si="31"/>
        <v>485.98307955184981</v>
      </c>
      <c r="T259">
        <f t="shared" si="32"/>
        <v>167.70250000000118</v>
      </c>
      <c r="U259">
        <f t="shared" si="33"/>
        <v>306.16292475798997</v>
      </c>
    </row>
    <row r="260" spans="1:21" x14ac:dyDescent="0.3">
      <c r="A260" s="1">
        <v>43187</v>
      </c>
      <c r="B260" s="1">
        <v>43278</v>
      </c>
      <c r="C260">
        <v>321.30786075591999</v>
      </c>
      <c r="D260">
        <v>301.54999961853002</v>
      </c>
      <c r="E260">
        <v>310.64999999999998</v>
      </c>
      <c r="F260">
        <v>-9.1000003814697195</v>
      </c>
      <c r="G260">
        <v>10.657860755920399</v>
      </c>
      <c r="H260">
        <v>-9.1000003814697195</v>
      </c>
      <c r="J260" s="1">
        <v>43187</v>
      </c>
      <c r="K260">
        <v>310.64999999999998</v>
      </c>
      <c r="L260">
        <v>312.95</v>
      </c>
      <c r="M260">
        <v>321.30786075591999</v>
      </c>
      <c r="N260">
        <v>301.54999961853002</v>
      </c>
      <c r="O260">
        <f t="shared" si="34"/>
        <v>317.12893037795999</v>
      </c>
      <c r="P260">
        <f t="shared" si="35"/>
        <v>0</v>
      </c>
      <c r="Q260">
        <f t="shared" si="36"/>
        <v>0</v>
      </c>
      <c r="R260">
        <f t="shared" si="37"/>
        <v>0</v>
      </c>
      <c r="S260">
        <f t="shared" si="31"/>
        <v>390.3730767243847</v>
      </c>
      <c r="T260">
        <f t="shared" si="32"/>
        <v>129.96000869751535</v>
      </c>
      <c r="U260">
        <f t="shared" si="33"/>
        <v>242.70308360711314</v>
      </c>
    </row>
    <row r="261" spans="1:21" x14ac:dyDescent="0.3">
      <c r="A261" s="1">
        <v>43188</v>
      </c>
      <c r="B261" s="1">
        <v>43279</v>
      </c>
      <c r="C261">
        <v>317.78883142471301</v>
      </c>
      <c r="D261">
        <v>299.09999961852998</v>
      </c>
      <c r="E261">
        <v>314.45</v>
      </c>
      <c r="F261">
        <v>-15.3500003814697</v>
      </c>
      <c r="G261">
        <v>3.3388314247131299</v>
      </c>
      <c r="H261">
        <v>-15.3500003814697</v>
      </c>
      <c r="J261" s="1">
        <v>43188</v>
      </c>
      <c r="K261">
        <v>314.45</v>
      </c>
      <c r="L261">
        <v>317.45</v>
      </c>
      <c r="M261">
        <v>317.78883142471301</v>
      </c>
      <c r="N261">
        <v>299.09999961852998</v>
      </c>
      <c r="O261">
        <f t="shared" si="34"/>
        <v>317.6194157123565</v>
      </c>
      <c r="P261">
        <f t="shared" si="35"/>
        <v>0</v>
      </c>
      <c r="Q261">
        <f t="shared" si="36"/>
        <v>0</v>
      </c>
      <c r="R261">
        <f t="shared" si="37"/>
        <v>0</v>
      </c>
      <c r="S261">
        <f t="shared" si="31"/>
        <v>349.27243427979852</v>
      </c>
      <c r="T261">
        <f t="shared" si="32"/>
        <v>336.72251399994957</v>
      </c>
      <c r="U261">
        <f t="shared" si="33"/>
        <v>342.96877245628076</v>
      </c>
    </row>
    <row r="262" spans="1:21" x14ac:dyDescent="0.3">
      <c r="A262" s="1">
        <v>43189</v>
      </c>
      <c r="B262" s="1">
        <v>43280</v>
      </c>
      <c r="C262">
        <v>310.43034629821699</v>
      </c>
      <c r="D262">
        <v>299.99999980926498</v>
      </c>
      <c r="E262">
        <v>314.55</v>
      </c>
      <c r="F262">
        <v>14.550000190734799</v>
      </c>
      <c r="G262">
        <v>-4.1196537017822203</v>
      </c>
      <c r="H262">
        <v>-14.550000190734799</v>
      </c>
      <c r="J262" s="1">
        <v>43189</v>
      </c>
      <c r="K262">
        <v>314.55</v>
      </c>
      <c r="L262">
        <v>320.14999999999998</v>
      </c>
      <c r="M262">
        <v>310.43034629821699</v>
      </c>
      <c r="N262">
        <v>299.99999980926498</v>
      </c>
      <c r="O262">
        <f t="shared" si="34"/>
        <v>315.29017314910845</v>
      </c>
      <c r="P262">
        <f t="shared" si="35"/>
        <v>1</v>
      </c>
      <c r="Q262">
        <f t="shared" si="36"/>
        <v>0</v>
      </c>
      <c r="R262">
        <f t="shared" si="37"/>
        <v>0</v>
      </c>
      <c r="S262">
        <f t="shared" si="31"/>
        <v>108.79212787959355</v>
      </c>
      <c r="T262">
        <f t="shared" si="32"/>
        <v>406.02250768662054</v>
      </c>
      <c r="U262">
        <f t="shared" si="33"/>
        <v>233.78940076246025</v>
      </c>
    </row>
    <row r="263" spans="1:21" x14ac:dyDescent="0.3">
      <c r="A263" s="1">
        <v>43192</v>
      </c>
      <c r="B263" s="1">
        <v>43283</v>
      </c>
      <c r="C263">
        <v>301.59663505554198</v>
      </c>
      <c r="D263">
        <v>292.90000076293899</v>
      </c>
      <c r="E263">
        <v>313.45</v>
      </c>
      <c r="F263">
        <v>20.549999237060501</v>
      </c>
      <c r="G263">
        <v>-11.853364944458001</v>
      </c>
      <c r="H263">
        <v>-20.549999237060501</v>
      </c>
      <c r="J263" s="1">
        <v>43192</v>
      </c>
      <c r="K263">
        <v>313.45</v>
      </c>
      <c r="L263">
        <v>321.64999999999998</v>
      </c>
      <c r="M263">
        <v>301.59663505554198</v>
      </c>
      <c r="N263">
        <v>292.90000076293899</v>
      </c>
      <c r="O263">
        <f t="shared" si="34"/>
        <v>311.62331752777095</v>
      </c>
      <c r="P263">
        <f t="shared" si="35"/>
        <v>1</v>
      </c>
      <c r="Q263">
        <f t="shared" si="36"/>
        <v>0</v>
      </c>
      <c r="R263">
        <f t="shared" si="37"/>
        <v>1</v>
      </c>
      <c r="S263">
        <f t="shared" si="31"/>
        <v>75.63144801927838</v>
      </c>
      <c r="T263">
        <f t="shared" si="32"/>
        <v>826.56245613100748</v>
      </c>
      <c r="U263">
        <f t="shared" si="33"/>
        <v>350.56259067623768</v>
      </c>
    </row>
    <row r="264" spans="1:21" x14ac:dyDescent="0.3">
      <c r="A264" s="1">
        <v>43193</v>
      </c>
      <c r="B264" s="1">
        <v>43284</v>
      </c>
      <c r="C264">
        <v>303.48202686309799</v>
      </c>
      <c r="D264">
        <v>293.75000076293901</v>
      </c>
      <c r="E264">
        <v>312.8</v>
      </c>
      <c r="F264">
        <v>19.049999237060501</v>
      </c>
      <c r="G264">
        <v>-9.3179731369018501</v>
      </c>
      <c r="H264">
        <v>-19.049999237060501</v>
      </c>
      <c r="J264" s="1">
        <v>43193</v>
      </c>
      <c r="K264">
        <v>312.8</v>
      </c>
      <c r="L264">
        <v>321.64999999999998</v>
      </c>
      <c r="M264">
        <v>303.48202686309799</v>
      </c>
      <c r="N264">
        <v>293.75000076293901</v>
      </c>
      <c r="O264">
        <f t="shared" si="34"/>
        <v>312.56601343154898</v>
      </c>
      <c r="P264">
        <f t="shared" si="35"/>
        <v>1</v>
      </c>
      <c r="Q264">
        <f t="shared" si="36"/>
        <v>0</v>
      </c>
      <c r="R264">
        <f t="shared" si="37"/>
        <v>1</v>
      </c>
      <c r="S264">
        <f t="shared" si="31"/>
        <v>94.712332014175516</v>
      </c>
      <c r="T264">
        <f t="shared" si="32"/>
        <v>778.4099574280026</v>
      </c>
      <c r="U264">
        <f t="shared" si="33"/>
        <v>354.04233274529093</v>
      </c>
    </row>
    <row r="265" spans="1:21" x14ac:dyDescent="0.3">
      <c r="A265" s="1">
        <v>43194</v>
      </c>
      <c r="B265" s="1">
        <v>43285</v>
      </c>
      <c r="C265">
        <v>301.48612146377502</v>
      </c>
      <c r="D265">
        <v>292.55</v>
      </c>
      <c r="E265">
        <v>307.55</v>
      </c>
      <c r="F265">
        <v>15</v>
      </c>
      <c r="G265">
        <v>-6.0638785362243599</v>
      </c>
      <c r="H265">
        <v>-15</v>
      </c>
      <c r="J265" s="1">
        <v>43194</v>
      </c>
      <c r="K265">
        <v>307.55</v>
      </c>
      <c r="L265">
        <v>319.75</v>
      </c>
      <c r="M265">
        <v>301.48612146377502</v>
      </c>
      <c r="N265">
        <v>292.55</v>
      </c>
      <c r="O265">
        <f t="shared" si="34"/>
        <v>310.61806073188751</v>
      </c>
      <c r="P265">
        <f t="shared" si="35"/>
        <v>1</v>
      </c>
      <c r="Q265">
        <f t="shared" si="36"/>
        <v>0</v>
      </c>
      <c r="R265">
        <f t="shared" si="37"/>
        <v>0</v>
      </c>
      <c r="S265">
        <f t="shared" si="31"/>
        <v>79.854266815340424</v>
      </c>
      <c r="T265">
        <f t="shared" si="32"/>
        <v>739.83999999999935</v>
      </c>
      <c r="U265">
        <f t="shared" si="33"/>
        <v>326.45481861117503</v>
      </c>
    </row>
    <row r="266" spans="1:21" x14ac:dyDescent="0.3">
      <c r="A266" s="1">
        <v>43195</v>
      </c>
      <c r="B266" s="1">
        <v>43286</v>
      </c>
      <c r="C266">
        <v>306.79124708175601</v>
      </c>
      <c r="D266">
        <v>291.99999923706002</v>
      </c>
      <c r="E266">
        <v>312.95</v>
      </c>
      <c r="F266">
        <v>20.9500007629394</v>
      </c>
      <c r="G266">
        <v>-6.1587529182434002</v>
      </c>
      <c r="H266">
        <v>-20.9500007629394</v>
      </c>
      <c r="J266" s="1">
        <v>43195</v>
      </c>
      <c r="K266">
        <v>312.95</v>
      </c>
      <c r="L266">
        <v>318</v>
      </c>
      <c r="M266">
        <v>306.79124708175601</v>
      </c>
      <c r="N266">
        <v>291.99999923706002</v>
      </c>
      <c r="O266">
        <f t="shared" si="34"/>
        <v>312.39562354087798</v>
      </c>
      <c r="P266">
        <f t="shared" si="35"/>
        <v>1</v>
      </c>
      <c r="Q266">
        <f t="shared" si="36"/>
        <v>0</v>
      </c>
      <c r="R266">
        <f t="shared" si="37"/>
        <v>1</v>
      </c>
      <c r="S266">
        <f t="shared" si="31"/>
        <v>218.78101280322372</v>
      </c>
      <c r="T266">
        <f t="shared" si="32"/>
        <v>676.00003967287932</v>
      </c>
      <c r="U266">
        <f t="shared" si="33"/>
        <v>415.9814907424896</v>
      </c>
    </row>
    <row r="267" spans="1:21" x14ac:dyDescent="0.3">
      <c r="A267" s="1">
        <v>43196</v>
      </c>
      <c r="B267" s="1">
        <v>43287</v>
      </c>
      <c r="C267">
        <v>299.792787742614</v>
      </c>
      <c r="D267">
        <v>293.59999961852998</v>
      </c>
      <c r="E267">
        <v>311.2</v>
      </c>
      <c r="F267">
        <v>17.600000381469702</v>
      </c>
      <c r="G267">
        <v>-11.407212257385201</v>
      </c>
      <c r="H267">
        <v>-17.600000381469702</v>
      </c>
      <c r="J267" s="1">
        <v>43196</v>
      </c>
      <c r="K267">
        <v>311.2</v>
      </c>
      <c r="L267">
        <v>316.45</v>
      </c>
      <c r="M267">
        <v>299.792787742614</v>
      </c>
      <c r="N267">
        <v>293.59999961852998</v>
      </c>
      <c r="O267">
        <f t="shared" si="34"/>
        <v>308.12139387130696</v>
      </c>
      <c r="P267">
        <f t="shared" si="35"/>
        <v>1</v>
      </c>
      <c r="Q267">
        <f t="shared" si="36"/>
        <v>0</v>
      </c>
      <c r="R267">
        <f t="shared" si="37"/>
        <v>1</v>
      </c>
      <c r="S267">
        <f t="shared" si="31"/>
        <v>38.350624749796047</v>
      </c>
      <c r="T267">
        <f t="shared" si="32"/>
        <v>522.12251743317961</v>
      </c>
      <c r="U267">
        <f t="shared" si="33"/>
        <v>210.87089104458448</v>
      </c>
    </row>
    <row r="268" spans="1:21" x14ac:dyDescent="0.3">
      <c r="A268" s="1">
        <v>43199</v>
      </c>
      <c r="B268" s="1">
        <v>43290</v>
      </c>
      <c r="C268">
        <v>304.008276176452</v>
      </c>
      <c r="D268">
        <v>296.24999923706002</v>
      </c>
      <c r="E268">
        <v>312.95</v>
      </c>
      <c r="F268">
        <v>16.7000007629394</v>
      </c>
      <c r="G268">
        <v>-8.9417238235473597</v>
      </c>
      <c r="H268">
        <v>-16.7000007629394</v>
      </c>
      <c r="J268" s="1"/>
      <c r="P268">
        <f>SUM(P2:P267)</f>
        <v>194</v>
      </c>
      <c r="Q268">
        <f>SUM(Q2:Q267)</f>
        <v>193</v>
      </c>
      <c r="R268">
        <f>SUM(R2:R267)</f>
        <v>209</v>
      </c>
      <c r="S268">
        <f>SQRT(AVERAGE(S2:S267))</f>
        <v>12.143690261902089</v>
      </c>
      <c r="T268">
        <f>SQRT(AVERAGE(T2:T267))</f>
        <v>12.589350608667782</v>
      </c>
      <c r="U268">
        <f>SQRT(AVERAGE(U2:U267))</f>
        <v>11.204184578212359</v>
      </c>
    </row>
    <row r="269" spans="1:21" x14ac:dyDescent="0.3">
      <c r="A269" s="1">
        <v>43200</v>
      </c>
      <c r="B269" s="1">
        <v>43291</v>
      </c>
      <c r="C269">
        <v>304.44659824371303</v>
      </c>
      <c r="D269">
        <v>296.95</v>
      </c>
      <c r="E269">
        <v>313.45</v>
      </c>
      <c r="F269">
        <v>16.5</v>
      </c>
      <c r="G269">
        <v>-9.0034017562866193</v>
      </c>
      <c r="H269">
        <v>-16.5</v>
      </c>
      <c r="J269" s="1"/>
    </row>
    <row r="270" spans="1:21" x14ac:dyDescent="0.3">
      <c r="A270" s="1">
        <v>43201</v>
      </c>
      <c r="B270" s="1">
        <v>43292</v>
      </c>
      <c r="C270">
        <v>308.54079837798997</v>
      </c>
      <c r="D270">
        <v>295.30000038146898</v>
      </c>
      <c r="E270">
        <v>312.45</v>
      </c>
      <c r="F270">
        <v>17.149999618530199</v>
      </c>
      <c r="G270">
        <v>-3.9092016220092698</v>
      </c>
      <c r="H270">
        <v>-17.149999618530199</v>
      </c>
      <c r="J270" s="1"/>
    </row>
    <row r="271" spans="1:21" x14ac:dyDescent="0.3">
      <c r="A271" s="1">
        <v>43202</v>
      </c>
      <c r="B271" s="1">
        <v>43293</v>
      </c>
      <c r="C271">
        <v>307.64937067031798</v>
      </c>
      <c r="D271">
        <v>296</v>
      </c>
      <c r="E271">
        <v>311.75</v>
      </c>
      <c r="F271">
        <v>15.75</v>
      </c>
      <c r="G271">
        <v>-4.1006293296813903</v>
      </c>
      <c r="H271">
        <v>-15.75</v>
      </c>
      <c r="J271" s="1"/>
    </row>
    <row r="272" spans="1:21" x14ac:dyDescent="0.3">
      <c r="A272" s="1">
        <v>43203</v>
      </c>
      <c r="B272" s="1">
        <v>43294</v>
      </c>
      <c r="C272">
        <v>311.94461317062297</v>
      </c>
      <c r="D272">
        <v>299.09999961852998</v>
      </c>
      <c r="E272">
        <v>314.45</v>
      </c>
      <c r="F272">
        <v>15.3500003814697</v>
      </c>
      <c r="G272">
        <v>-2.5053868293762198</v>
      </c>
      <c r="H272">
        <v>-15.3500003814697</v>
      </c>
      <c r="J272" s="1"/>
    </row>
    <row r="273" spans="1:10" x14ac:dyDescent="0.3">
      <c r="A273" s="1">
        <v>43206</v>
      </c>
      <c r="B273" s="1">
        <v>43297</v>
      </c>
      <c r="C273">
        <v>313.96638839244798</v>
      </c>
      <c r="D273">
        <v>298.19999961853</v>
      </c>
      <c r="E273">
        <v>314.3</v>
      </c>
      <c r="F273">
        <v>16.100000381469702</v>
      </c>
      <c r="G273">
        <v>-0.33361160755157399</v>
      </c>
      <c r="H273">
        <v>-16.100000381469702</v>
      </c>
      <c r="J273" s="1"/>
    </row>
    <row r="274" spans="1:10" x14ac:dyDescent="0.3">
      <c r="A274" s="1">
        <v>43207</v>
      </c>
      <c r="B274" s="1">
        <v>43298</v>
      </c>
      <c r="C274">
        <v>315.71829643249498</v>
      </c>
      <c r="D274">
        <v>297.35000076293898</v>
      </c>
      <c r="E274">
        <v>314.39999999999998</v>
      </c>
      <c r="F274">
        <v>-17.049999237060501</v>
      </c>
      <c r="G274">
        <v>1.3182964324951101</v>
      </c>
      <c r="H274">
        <v>-17.049999237060501</v>
      </c>
      <c r="J274" s="1"/>
    </row>
    <row r="275" spans="1:10" x14ac:dyDescent="0.3">
      <c r="A275" s="1">
        <v>43208</v>
      </c>
      <c r="B275" s="1">
        <v>43299</v>
      </c>
      <c r="C275">
        <v>318.857750511169</v>
      </c>
      <c r="D275">
        <v>297.05000076293902</v>
      </c>
      <c r="E275">
        <v>317.60000000000002</v>
      </c>
      <c r="F275">
        <v>-20.549999237060501</v>
      </c>
      <c r="G275">
        <v>1.25775051116943</v>
      </c>
      <c r="H275">
        <v>-20.549999237060501</v>
      </c>
      <c r="J275" s="1"/>
    </row>
    <row r="276" spans="1:10" x14ac:dyDescent="0.3">
      <c r="A276" s="1">
        <v>43209</v>
      </c>
      <c r="B276" s="1">
        <v>43300</v>
      </c>
      <c r="C276">
        <v>316.88830494880602</v>
      </c>
      <c r="D276">
        <v>296.04999923705998</v>
      </c>
      <c r="E276">
        <v>319</v>
      </c>
      <c r="F276">
        <v>22.9500007629394</v>
      </c>
      <c r="G276">
        <v>-2.1116950511932302</v>
      </c>
      <c r="H276">
        <v>-22.9500007629394</v>
      </c>
      <c r="J276" s="1"/>
    </row>
    <row r="277" spans="1:10" x14ac:dyDescent="0.3">
      <c r="A277" t="s">
        <v>8</v>
      </c>
      <c r="B277" t="s">
        <v>9</v>
      </c>
    </row>
    <row r="278" spans="1:10" x14ac:dyDescent="0.3">
      <c r="A278">
        <v>0.73090909090909095</v>
      </c>
      <c r="B278">
        <v>11.107882999999999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vdiff_l2_reg_65_1_100_0.001_200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2018-08-19T11:24:18Z</dcterms:created>
  <dcterms:modified xsi:type="dcterms:W3CDTF">2018-08-19T11:24:18Z</dcterms:modified>
</cp:coreProperties>
</file>