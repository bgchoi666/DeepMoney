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Money\results_vdiff_l2_reg\"/>
    </mc:Choice>
  </mc:AlternateContent>
  <bookViews>
    <workbookView xWindow="0" yWindow="0" windowWidth="28800" windowHeight="12390"/>
  </bookViews>
  <sheets>
    <sheet name="vdiff_l2_reg_65_20_20_0.001_200" sheetId="1" r:id="rId1"/>
  </sheets>
  <calcPr calcId="0"/>
</workbook>
</file>

<file path=xl/calcChain.xml><?xml version="1.0" encoding="utf-8"?>
<calcChain xmlns="http://schemas.openxmlformats.org/spreadsheetml/2006/main">
  <c r="V333" i="1" l="1"/>
  <c r="U333" i="1"/>
  <c r="T333" i="1"/>
  <c r="T16" i="1"/>
  <c r="U16" i="1"/>
  <c r="V16" i="1"/>
  <c r="T17" i="1"/>
  <c r="U17" i="1"/>
  <c r="V17" i="1"/>
  <c r="T18" i="1"/>
  <c r="U18" i="1"/>
  <c r="V18" i="1"/>
  <c r="T19" i="1"/>
  <c r="U19" i="1"/>
  <c r="V19" i="1"/>
  <c r="T20" i="1"/>
  <c r="U20" i="1"/>
  <c r="V20" i="1"/>
  <c r="T21" i="1"/>
  <c r="U21" i="1"/>
  <c r="V21" i="1"/>
  <c r="T22" i="1"/>
  <c r="U22" i="1"/>
  <c r="V22" i="1"/>
  <c r="T23" i="1"/>
  <c r="U23" i="1"/>
  <c r="V23" i="1"/>
  <c r="T24" i="1"/>
  <c r="U24" i="1"/>
  <c r="V24" i="1"/>
  <c r="T25" i="1"/>
  <c r="U25" i="1"/>
  <c r="V25" i="1"/>
  <c r="T26" i="1"/>
  <c r="U26" i="1"/>
  <c r="V26" i="1"/>
  <c r="T27" i="1"/>
  <c r="U27" i="1"/>
  <c r="V27" i="1"/>
  <c r="T28" i="1"/>
  <c r="U28" i="1"/>
  <c r="V28" i="1"/>
  <c r="T29" i="1"/>
  <c r="U29" i="1"/>
  <c r="V29" i="1"/>
  <c r="T30" i="1"/>
  <c r="U30" i="1"/>
  <c r="V30" i="1"/>
  <c r="T31" i="1"/>
  <c r="U31" i="1"/>
  <c r="V31" i="1"/>
  <c r="T32" i="1"/>
  <c r="U32" i="1"/>
  <c r="V32" i="1"/>
  <c r="T33" i="1"/>
  <c r="U33" i="1"/>
  <c r="V33" i="1"/>
  <c r="T34" i="1"/>
  <c r="U34" i="1"/>
  <c r="V34" i="1"/>
  <c r="T35" i="1"/>
  <c r="U35" i="1"/>
  <c r="V35" i="1"/>
  <c r="T36" i="1"/>
  <c r="U36" i="1"/>
  <c r="V36" i="1"/>
  <c r="T37" i="1"/>
  <c r="U37" i="1"/>
  <c r="V37" i="1"/>
  <c r="T38" i="1"/>
  <c r="U38" i="1"/>
  <c r="V38" i="1"/>
  <c r="T39" i="1"/>
  <c r="U39" i="1"/>
  <c r="V39" i="1"/>
  <c r="T40" i="1"/>
  <c r="U40" i="1"/>
  <c r="V40" i="1"/>
  <c r="T41" i="1"/>
  <c r="U41" i="1"/>
  <c r="V41" i="1"/>
  <c r="T42" i="1"/>
  <c r="U42" i="1"/>
  <c r="V42" i="1"/>
  <c r="T43" i="1"/>
  <c r="U43" i="1"/>
  <c r="V43" i="1"/>
  <c r="T44" i="1"/>
  <c r="U44" i="1"/>
  <c r="V44" i="1"/>
  <c r="T45" i="1"/>
  <c r="U45" i="1"/>
  <c r="V45" i="1"/>
  <c r="T46" i="1"/>
  <c r="U46" i="1"/>
  <c r="V46" i="1"/>
  <c r="T47" i="1"/>
  <c r="U47" i="1"/>
  <c r="V47" i="1"/>
  <c r="T48" i="1"/>
  <c r="U48" i="1"/>
  <c r="V48" i="1"/>
  <c r="T49" i="1"/>
  <c r="U49" i="1"/>
  <c r="V49" i="1"/>
  <c r="T50" i="1"/>
  <c r="U50" i="1"/>
  <c r="V50" i="1"/>
  <c r="T51" i="1"/>
  <c r="U51" i="1"/>
  <c r="V51" i="1"/>
  <c r="T52" i="1"/>
  <c r="U52" i="1"/>
  <c r="V52" i="1"/>
  <c r="T53" i="1"/>
  <c r="U53" i="1"/>
  <c r="V53" i="1"/>
  <c r="T54" i="1"/>
  <c r="U54" i="1"/>
  <c r="V54" i="1"/>
  <c r="T55" i="1"/>
  <c r="U55" i="1"/>
  <c r="V55" i="1"/>
  <c r="T56" i="1"/>
  <c r="U56" i="1"/>
  <c r="V56" i="1"/>
  <c r="T57" i="1"/>
  <c r="U57" i="1"/>
  <c r="V57" i="1"/>
  <c r="T58" i="1"/>
  <c r="U58" i="1"/>
  <c r="V58" i="1"/>
  <c r="T59" i="1"/>
  <c r="U59" i="1"/>
  <c r="V59" i="1"/>
  <c r="T60" i="1"/>
  <c r="U60" i="1"/>
  <c r="V60" i="1"/>
  <c r="T61" i="1"/>
  <c r="U61" i="1"/>
  <c r="V61" i="1"/>
  <c r="T62" i="1"/>
  <c r="U62" i="1"/>
  <c r="V62" i="1"/>
  <c r="T63" i="1"/>
  <c r="U63" i="1"/>
  <c r="V63" i="1"/>
  <c r="T64" i="1"/>
  <c r="U64" i="1"/>
  <c r="V64" i="1"/>
  <c r="T65" i="1"/>
  <c r="U65" i="1"/>
  <c r="V65" i="1"/>
  <c r="T66" i="1"/>
  <c r="U66" i="1"/>
  <c r="V66" i="1"/>
  <c r="T67" i="1"/>
  <c r="U67" i="1"/>
  <c r="V67" i="1"/>
  <c r="T68" i="1"/>
  <c r="U68" i="1"/>
  <c r="V68" i="1"/>
  <c r="T69" i="1"/>
  <c r="U69" i="1"/>
  <c r="V69" i="1"/>
  <c r="T70" i="1"/>
  <c r="U70" i="1"/>
  <c r="V70" i="1"/>
  <c r="T71" i="1"/>
  <c r="U71" i="1"/>
  <c r="V71" i="1"/>
  <c r="T72" i="1"/>
  <c r="U72" i="1"/>
  <c r="V72" i="1"/>
  <c r="T73" i="1"/>
  <c r="U73" i="1"/>
  <c r="V73" i="1"/>
  <c r="T74" i="1"/>
  <c r="U74" i="1"/>
  <c r="V74" i="1"/>
  <c r="T75" i="1"/>
  <c r="U75" i="1"/>
  <c r="V75" i="1"/>
  <c r="T76" i="1"/>
  <c r="U76" i="1"/>
  <c r="V76" i="1"/>
  <c r="T77" i="1"/>
  <c r="U77" i="1"/>
  <c r="V77" i="1"/>
  <c r="T78" i="1"/>
  <c r="U78" i="1"/>
  <c r="V78" i="1"/>
  <c r="T79" i="1"/>
  <c r="U79" i="1"/>
  <c r="V79" i="1"/>
  <c r="T80" i="1"/>
  <c r="U80" i="1"/>
  <c r="V80" i="1"/>
  <c r="T81" i="1"/>
  <c r="U81" i="1"/>
  <c r="V81" i="1"/>
  <c r="T82" i="1"/>
  <c r="U82" i="1"/>
  <c r="V82" i="1"/>
  <c r="T83" i="1"/>
  <c r="U83" i="1"/>
  <c r="V83" i="1"/>
  <c r="T84" i="1"/>
  <c r="U84" i="1"/>
  <c r="V84" i="1"/>
  <c r="T85" i="1"/>
  <c r="U85" i="1"/>
  <c r="V85" i="1"/>
  <c r="T86" i="1"/>
  <c r="U86" i="1"/>
  <c r="V86" i="1"/>
  <c r="T87" i="1"/>
  <c r="U87" i="1"/>
  <c r="V87" i="1"/>
  <c r="T88" i="1"/>
  <c r="U88" i="1"/>
  <c r="V88" i="1"/>
  <c r="T89" i="1"/>
  <c r="U89" i="1"/>
  <c r="V89" i="1"/>
  <c r="T90" i="1"/>
  <c r="U90" i="1"/>
  <c r="V90" i="1"/>
  <c r="T91" i="1"/>
  <c r="U91" i="1"/>
  <c r="V91" i="1"/>
  <c r="T92" i="1"/>
  <c r="U92" i="1"/>
  <c r="V92" i="1"/>
  <c r="T93" i="1"/>
  <c r="U93" i="1"/>
  <c r="V93" i="1"/>
  <c r="T94" i="1"/>
  <c r="U94" i="1"/>
  <c r="V94" i="1"/>
  <c r="T95" i="1"/>
  <c r="U95" i="1"/>
  <c r="V95" i="1"/>
  <c r="T96" i="1"/>
  <c r="U96" i="1"/>
  <c r="V96" i="1"/>
  <c r="T97" i="1"/>
  <c r="U97" i="1"/>
  <c r="V97" i="1"/>
  <c r="T98" i="1"/>
  <c r="U98" i="1"/>
  <c r="V98" i="1"/>
  <c r="T99" i="1"/>
  <c r="U99" i="1"/>
  <c r="V99" i="1"/>
  <c r="T100" i="1"/>
  <c r="U100" i="1"/>
  <c r="V100" i="1"/>
  <c r="T101" i="1"/>
  <c r="U101" i="1"/>
  <c r="V101" i="1"/>
  <c r="T102" i="1"/>
  <c r="U102" i="1"/>
  <c r="V102" i="1"/>
  <c r="T103" i="1"/>
  <c r="U103" i="1"/>
  <c r="V103" i="1"/>
  <c r="T104" i="1"/>
  <c r="U104" i="1"/>
  <c r="V104" i="1"/>
  <c r="T105" i="1"/>
  <c r="U105" i="1"/>
  <c r="V105" i="1"/>
  <c r="T106" i="1"/>
  <c r="U106" i="1"/>
  <c r="V106" i="1"/>
  <c r="T107" i="1"/>
  <c r="U107" i="1"/>
  <c r="V107" i="1"/>
  <c r="T108" i="1"/>
  <c r="U108" i="1"/>
  <c r="V108" i="1"/>
  <c r="T109" i="1"/>
  <c r="U109" i="1"/>
  <c r="V109" i="1"/>
  <c r="T110" i="1"/>
  <c r="U110" i="1"/>
  <c r="V110" i="1"/>
  <c r="T111" i="1"/>
  <c r="U111" i="1"/>
  <c r="V111" i="1"/>
  <c r="T112" i="1"/>
  <c r="U112" i="1"/>
  <c r="V112" i="1"/>
  <c r="T113" i="1"/>
  <c r="U113" i="1"/>
  <c r="V113" i="1"/>
  <c r="T114" i="1"/>
  <c r="U114" i="1"/>
  <c r="V114" i="1"/>
  <c r="T115" i="1"/>
  <c r="U115" i="1"/>
  <c r="V115" i="1"/>
  <c r="T116" i="1"/>
  <c r="U116" i="1"/>
  <c r="V116" i="1"/>
  <c r="T117" i="1"/>
  <c r="U117" i="1"/>
  <c r="V117" i="1"/>
  <c r="T118" i="1"/>
  <c r="U118" i="1"/>
  <c r="V118" i="1"/>
  <c r="T119" i="1"/>
  <c r="U119" i="1"/>
  <c r="V119" i="1"/>
  <c r="T120" i="1"/>
  <c r="U120" i="1"/>
  <c r="V120" i="1"/>
  <c r="T121" i="1"/>
  <c r="U121" i="1"/>
  <c r="V121" i="1"/>
  <c r="T122" i="1"/>
  <c r="U122" i="1"/>
  <c r="V122" i="1"/>
  <c r="T123" i="1"/>
  <c r="U123" i="1"/>
  <c r="V123" i="1"/>
  <c r="T124" i="1"/>
  <c r="U124" i="1"/>
  <c r="V124" i="1"/>
  <c r="T125" i="1"/>
  <c r="U125" i="1"/>
  <c r="V125" i="1"/>
  <c r="T126" i="1"/>
  <c r="U126" i="1"/>
  <c r="V126" i="1"/>
  <c r="T127" i="1"/>
  <c r="U127" i="1"/>
  <c r="V127" i="1"/>
  <c r="T128" i="1"/>
  <c r="U128" i="1"/>
  <c r="V128" i="1"/>
  <c r="T129" i="1"/>
  <c r="U129" i="1"/>
  <c r="V129" i="1"/>
  <c r="T130" i="1"/>
  <c r="U130" i="1"/>
  <c r="V130" i="1"/>
  <c r="T131" i="1"/>
  <c r="U131" i="1"/>
  <c r="V131" i="1"/>
  <c r="T132" i="1"/>
  <c r="U132" i="1"/>
  <c r="V132" i="1"/>
  <c r="T133" i="1"/>
  <c r="U133" i="1"/>
  <c r="V133" i="1"/>
  <c r="T134" i="1"/>
  <c r="U134" i="1"/>
  <c r="V134" i="1"/>
  <c r="T135" i="1"/>
  <c r="U135" i="1"/>
  <c r="V135" i="1"/>
  <c r="T136" i="1"/>
  <c r="U136" i="1"/>
  <c r="V136" i="1"/>
  <c r="T137" i="1"/>
  <c r="U137" i="1"/>
  <c r="V137" i="1"/>
  <c r="T138" i="1"/>
  <c r="U138" i="1"/>
  <c r="V138" i="1"/>
  <c r="T139" i="1"/>
  <c r="U139" i="1"/>
  <c r="V139" i="1"/>
  <c r="T140" i="1"/>
  <c r="U140" i="1"/>
  <c r="V140" i="1"/>
  <c r="T141" i="1"/>
  <c r="U141" i="1"/>
  <c r="V141" i="1"/>
  <c r="T142" i="1"/>
  <c r="U142" i="1"/>
  <c r="V142" i="1"/>
  <c r="T143" i="1"/>
  <c r="U143" i="1"/>
  <c r="V143" i="1"/>
  <c r="T144" i="1"/>
  <c r="U144" i="1"/>
  <c r="V144" i="1"/>
  <c r="T145" i="1"/>
  <c r="U145" i="1"/>
  <c r="V145" i="1"/>
  <c r="T146" i="1"/>
  <c r="U146" i="1"/>
  <c r="V146" i="1"/>
  <c r="T147" i="1"/>
  <c r="U147" i="1"/>
  <c r="V147" i="1"/>
  <c r="T148" i="1"/>
  <c r="U148" i="1"/>
  <c r="V148" i="1"/>
  <c r="T149" i="1"/>
  <c r="U149" i="1"/>
  <c r="V149" i="1"/>
  <c r="T150" i="1"/>
  <c r="U150" i="1"/>
  <c r="V150" i="1"/>
  <c r="T151" i="1"/>
  <c r="U151" i="1"/>
  <c r="V151" i="1"/>
  <c r="T152" i="1"/>
  <c r="U152" i="1"/>
  <c r="V152" i="1"/>
  <c r="T153" i="1"/>
  <c r="U153" i="1"/>
  <c r="V153" i="1"/>
  <c r="T154" i="1"/>
  <c r="U154" i="1"/>
  <c r="V154" i="1"/>
  <c r="T155" i="1"/>
  <c r="U155" i="1"/>
  <c r="V155" i="1"/>
  <c r="T156" i="1"/>
  <c r="U156" i="1"/>
  <c r="V156" i="1"/>
  <c r="T157" i="1"/>
  <c r="U157" i="1"/>
  <c r="V157" i="1"/>
  <c r="T158" i="1"/>
  <c r="U158" i="1"/>
  <c r="V158" i="1"/>
  <c r="T159" i="1"/>
  <c r="U159" i="1"/>
  <c r="V159" i="1"/>
  <c r="T160" i="1"/>
  <c r="U160" i="1"/>
  <c r="V160" i="1"/>
  <c r="T161" i="1"/>
  <c r="U161" i="1"/>
  <c r="V161" i="1"/>
  <c r="T162" i="1"/>
  <c r="U162" i="1"/>
  <c r="V162" i="1"/>
  <c r="T163" i="1"/>
  <c r="U163" i="1"/>
  <c r="V163" i="1"/>
  <c r="T164" i="1"/>
  <c r="U164" i="1"/>
  <c r="V164" i="1"/>
  <c r="T165" i="1"/>
  <c r="U165" i="1"/>
  <c r="V165" i="1"/>
  <c r="T166" i="1"/>
  <c r="U166" i="1"/>
  <c r="V166" i="1"/>
  <c r="T167" i="1"/>
  <c r="U167" i="1"/>
  <c r="V167" i="1"/>
  <c r="T168" i="1"/>
  <c r="U168" i="1"/>
  <c r="V168" i="1"/>
  <c r="T169" i="1"/>
  <c r="U169" i="1"/>
  <c r="V169" i="1"/>
  <c r="T170" i="1"/>
  <c r="U170" i="1"/>
  <c r="V170" i="1"/>
  <c r="T171" i="1"/>
  <c r="U171" i="1"/>
  <c r="V171" i="1"/>
  <c r="T172" i="1"/>
  <c r="U172" i="1"/>
  <c r="V172" i="1"/>
  <c r="T173" i="1"/>
  <c r="U173" i="1"/>
  <c r="V173" i="1"/>
  <c r="T174" i="1"/>
  <c r="U174" i="1"/>
  <c r="V174" i="1"/>
  <c r="T175" i="1"/>
  <c r="U175" i="1"/>
  <c r="V175" i="1"/>
  <c r="T176" i="1"/>
  <c r="U176" i="1"/>
  <c r="V176" i="1"/>
  <c r="T177" i="1"/>
  <c r="U177" i="1"/>
  <c r="V177" i="1"/>
  <c r="T178" i="1"/>
  <c r="U178" i="1"/>
  <c r="V178" i="1"/>
  <c r="T179" i="1"/>
  <c r="U179" i="1"/>
  <c r="V179" i="1"/>
  <c r="T180" i="1"/>
  <c r="U180" i="1"/>
  <c r="V180" i="1"/>
  <c r="T181" i="1"/>
  <c r="U181" i="1"/>
  <c r="V181" i="1"/>
  <c r="T182" i="1"/>
  <c r="U182" i="1"/>
  <c r="V182" i="1"/>
  <c r="T183" i="1"/>
  <c r="U183" i="1"/>
  <c r="V183" i="1"/>
  <c r="T184" i="1"/>
  <c r="U184" i="1"/>
  <c r="V184" i="1"/>
  <c r="T185" i="1"/>
  <c r="U185" i="1"/>
  <c r="V185" i="1"/>
  <c r="T186" i="1"/>
  <c r="U186" i="1"/>
  <c r="V186" i="1"/>
  <c r="T187" i="1"/>
  <c r="U187" i="1"/>
  <c r="V187" i="1"/>
  <c r="T188" i="1"/>
  <c r="U188" i="1"/>
  <c r="V188" i="1"/>
  <c r="T189" i="1"/>
  <c r="U189" i="1"/>
  <c r="V189" i="1"/>
  <c r="T190" i="1"/>
  <c r="U190" i="1"/>
  <c r="V190" i="1"/>
  <c r="T191" i="1"/>
  <c r="U191" i="1"/>
  <c r="V191" i="1"/>
  <c r="T192" i="1"/>
  <c r="U192" i="1"/>
  <c r="V192" i="1"/>
  <c r="T193" i="1"/>
  <c r="U193" i="1"/>
  <c r="V193" i="1"/>
  <c r="T194" i="1"/>
  <c r="U194" i="1"/>
  <c r="V194" i="1"/>
  <c r="T195" i="1"/>
  <c r="U195" i="1"/>
  <c r="V195" i="1"/>
  <c r="T196" i="1"/>
  <c r="U196" i="1"/>
  <c r="V196" i="1"/>
  <c r="T197" i="1"/>
  <c r="U197" i="1"/>
  <c r="V197" i="1"/>
  <c r="T198" i="1"/>
  <c r="U198" i="1"/>
  <c r="V198" i="1"/>
  <c r="T199" i="1"/>
  <c r="U199" i="1"/>
  <c r="V199" i="1"/>
  <c r="T200" i="1"/>
  <c r="U200" i="1"/>
  <c r="V200" i="1"/>
  <c r="T201" i="1"/>
  <c r="U201" i="1"/>
  <c r="V201" i="1"/>
  <c r="T202" i="1"/>
  <c r="U202" i="1"/>
  <c r="V202" i="1"/>
  <c r="T203" i="1"/>
  <c r="U203" i="1"/>
  <c r="V203" i="1"/>
  <c r="T204" i="1"/>
  <c r="U204" i="1"/>
  <c r="V204" i="1"/>
  <c r="T205" i="1"/>
  <c r="U205" i="1"/>
  <c r="V205" i="1"/>
  <c r="T206" i="1"/>
  <c r="U206" i="1"/>
  <c r="V206" i="1"/>
  <c r="T207" i="1"/>
  <c r="U207" i="1"/>
  <c r="V207" i="1"/>
  <c r="T208" i="1"/>
  <c r="U208" i="1"/>
  <c r="V208" i="1"/>
  <c r="T209" i="1"/>
  <c r="U209" i="1"/>
  <c r="V209" i="1"/>
  <c r="T210" i="1"/>
  <c r="U210" i="1"/>
  <c r="V210" i="1"/>
  <c r="T211" i="1"/>
  <c r="U211" i="1"/>
  <c r="V211" i="1"/>
  <c r="T212" i="1"/>
  <c r="U212" i="1"/>
  <c r="V212" i="1"/>
  <c r="T213" i="1"/>
  <c r="U213" i="1"/>
  <c r="V213" i="1"/>
  <c r="T214" i="1"/>
  <c r="U214" i="1"/>
  <c r="V214" i="1"/>
  <c r="T215" i="1"/>
  <c r="U215" i="1"/>
  <c r="V215" i="1"/>
  <c r="T216" i="1"/>
  <c r="U216" i="1"/>
  <c r="V216" i="1"/>
  <c r="T217" i="1"/>
  <c r="U217" i="1"/>
  <c r="V217" i="1"/>
  <c r="T218" i="1"/>
  <c r="U218" i="1"/>
  <c r="V218" i="1"/>
  <c r="T219" i="1"/>
  <c r="U219" i="1"/>
  <c r="V219" i="1"/>
  <c r="T220" i="1"/>
  <c r="U220" i="1"/>
  <c r="V220" i="1"/>
  <c r="T221" i="1"/>
  <c r="U221" i="1"/>
  <c r="V221" i="1"/>
  <c r="T222" i="1"/>
  <c r="U222" i="1"/>
  <c r="V222" i="1"/>
  <c r="T223" i="1"/>
  <c r="U223" i="1"/>
  <c r="V223" i="1"/>
  <c r="T224" i="1"/>
  <c r="U224" i="1"/>
  <c r="V224" i="1"/>
  <c r="T225" i="1"/>
  <c r="U225" i="1"/>
  <c r="V225" i="1"/>
  <c r="T226" i="1"/>
  <c r="U226" i="1"/>
  <c r="V226" i="1"/>
  <c r="T227" i="1"/>
  <c r="U227" i="1"/>
  <c r="V227" i="1"/>
  <c r="T228" i="1"/>
  <c r="U228" i="1"/>
  <c r="V228" i="1"/>
  <c r="T229" i="1"/>
  <c r="U229" i="1"/>
  <c r="V229" i="1"/>
  <c r="T230" i="1"/>
  <c r="U230" i="1"/>
  <c r="V230" i="1"/>
  <c r="T231" i="1"/>
  <c r="U231" i="1"/>
  <c r="V231" i="1"/>
  <c r="T232" i="1"/>
  <c r="U232" i="1"/>
  <c r="V232" i="1"/>
  <c r="T233" i="1"/>
  <c r="U233" i="1"/>
  <c r="V233" i="1"/>
  <c r="T234" i="1"/>
  <c r="U234" i="1"/>
  <c r="V234" i="1"/>
  <c r="T235" i="1"/>
  <c r="U235" i="1"/>
  <c r="V235" i="1"/>
  <c r="T236" i="1"/>
  <c r="U236" i="1"/>
  <c r="V236" i="1"/>
  <c r="T237" i="1"/>
  <c r="U237" i="1"/>
  <c r="V237" i="1"/>
  <c r="T238" i="1"/>
  <c r="U238" i="1"/>
  <c r="V238" i="1"/>
  <c r="T239" i="1"/>
  <c r="U239" i="1"/>
  <c r="V239" i="1"/>
  <c r="T240" i="1"/>
  <c r="U240" i="1"/>
  <c r="V240" i="1"/>
  <c r="T241" i="1"/>
  <c r="U241" i="1"/>
  <c r="V241" i="1"/>
  <c r="T242" i="1"/>
  <c r="U242" i="1"/>
  <c r="V242" i="1"/>
  <c r="T243" i="1"/>
  <c r="U243" i="1"/>
  <c r="V243" i="1"/>
  <c r="T244" i="1"/>
  <c r="U244" i="1"/>
  <c r="V244" i="1"/>
  <c r="T245" i="1"/>
  <c r="U245" i="1"/>
  <c r="V245" i="1"/>
  <c r="T246" i="1"/>
  <c r="U246" i="1"/>
  <c r="V246" i="1"/>
  <c r="T247" i="1"/>
  <c r="U247" i="1"/>
  <c r="V247" i="1"/>
  <c r="T248" i="1"/>
  <c r="U248" i="1"/>
  <c r="V248" i="1"/>
  <c r="T249" i="1"/>
  <c r="U249" i="1"/>
  <c r="V249" i="1"/>
  <c r="T250" i="1"/>
  <c r="U250" i="1"/>
  <c r="V250" i="1"/>
  <c r="T251" i="1"/>
  <c r="U251" i="1"/>
  <c r="V251" i="1"/>
  <c r="T252" i="1"/>
  <c r="U252" i="1"/>
  <c r="V252" i="1"/>
  <c r="T253" i="1"/>
  <c r="U253" i="1"/>
  <c r="V253" i="1"/>
  <c r="T254" i="1"/>
  <c r="U254" i="1"/>
  <c r="V254" i="1"/>
  <c r="T255" i="1"/>
  <c r="U255" i="1"/>
  <c r="V255" i="1"/>
  <c r="T256" i="1"/>
  <c r="U256" i="1"/>
  <c r="V256" i="1"/>
  <c r="T257" i="1"/>
  <c r="U257" i="1"/>
  <c r="V257" i="1"/>
  <c r="T258" i="1"/>
  <c r="U258" i="1"/>
  <c r="V258" i="1"/>
  <c r="T259" i="1"/>
  <c r="U259" i="1"/>
  <c r="V259" i="1"/>
  <c r="T260" i="1"/>
  <c r="U260" i="1"/>
  <c r="V260" i="1"/>
  <c r="T261" i="1"/>
  <c r="U261" i="1"/>
  <c r="V261" i="1"/>
  <c r="T262" i="1"/>
  <c r="U262" i="1"/>
  <c r="V262" i="1"/>
  <c r="T263" i="1"/>
  <c r="U263" i="1"/>
  <c r="V263" i="1"/>
  <c r="T264" i="1"/>
  <c r="U264" i="1"/>
  <c r="V264" i="1"/>
  <c r="T265" i="1"/>
  <c r="U265" i="1"/>
  <c r="V265" i="1"/>
  <c r="T266" i="1"/>
  <c r="U266" i="1"/>
  <c r="V266" i="1"/>
  <c r="T267" i="1"/>
  <c r="U267" i="1"/>
  <c r="V267" i="1"/>
  <c r="T268" i="1"/>
  <c r="U268" i="1"/>
  <c r="V268" i="1"/>
  <c r="T269" i="1"/>
  <c r="U269" i="1"/>
  <c r="V269" i="1"/>
  <c r="T270" i="1"/>
  <c r="U270" i="1"/>
  <c r="V270" i="1"/>
  <c r="T271" i="1"/>
  <c r="U271" i="1"/>
  <c r="V271" i="1"/>
  <c r="T272" i="1"/>
  <c r="U272" i="1"/>
  <c r="V272" i="1"/>
  <c r="T273" i="1"/>
  <c r="U273" i="1"/>
  <c r="V273" i="1"/>
  <c r="T274" i="1"/>
  <c r="U274" i="1"/>
  <c r="V274" i="1"/>
  <c r="T275" i="1"/>
  <c r="U275" i="1"/>
  <c r="V275" i="1"/>
  <c r="T276" i="1"/>
  <c r="U276" i="1"/>
  <c r="V276" i="1"/>
  <c r="T277" i="1"/>
  <c r="U277" i="1"/>
  <c r="V277" i="1"/>
  <c r="T278" i="1"/>
  <c r="U278" i="1"/>
  <c r="V278" i="1"/>
  <c r="T279" i="1"/>
  <c r="U279" i="1"/>
  <c r="V279" i="1"/>
  <c r="T280" i="1"/>
  <c r="U280" i="1"/>
  <c r="V280" i="1"/>
  <c r="T281" i="1"/>
  <c r="U281" i="1"/>
  <c r="V281" i="1"/>
  <c r="T282" i="1"/>
  <c r="U282" i="1"/>
  <c r="V282" i="1"/>
  <c r="T283" i="1"/>
  <c r="U283" i="1"/>
  <c r="V283" i="1"/>
  <c r="T284" i="1"/>
  <c r="U284" i="1"/>
  <c r="V284" i="1"/>
  <c r="T285" i="1"/>
  <c r="U285" i="1"/>
  <c r="V285" i="1"/>
  <c r="T286" i="1"/>
  <c r="U286" i="1"/>
  <c r="V286" i="1"/>
  <c r="T287" i="1"/>
  <c r="U287" i="1"/>
  <c r="V287" i="1"/>
  <c r="T288" i="1"/>
  <c r="U288" i="1"/>
  <c r="V288" i="1"/>
  <c r="T289" i="1"/>
  <c r="U289" i="1"/>
  <c r="V289" i="1"/>
  <c r="T290" i="1"/>
  <c r="U290" i="1"/>
  <c r="V290" i="1"/>
  <c r="T291" i="1"/>
  <c r="U291" i="1"/>
  <c r="V291" i="1"/>
  <c r="T292" i="1"/>
  <c r="U292" i="1"/>
  <c r="V292" i="1"/>
  <c r="T293" i="1"/>
  <c r="U293" i="1"/>
  <c r="V293" i="1"/>
  <c r="T294" i="1"/>
  <c r="U294" i="1"/>
  <c r="V294" i="1"/>
  <c r="T295" i="1"/>
  <c r="U295" i="1"/>
  <c r="V295" i="1"/>
  <c r="T296" i="1"/>
  <c r="U296" i="1"/>
  <c r="V296" i="1"/>
  <c r="T297" i="1"/>
  <c r="U297" i="1"/>
  <c r="V297" i="1"/>
  <c r="T298" i="1"/>
  <c r="U298" i="1"/>
  <c r="V298" i="1"/>
  <c r="T299" i="1"/>
  <c r="U299" i="1"/>
  <c r="V299" i="1"/>
  <c r="T300" i="1"/>
  <c r="U300" i="1"/>
  <c r="V300" i="1"/>
  <c r="T301" i="1"/>
  <c r="U301" i="1"/>
  <c r="V301" i="1"/>
  <c r="T302" i="1"/>
  <c r="U302" i="1"/>
  <c r="V302" i="1"/>
  <c r="T303" i="1"/>
  <c r="U303" i="1"/>
  <c r="V303" i="1"/>
  <c r="T304" i="1"/>
  <c r="U304" i="1"/>
  <c r="V304" i="1"/>
  <c r="T305" i="1"/>
  <c r="U305" i="1"/>
  <c r="V305" i="1"/>
  <c r="T306" i="1"/>
  <c r="U306" i="1"/>
  <c r="V306" i="1"/>
  <c r="T307" i="1"/>
  <c r="U307" i="1"/>
  <c r="V307" i="1"/>
  <c r="T308" i="1"/>
  <c r="U308" i="1"/>
  <c r="V308" i="1"/>
  <c r="T309" i="1"/>
  <c r="U309" i="1"/>
  <c r="V309" i="1"/>
  <c r="T310" i="1"/>
  <c r="U310" i="1"/>
  <c r="V310" i="1"/>
  <c r="T311" i="1"/>
  <c r="U311" i="1"/>
  <c r="V311" i="1"/>
  <c r="T312" i="1"/>
  <c r="U312" i="1"/>
  <c r="V312" i="1"/>
  <c r="T313" i="1"/>
  <c r="U313" i="1"/>
  <c r="V313" i="1"/>
  <c r="T314" i="1"/>
  <c r="U314" i="1"/>
  <c r="V314" i="1"/>
  <c r="T315" i="1"/>
  <c r="U315" i="1"/>
  <c r="V315" i="1"/>
  <c r="T316" i="1"/>
  <c r="U316" i="1"/>
  <c r="V316" i="1"/>
  <c r="T317" i="1"/>
  <c r="U317" i="1"/>
  <c r="V317" i="1"/>
  <c r="T318" i="1"/>
  <c r="U318" i="1"/>
  <c r="V318" i="1"/>
  <c r="T319" i="1"/>
  <c r="U319" i="1"/>
  <c r="V319" i="1"/>
  <c r="T320" i="1"/>
  <c r="U320" i="1"/>
  <c r="V320" i="1"/>
  <c r="T321" i="1"/>
  <c r="U321" i="1"/>
  <c r="V321" i="1"/>
  <c r="T322" i="1"/>
  <c r="U322" i="1"/>
  <c r="V322" i="1"/>
  <c r="T323" i="1"/>
  <c r="U323" i="1"/>
  <c r="V323" i="1"/>
  <c r="T324" i="1"/>
  <c r="U324" i="1"/>
  <c r="V324" i="1"/>
  <c r="T325" i="1"/>
  <c r="U325" i="1"/>
  <c r="V325" i="1"/>
  <c r="T326" i="1"/>
  <c r="U326" i="1"/>
  <c r="V326" i="1"/>
  <c r="T327" i="1"/>
  <c r="U327" i="1"/>
  <c r="V327" i="1"/>
  <c r="T328" i="1"/>
  <c r="U328" i="1"/>
  <c r="V328" i="1"/>
  <c r="T329" i="1"/>
  <c r="U329" i="1"/>
  <c r="V329" i="1"/>
  <c r="T330" i="1"/>
  <c r="U330" i="1"/>
  <c r="V330" i="1"/>
  <c r="T331" i="1"/>
  <c r="U331" i="1"/>
  <c r="V331" i="1"/>
  <c r="T332" i="1"/>
  <c r="U332" i="1"/>
  <c r="V332" i="1"/>
  <c r="T3" i="1"/>
  <c r="U3" i="1"/>
  <c r="V3" i="1"/>
  <c r="T4" i="1"/>
  <c r="U4" i="1"/>
  <c r="V4" i="1"/>
  <c r="T5" i="1"/>
  <c r="U5" i="1"/>
  <c r="V5" i="1"/>
  <c r="T6" i="1"/>
  <c r="U6" i="1"/>
  <c r="V6" i="1"/>
  <c r="T7" i="1"/>
  <c r="U7" i="1"/>
  <c r="V7" i="1"/>
  <c r="T8" i="1"/>
  <c r="U8" i="1"/>
  <c r="V8" i="1"/>
  <c r="T9" i="1"/>
  <c r="U9" i="1"/>
  <c r="V9" i="1"/>
  <c r="T10" i="1"/>
  <c r="U10" i="1"/>
  <c r="V10" i="1"/>
  <c r="T11" i="1"/>
  <c r="U11" i="1"/>
  <c r="V11" i="1"/>
  <c r="T12" i="1"/>
  <c r="U12" i="1"/>
  <c r="V12" i="1"/>
  <c r="T13" i="1"/>
  <c r="U13" i="1"/>
  <c r="V13" i="1"/>
  <c r="T14" i="1"/>
  <c r="U14" i="1"/>
  <c r="V14" i="1"/>
  <c r="T15" i="1"/>
  <c r="U15" i="1"/>
  <c r="V15" i="1"/>
  <c r="V2" i="1"/>
  <c r="U2" i="1"/>
  <c r="T2" i="1"/>
  <c r="R333" i="1"/>
  <c r="Q333" i="1"/>
  <c r="P333" i="1"/>
  <c r="P3" i="1"/>
  <c r="Q3" i="1"/>
  <c r="R3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P39" i="1"/>
  <c r="Q39" i="1"/>
  <c r="R39" i="1"/>
  <c r="P40" i="1"/>
  <c r="Q40" i="1"/>
  <c r="R40" i="1"/>
  <c r="P41" i="1"/>
  <c r="Q41" i="1"/>
  <c r="R41" i="1"/>
  <c r="P42" i="1"/>
  <c r="Q42" i="1"/>
  <c r="R42" i="1"/>
  <c r="P43" i="1"/>
  <c r="Q43" i="1"/>
  <c r="R43" i="1"/>
  <c r="P44" i="1"/>
  <c r="Q44" i="1"/>
  <c r="R44" i="1"/>
  <c r="P45" i="1"/>
  <c r="Q45" i="1"/>
  <c r="R45" i="1"/>
  <c r="P46" i="1"/>
  <c r="Q46" i="1"/>
  <c r="R46" i="1"/>
  <c r="P47" i="1"/>
  <c r="Q47" i="1"/>
  <c r="R47" i="1"/>
  <c r="P48" i="1"/>
  <c r="Q48" i="1"/>
  <c r="R48" i="1"/>
  <c r="P49" i="1"/>
  <c r="Q49" i="1"/>
  <c r="R49" i="1"/>
  <c r="P50" i="1"/>
  <c r="Q50" i="1"/>
  <c r="R50" i="1"/>
  <c r="P51" i="1"/>
  <c r="Q51" i="1"/>
  <c r="R51" i="1"/>
  <c r="P52" i="1"/>
  <c r="Q52" i="1"/>
  <c r="R52" i="1"/>
  <c r="P53" i="1"/>
  <c r="Q53" i="1"/>
  <c r="R53" i="1"/>
  <c r="P54" i="1"/>
  <c r="Q54" i="1"/>
  <c r="R54" i="1"/>
  <c r="P55" i="1"/>
  <c r="Q55" i="1"/>
  <c r="R55" i="1"/>
  <c r="P56" i="1"/>
  <c r="Q56" i="1"/>
  <c r="R56" i="1"/>
  <c r="P57" i="1"/>
  <c r="Q57" i="1"/>
  <c r="R57" i="1"/>
  <c r="P58" i="1"/>
  <c r="Q58" i="1"/>
  <c r="R58" i="1"/>
  <c r="P59" i="1"/>
  <c r="Q59" i="1"/>
  <c r="R59" i="1"/>
  <c r="P60" i="1"/>
  <c r="Q60" i="1"/>
  <c r="R60" i="1"/>
  <c r="P61" i="1"/>
  <c r="Q61" i="1"/>
  <c r="R61" i="1"/>
  <c r="P62" i="1"/>
  <c r="Q62" i="1"/>
  <c r="R62" i="1"/>
  <c r="P63" i="1"/>
  <c r="Q63" i="1"/>
  <c r="R63" i="1"/>
  <c r="P64" i="1"/>
  <c r="Q64" i="1"/>
  <c r="R64" i="1"/>
  <c r="P65" i="1"/>
  <c r="Q65" i="1"/>
  <c r="R65" i="1"/>
  <c r="P66" i="1"/>
  <c r="Q66" i="1"/>
  <c r="R66" i="1"/>
  <c r="P67" i="1"/>
  <c r="Q67" i="1"/>
  <c r="R67" i="1"/>
  <c r="P68" i="1"/>
  <c r="Q68" i="1"/>
  <c r="R68" i="1"/>
  <c r="P69" i="1"/>
  <c r="Q69" i="1"/>
  <c r="R69" i="1"/>
  <c r="P70" i="1"/>
  <c r="Q70" i="1"/>
  <c r="R70" i="1"/>
  <c r="P71" i="1"/>
  <c r="Q71" i="1"/>
  <c r="R71" i="1"/>
  <c r="P72" i="1"/>
  <c r="Q72" i="1"/>
  <c r="R72" i="1"/>
  <c r="P73" i="1"/>
  <c r="Q73" i="1"/>
  <c r="R73" i="1"/>
  <c r="P74" i="1"/>
  <c r="Q74" i="1"/>
  <c r="R74" i="1"/>
  <c r="P75" i="1"/>
  <c r="Q75" i="1"/>
  <c r="R75" i="1"/>
  <c r="P76" i="1"/>
  <c r="Q76" i="1"/>
  <c r="R76" i="1"/>
  <c r="P77" i="1"/>
  <c r="Q77" i="1"/>
  <c r="R77" i="1"/>
  <c r="P78" i="1"/>
  <c r="Q78" i="1"/>
  <c r="R78" i="1"/>
  <c r="P79" i="1"/>
  <c r="Q79" i="1"/>
  <c r="R79" i="1"/>
  <c r="P80" i="1"/>
  <c r="Q80" i="1"/>
  <c r="R80" i="1"/>
  <c r="P81" i="1"/>
  <c r="Q81" i="1"/>
  <c r="R81" i="1"/>
  <c r="P82" i="1"/>
  <c r="Q82" i="1"/>
  <c r="R82" i="1"/>
  <c r="P83" i="1"/>
  <c r="Q83" i="1"/>
  <c r="R83" i="1"/>
  <c r="P84" i="1"/>
  <c r="Q84" i="1"/>
  <c r="R84" i="1"/>
  <c r="P85" i="1"/>
  <c r="Q85" i="1"/>
  <c r="R85" i="1"/>
  <c r="P86" i="1"/>
  <c r="Q86" i="1"/>
  <c r="R86" i="1"/>
  <c r="P87" i="1"/>
  <c r="Q87" i="1"/>
  <c r="R87" i="1"/>
  <c r="P88" i="1"/>
  <c r="Q88" i="1"/>
  <c r="R88" i="1"/>
  <c r="P89" i="1"/>
  <c r="Q89" i="1"/>
  <c r="R89" i="1"/>
  <c r="P90" i="1"/>
  <c r="Q90" i="1"/>
  <c r="R90" i="1"/>
  <c r="P91" i="1"/>
  <c r="Q91" i="1"/>
  <c r="R91" i="1"/>
  <c r="P92" i="1"/>
  <c r="Q92" i="1"/>
  <c r="R92" i="1"/>
  <c r="P93" i="1"/>
  <c r="Q93" i="1"/>
  <c r="R93" i="1"/>
  <c r="P94" i="1"/>
  <c r="Q94" i="1"/>
  <c r="R94" i="1"/>
  <c r="P95" i="1"/>
  <c r="Q95" i="1"/>
  <c r="R95" i="1"/>
  <c r="P96" i="1"/>
  <c r="Q96" i="1"/>
  <c r="R96" i="1"/>
  <c r="P97" i="1"/>
  <c r="Q97" i="1"/>
  <c r="R97" i="1"/>
  <c r="P98" i="1"/>
  <c r="Q98" i="1"/>
  <c r="R98" i="1"/>
  <c r="P99" i="1"/>
  <c r="Q99" i="1"/>
  <c r="R99" i="1"/>
  <c r="P100" i="1"/>
  <c r="Q100" i="1"/>
  <c r="R100" i="1"/>
  <c r="P101" i="1"/>
  <c r="Q101" i="1"/>
  <c r="R101" i="1"/>
  <c r="P102" i="1"/>
  <c r="Q102" i="1"/>
  <c r="R102" i="1"/>
  <c r="P103" i="1"/>
  <c r="Q103" i="1"/>
  <c r="R103" i="1"/>
  <c r="P104" i="1"/>
  <c r="Q104" i="1"/>
  <c r="R104" i="1"/>
  <c r="P105" i="1"/>
  <c r="Q105" i="1"/>
  <c r="R105" i="1"/>
  <c r="P106" i="1"/>
  <c r="Q106" i="1"/>
  <c r="R106" i="1"/>
  <c r="P107" i="1"/>
  <c r="Q107" i="1"/>
  <c r="R107" i="1"/>
  <c r="P108" i="1"/>
  <c r="Q108" i="1"/>
  <c r="R108" i="1"/>
  <c r="P109" i="1"/>
  <c r="Q109" i="1"/>
  <c r="R109" i="1"/>
  <c r="P110" i="1"/>
  <c r="Q110" i="1"/>
  <c r="R110" i="1"/>
  <c r="P111" i="1"/>
  <c r="Q111" i="1"/>
  <c r="R111" i="1"/>
  <c r="P112" i="1"/>
  <c r="Q112" i="1"/>
  <c r="R112" i="1"/>
  <c r="P113" i="1"/>
  <c r="Q113" i="1"/>
  <c r="R113" i="1"/>
  <c r="P114" i="1"/>
  <c r="Q114" i="1"/>
  <c r="R114" i="1"/>
  <c r="P115" i="1"/>
  <c r="Q115" i="1"/>
  <c r="R115" i="1"/>
  <c r="P116" i="1"/>
  <c r="Q116" i="1"/>
  <c r="R116" i="1"/>
  <c r="P117" i="1"/>
  <c r="Q117" i="1"/>
  <c r="R117" i="1"/>
  <c r="P118" i="1"/>
  <c r="Q118" i="1"/>
  <c r="R118" i="1"/>
  <c r="P119" i="1"/>
  <c r="Q119" i="1"/>
  <c r="R119" i="1"/>
  <c r="P120" i="1"/>
  <c r="Q120" i="1"/>
  <c r="R120" i="1"/>
  <c r="P121" i="1"/>
  <c r="Q121" i="1"/>
  <c r="R121" i="1"/>
  <c r="P122" i="1"/>
  <c r="Q122" i="1"/>
  <c r="R122" i="1"/>
  <c r="P123" i="1"/>
  <c r="Q123" i="1"/>
  <c r="R123" i="1"/>
  <c r="P124" i="1"/>
  <c r="Q124" i="1"/>
  <c r="R124" i="1"/>
  <c r="P125" i="1"/>
  <c r="Q125" i="1"/>
  <c r="R125" i="1"/>
  <c r="P126" i="1"/>
  <c r="Q126" i="1"/>
  <c r="R126" i="1"/>
  <c r="P127" i="1"/>
  <c r="Q127" i="1"/>
  <c r="R127" i="1"/>
  <c r="P128" i="1"/>
  <c r="Q128" i="1"/>
  <c r="R128" i="1"/>
  <c r="P129" i="1"/>
  <c r="Q129" i="1"/>
  <c r="R129" i="1"/>
  <c r="P130" i="1"/>
  <c r="Q130" i="1"/>
  <c r="R130" i="1"/>
  <c r="P131" i="1"/>
  <c r="Q131" i="1"/>
  <c r="R131" i="1"/>
  <c r="P132" i="1"/>
  <c r="Q132" i="1"/>
  <c r="R132" i="1"/>
  <c r="P133" i="1"/>
  <c r="Q133" i="1"/>
  <c r="R133" i="1"/>
  <c r="P134" i="1"/>
  <c r="Q134" i="1"/>
  <c r="R134" i="1"/>
  <c r="P135" i="1"/>
  <c r="Q135" i="1"/>
  <c r="R135" i="1"/>
  <c r="P136" i="1"/>
  <c r="Q136" i="1"/>
  <c r="R136" i="1"/>
  <c r="P137" i="1"/>
  <c r="Q137" i="1"/>
  <c r="R137" i="1"/>
  <c r="P138" i="1"/>
  <c r="Q138" i="1"/>
  <c r="R138" i="1"/>
  <c r="P139" i="1"/>
  <c r="Q139" i="1"/>
  <c r="R139" i="1"/>
  <c r="P140" i="1"/>
  <c r="Q140" i="1"/>
  <c r="R140" i="1"/>
  <c r="P141" i="1"/>
  <c r="Q141" i="1"/>
  <c r="R141" i="1"/>
  <c r="P142" i="1"/>
  <c r="Q142" i="1"/>
  <c r="R142" i="1"/>
  <c r="P143" i="1"/>
  <c r="Q143" i="1"/>
  <c r="R143" i="1"/>
  <c r="P144" i="1"/>
  <c r="Q144" i="1"/>
  <c r="R144" i="1"/>
  <c r="P145" i="1"/>
  <c r="Q145" i="1"/>
  <c r="R145" i="1"/>
  <c r="P146" i="1"/>
  <c r="Q146" i="1"/>
  <c r="R146" i="1"/>
  <c r="P147" i="1"/>
  <c r="Q147" i="1"/>
  <c r="R147" i="1"/>
  <c r="P148" i="1"/>
  <c r="Q148" i="1"/>
  <c r="R148" i="1"/>
  <c r="P149" i="1"/>
  <c r="Q149" i="1"/>
  <c r="R149" i="1"/>
  <c r="P150" i="1"/>
  <c r="Q150" i="1"/>
  <c r="R150" i="1"/>
  <c r="P151" i="1"/>
  <c r="Q151" i="1"/>
  <c r="R151" i="1"/>
  <c r="P152" i="1"/>
  <c r="Q152" i="1"/>
  <c r="R152" i="1"/>
  <c r="P153" i="1"/>
  <c r="Q153" i="1"/>
  <c r="R153" i="1"/>
  <c r="P154" i="1"/>
  <c r="Q154" i="1"/>
  <c r="R154" i="1"/>
  <c r="P155" i="1"/>
  <c r="Q155" i="1"/>
  <c r="R155" i="1"/>
  <c r="P156" i="1"/>
  <c r="Q156" i="1"/>
  <c r="R156" i="1"/>
  <c r="P157" i="1"/>
  <c r="Q157" i="1"/>
  <c r="R157" i="1"/>
  <c r="P158" i="1"/>
  <c r="Q158" i="1"/>
  <c r="R158" i="1"/>
  <c r="P159" i="1"/>
  <c r="Q159" i="1"/>
  <c r="R159" i="1"/>
  <c r="P160" i="1"/>
  <c r="Q160" i="1"/>
  <c r="R160" i="1"/>
  <c r="P161" i="1"/>
  <c r="Q161" i="1"/>
  <c r="R161" i="1"/>
  <c r="P162" i="1"/>
  <c r="Q162" i="1"/>
  <c r="R162" i="1"/>
  <c r="P163" i="1"/>
  <c r="Q163" i="1"/>
  <c r="R163" i="1"/>
  <c r="P164" i="1"/>
  <c r="Q164" i="1"/>
  <c r="R164" i="1"/>
  <c r="P165" i="1"/>
  <c r="Q165" i="1"/>
  <c r="R165" i="1"/>
  <c r="P166" i="1"/>
  <c r="Q166" i="1"/>
  <c r="R166" i="1"/>
  <c r="P167" i="1"/>
  <c r="Q167" i="1"/>
  <c r="R167" i="1"/>
  <c r="P168" i="1"/>
  <c r="Q168" i="1"/>
  <c r="R168" i="1"/>
  <c r="P169" i="1"/>
  <c r="Q169" i="1"/>
  <c r="R169" i="1"/>
  <c r="P170" i="1"/>
  <c r="Q170" i="1"/>
  <c r="R170" i="1"/>
  <c r="P171" i="1"/>
  <c r="Q171" i="1"/>
  <c r="R171" i="1"/>
  <c r="P172" i="1"/>
  <c r="Q172" i="1"/>
  <c r="R172" i="1"/>
  <c r="P173" i="1"/>
  <c r="Q173" i="1"/>
  <c r="R173" i="1"/>
  <c r="P174" i="1"/>
  <c r="Q174" i="1"/>
  <c r="R174" i="1"/>
  <c r="P175" i="1"/>
  <c r="Q175" i="1"/>
  <c r="R175" i="1"/>
  <c r="P176" i="1"/>
  <c r="Q176" i="1"/>
  <c r="R176" i="1"/>
  <c r="P177" i="1"/>
  <c r="Q177" i="1"/>
  <c r="R177" i="1"/>
  <c r="P178" i="1"/>
  <c r="Q178" i="1"/>
  <c r="R178" i="1"/>
  <c r="P179" i="1"/>
  <c r="Q179" i="1"/>
  <c r="R179" i="1"/>
  <c r="P180" i="1"/>
  <c r="Q180" i="1"/>
  <c r="R180" i="1"/>
  <c r="P181" i="1"/>
  <c r="Q181" i="1"/>
  <c r="R181" i="1"/>
  <c r="P182" i="1"/>
  <c r="Q182" i="1"/>
  <c r="R182" i="1"/>
  <c r="P183" i="1"/>
  <c r="Q183" i="1"/>
  <c r="R183" i="1"/>
  <c r="P184" i="1"/>
  <c r="Q184" i="1"/>
  <c r="R184" i="1"/>
  <c r="P185" i="1"/>
  <c r="Q185" i="1"/>
  <c r="R185" i="1"/>
  <c r="P186" i="1"/>
  <c r="Q186" i="1"/>
  <c r="R186" i="1"/>
  <c r="P187" i="1"/>
  <c r="Q187" i="1"/>
  <c r="R187" i="1"/>
  <c r="P188" i="1"/>
  <c r="Q188" i="1"/>
  <c r="R188" i="1"/>
  <c r="P189" i="1"/>
  <c r="Q189" i="1"/>
  <c r="R189" i="1"/>
  <c r="P190" i="1"/>
  <c r="Q190" i="1"/>
  <c r="R190" i="1"/>
  <c r="P191" i="1"/>
  <c r="Q191" i="1"/>
  <c r="R191" i="1"/>
  <c r="P192" i="1"/>
  <c r="Q192" i="1"/>
  <c r="R192" i="1"/>
  <c r="P193" i="1"/>
  <c r="Q193" i="1"/>
  <c r="R193" i="1"/>
  <c r="P194" i="1"/>
  <c r="Q194" i="1"/>
  <c r="R194" i="1"/>
  <c r="P195" i="1"/>
  <c r="Q195" i="1"/>
  <c r="R195" i="1"/>
  <c r="P196" i="1"/>
  <c r="Q196" i="1"/>
  <c r="R196" i="1"/>
  <c r="P197" i="1"/>
  <c r="Q197" i="1"/>
  <c r="R197" i="1"/>
  <c r="P198" i="1"/>
  <c r="Q198" i="1"/>
  <c r="R198" i="1"/>
  <c r="P199" i="1"/>
  <c r="Q199" i="1"/>
  <c r="R199" i="1"/>
  <c r="P200" i="1"/>
  <c r="Q200" i="1"/>
  <c r="R200" i="1"/>
  <c r="P201" i="1"/>
  <c r="Q201" i="1"/>
  <c r="R201" i="1"/>
  <c r="P202" i="1"/>
  <c r="Q202" i="1"/>
  <c r="R202" i="1"/>
  <c r="P203" i="1"/>
  <c r="Q203" i="1"/>
  <c r="R203" i="1"/>
  <c r="P204" i="1"/>
  <c r="Q204" i="1"/>
  <c r="R204" i="1"/>
  <c r="P205" i="1"/>
  <c r="Q205" i="1"/>
  <c r="R205" i="1"/>
  <c r="P206" i="1"/>
  <c r="Q206" i="1"/>
  <c r="R206" i="1"/>
  <c r="P207" i="1"/>
  <c r="Q207" i="1"/>
  <c r="R207" i="1"/>
  <c r="P208" i="1"/>
  <c r="Q208" i="1"/>
  <c r="R208" i="1"/>
  <c r="P209" i="1"/>
  <c r="Q209" i="1"/>
  <c r="R209" i="1"/>
  <c r="P210" i="1"/>
  <c r="Q210" i="1"/>
  <c r="R210" i="1"/>
  <c r="P211" i="1"/>
  <c r="Q211" i="1"/>
  <c r="R211" i="1"/>
  <c r="P212" i="1"/>
  <c r="Q212" i="1"/>
  <c r="R212" i="1"/>
  <c r="P213" i="1"/>
  <c r="Q213" i="1"/>
  <c r="R213" i="1"/>
  <c r="P214" i="1"/>
  <c r="Q214" i="1"/>
  <c r="R214" i="1"/>
  <c r="P215" i="1"/>
  <c r="Q215" i="1"/>
  <c r="R215" i="1"/>
  <c r="P216" i="1"/>
  <c r="Q216" i="1"/>
  <c r="R216" i="1"/>
  <c r="P217" i="1"/>
  <c r="Q217" i="1"/>
  <c r="R217" i="1"/>
  <c r="P218" i="1"/>
  <c r="Q218" i="1"/>
  <c r="R218" i="1"/>
  <c r="P219" i="1"/>
  <c r="Q219" i="1"/>
  <c r="R219" i="1"/>
  <c r="P220" i="1"/>
  <c r="Q220" i="1"/>
  <c r="R220" i="1"/>
  <c r="P221" i="1"/>
  <c r="Q221" i="1"/>
  <c r="R221" i="1"/>
  <c r="P222" i="1"/>
  <c r="Q222" i="1"/>
  <c r="R222" i="1"/>
  <c r="P223" i="1"/>
  <c r="Q223" i="1"/>
  <c r="R223" i="1"/>
  <c r="P224" i="1"/>
  <c r="Q224" i="1"/>
  <c r="R224" i="1"/>
  <c r="P225" i="1"/>
  <c r="Q225" i="1"/>
  <c r="R225" i="1"/>
  <c r="P226" i="1"/>
  <c r="Q226" i="1"/>
  <c r="R226" i="1"/>
  <c r="P227" i="1"/>
  <c r="Q227" i="1"/>
  <c r="R227" i="1"/>
  <c r="P228" i="1"/>
  <c r="Q228" i="1"/>
  <c r="R228" i="1"/>
  <c r="P229" i="1"/>
  <c r="Q229" i="1"/>
  <c r="R229" i="1"/>
  <c r="P230" i="1"/>
  <c r="Q230" i="1"/>
  <c r="R230" i="1"/>
  <c r="P231" i="1"/>
  <c r="Q231" i="1"/>
  <c r="R231" i="1"/>
  <c r="P232" i="1"/>
  <c r="Q232" i="1"/>
  <c r="R232" i="1"/>
  <c r="P233" i="1"/>
  <c r="Q233" i="1"/>
  <c r="R233" i="1"/>
  <c r="P234" i="1"/>
  <c r="Q234" i="1"/>
  <c r="R234" i="1"/>
  <c r="P235" i="1"/>
  <c r="Q235" i="1"/>
  <c r="R235" i="1"/>
  <c r="P236" i="1"/>
  <c r="Q236" i="1"/>
  <c r="R236" i="1"/>
  <c r="P237" i="1"/>
  <c r="Q237" i="1"/>
  <c r="R237" i="1"/>
  <c r="P238" i="1"/>
  <c r="Q238" i="1"/>
  <c r="R238" i="1"/>
  <c r="P239" i="1"/>
  <c r="Q239" i="1"/>
  <c r="R239" i="1"/>
  <c r="P240" i="1"/>
  <c r="Q240" i="1"/>
  <c r="R240" i="1"/>
  <c r="P241" i="1"/>
  <c r="Q241" i="1"/>
  <c r="R241" i="1"/>
  <c r="P242" i="1"/>
  <c r="Q242" i="1"/>
  <c r="R242" i="1"/>
  <c r="P243" i="1"/>
  <c r="Q243" i="1"/>
  <c r="R243" i="1"/>
  <c r="P244" i="1"/>
  <c r="Q244" i="1"/>
  <c r="R244" i="1"/>
  <c r="P245" i="1"/>
  <c r="Q245" i="1"/>
  <c r="R245" i="1"/>
  <c r="P246" i="1"/>
  <c r="Q246" i="1"/>
  <c r="R246" i="1"/>
  <c r="P247" i="1"/>
  <c r="Q247" i="1"/>
  <c r="R247" i="1"/>
  <c r="P248" i="1"/>
  <c r="Q248" i="1"/>
  <c r="R248" i="1"/>
  <c r="P249" i="1"/>
  <c r="Q249" i="1"/>
  <c r="R249" i="1"/>
  <c r="P250" i="1"/>
  <c r="Q250" i="1"/>
  <c r="R250" i="1"/>
  <c r="P251" i="1"/>
  <c r="Q251" i="1"/>
  <c r="R251" i="1"/>
  <c r="P252" i="1"/>
  <c r="Q252" i="1"/>
  <c r="R252" i="1"/>
  <c r="P253" i="1"/>
  <c r="Q253" i="1"/>
  <c r="R253" i="1"/>
  <c r="P254" i="1"/>
  <c r="Q254" i="1"/>
  <c r="R254" i="1"/>
  <c r="P255" i="1"/>
  <c r="Q255" i="1"/>
  <c r="R255" i="1"/>
  <c r="P256" i="1"/>
  <c r="Q256" i="1"/>
  <c r="R256" i="1"/>
  <c r="P257" i="1"/>
  <c r="Q257" i="1"/>
  <c r="R257" i="1"/>
  <c r="P258" i="1"/>
  <c r="Q258" i="1"/>
  <c r="R258" i="1"/>
  <c r="P259" i="1"/>
  <c r="Q259" i="1"/>
  <c r="R259" i="1"/>
  <c r="P260" i="1"/>
  <c r="Q260" i="1"/>
  <c r="R260" i="1"/>
  <c r="P261" i="1"/>
  <c r="Q261" i="1"/>
  <c r="R261" i="1"/>
  <c r="P262" i="1"/>
  <c r="Q262" i="1"/>
  <c r="R262" i="1"/>
  <c r="P263" i="1"/>
  <c r="Q263" i="1"/>
  <c r="R263" i="1"/>
  <c r="P264" i="1"/>
  <c r="Q264" i="1"/>
  <c r="R264" i="1"/>
  <c r="P265" i="1"/>
  <c r="Q265" i="1"/>
  <c r="R265" i="1"/>
  <c r="P266" i="1"/>
  <c r="Q266" i="1"/>
  <c r="R266" i="1"/>
  <c r="P267" i="1"/>
  <c r="Q267" i="1"/>
  <c r="R267" i="1"/>
  <c r="P268" i="1"/>
  <c r="Q268" i="1"/>
  <c r="R268" i="1"/>
  <c r="P269" i="1"/>
  <c r="Q269" i="1"/>
  <c r="R269" i="1"/>
  <c r="P270" i="1"/>
  <c r="Q270" i="1"/>
  <c r="R270" i="1"/>
  <c r="P271" i="1"/>
  <c r="Q271" i="1"/>
  <c r="R271" i="1"/>
  <c r="P272" i="1"/>
  <c r="Q272" i="1"/>
  <c r="R272" i="1"/>
  <c r="P273" i="1"/>
  <c r="Q273" i="1"/>
  <c r="R273" i="1"/>
  <c r="P274" i="1"/>
  <c r="Q274" i="1"/>
  <c r="R274" i="1"/>
  <c r="P275" i="1"/>
  <c r="Q275" i="1"/>
  <c r="R275" i="1"/>
  <c r="P276" i="1"/>
  <c r="Q276" i="1"/>
  <c r="R276" i="1"/>
  <c r="P277" i="1"/>
  <c r="Q277" i="1"/>
  <c r="R277" i="1"/>
  <c r="P278" i="1"/>
  <c r="Q278" i="1"/>
  <c r="R278" i="1"/>
  <c r="P279" i="1"/>
  <c r="Q279" i="1"/>
  <c r="R279" i="1"/>
  <c r="P280" i="1"/>
  <c r="Q280" i="1"/>
  <c r="R280" i="1"/>
  <c r="P281" i="1"/>
  <c r="Q281" i="1"/>
  <c r="R281" i="1"/>
  <c r="P282" i="1"/>
  <c r="Q282" i="1"/>
  <c r="R282" i="1"/>
  <c r="P283" i="1"/>
  <c r="Q283" i="1"/>
  <c r="R283" i="1"/>
  <c r="P284" i="1"/>
  <c r="Q284" i="1"/>
  <c r="R284" i="1"/>
  <c r="P285" i="1"/>
  <c r="Q285" i="1"/>
  <c r="R285" i="1"/>
  <c r="P286" i="1"/>
  <c r="Q286" i="1"/>
  <c r="R286" i="1"/>
  <c r="P287" i="1"/>
  <c r="Q287" i="1"/>
  <c r="R287" i="1"/>
  <c r="P288" i="1"/>
  <c r="Q288" i="1"/>
  <c r="R288" i="1"/>
  <c r="P289" i="1"/>
  <c r="Q289" i="1"/>
  <c r="R289" i="1"/>
  <c r="P290" i="1"/>
  <c r="Q290" i="1"/>
  <c r="R290" i="1"/>
  <c r="P291" i="1"/>
  <c r="Q291" i="1"/>
  <c r="R291" i="1"/>
  <c r="P292" i="1"/>
  <c r="Q292" i="1"/>
  <c r="R292" i="1"/>
  <c r="P293" i="1"/>
  <c r="Q293" i="1"/>
  <c r="R293" i="1"/>
  <c r="P294" i="1"/>
  <c r="Q294" i="1"/>
  <c r="R294" i="1"/>
  <c r="P295" i="1"/>
  <c r="Q295" i="1"/>
  <c r="R295" i="1"/>
  <c r="P296" i="1"/>
  <c r="Q296" i="1"/>
  <c r="R296" i="1"/>
  <c r="P297" i="1"/>
  <c r="Q297" i="1"/>
  <c r="R297" i="1"/>
  <c r="P298" i="1"/>
  <c r="Q298" i="1"/>
  <c r="R298" i="1"/>
  <c r="P299" i="1"/>
  <c r="Q299" i="1"/>
  <c r="R299" i="1"/>
  <c r="P300" i="1"/>
  <c r="Q300" i="1"/>
  <c r="R300" i="1"/>
  <c r="P301" i="1"/>
  <c r="Q301" i="1"/>
  <c r="R301" i="1"/>
  <c r="P302" i="1"/>
  <c r="Q302" i="1"/>
  <c r="R302" i="1"/>
  <c r="P303" i="1"/>
  <c r="Q303" i="1"/>
  <c r="R303" i="1"/>
  <c r="P304" i="1"/>
  <c r="Q304" i="1"/>
  <c r="R304" i="1"/>
  <c r="P305" i="1"/>
  <c r="Q305" i="1"/>
  <c r="R305" i="1"/>
  <c r="P306" i="1"/>
  <c r="Q306" i="1"/>
  <c r="R306" i="1"/>
  <c r="P307" i="1"/>
  <c r="Q307" i="1"/>
  <c r="R307" i="1"/>
  <c r="P308" i="1"/>
  <c r="Q308" i="1"/>
  <c r="R308" i="1"/>
  <c r="P309" i="1"/>
  <c r="Q309" i="1"/>
  <c r="R309" i="1"/>
  <c r="P310" i="1"/>
  <c r="Q310" i="1"/>
  <c r="R310" i="1"/>
  <c r="P311" i="1"/>
  <c r="Q311" i="1"/>
  <c r="R311" i="1"/>
  <c r="P312" i="1"/>
  <c r="Q312" i="1"/>
  <c r="R312" i="1"/>
  <c r="P313" i="1"/>
  <c r="Q313" i="1"/>
  <c r="R313" i="1"/>
  <c r="P314" i="1"/>
  <c r="Q314" i="1"/>
  <c r="R314" i="1"/>
  <c r="P315" i="1"/>
  <c r="Q315" i="1"/>
  <c r="R315" i="1"/>
  <c r="P316" i="1"/>
  <c r="Q316" i="1"/>
  <c r="R316" i="1"/>
  <c r="P317" i="1"/>
  <c r="Q317" i="1"/>
  <c r="R317" i="1"/>
  <c r="P318" i="1"/>
  <c r="Q318" i="1"/>
  <c r="R318" i="1"/>
  <c r="P319" i="1"/>
  <c r="Q319" i="1"/>
  <c r="R319" i="1"/>
  <c r="P320" i="1"/>
  <c r="Q320" i="1"/>
  <c r="R320" i="1"/>
  <c r="P321" i="1"/>
  <c r="Q321" i="1"/>
  <c r="R321" i="1"/>
  <c r="P322" i="1"/>
  <c r="Q322" i="1"/>
  <c r="R322" i="1"/>
  <c r="P323" i="1"/>
  <c r="Q323" i="1"/>
  <c r="R323" i="1"/>
  <c r="P324" i="1"/>
  <c r="Q324" i="1"/>
  <c r="R324" i="1"/>
  <c r="P325" i="1"/>
  <c r="Q325" i="1"/>
  <c r="R325" i="1"/>
  <c r="P326" i="1"/>
  <c r="Q326" i="1"/>
  <c r="R326" i="1"/>
  <c r="P327" i="1"/>
  <c r="Q327" i="1"/>
  <c r="R327" i="1"/>
  <c r="P328" i="1"/>
  <c r="Q328" i="1"/>
  <c r="R328" i="1"/>
  <c r="P329" i="1"/>
  <c r="Q329" i="1"/>
  <c r="R329" i="1"/>
  <c r="P330" i="1"/>
  <c r="Q330" i="1"/>
  <c r="R330" i="1"/>
  <c r="P331" i="1"/>
  <c r="Q331" i="1"/>
  <c r="R331" i="1"/>
  <c r="P332" i="1"/>
  <c r="Q332" i="1"/>
  <c r="R332" i="1"/>
  <c r="R2" i="1"/>
  <c r="Q2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2" i="1"/>
</calcChain>
</file>

<file path=xl/sharedStrings.xml><?xml version="1.0" encoding="utf-8"?>
<sst xmlns="http://schemas.openxmlformats.org/spreadsheetml/2006/main" count="21" uniqueCount="13">
  <si>
    <t>date_base</t>
  </si>
  <si>
    <t>date_pred</t>
  </si>
  <si>
    <t>index_pred</t>
  </si>
  <si>
    <t>index_real</t>
  </si>
  <si>
    <t>index_today</t>
  </si>
  <si>
    <t>loss_profits</t>
  </si>
  <si>
    <t>prediction</t>
  </si>
  <si>
    <t>real</t>
  </si>
  <si>
    <t>accuracy</t>
  </si>
  <si>
    <t xml:space="preserve"> RMSE</t>
  </si>
  <si>
    <t>CNN</t>
    <phoneticPr fontId="18" type="noConversion"/>
  </si>
  <si>
    <t>LSTM</t>
    <phoneticPr fontId="18" type="noConversion"/>
  </si>
  <si>
    <t>CNN+LSTM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</si>
</sst>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3"/>
  <sheetViews>
    <sheetView tabSelected="1" workbookViewId="0">
      <selection activeCell="N329" sqref="N329"/>
    </sheetView>
  </sheetViews>
  <sheetFormatPr defaultRowHeight="16.5" x14ac:dyDescent="0.3"/>
  <cols>
    <col min="1" max="2" width="10.75" customWidth="1"/>
    <col min="10" max="10" width="10.75" customWidth="1"/>
    <col min="25" max="25" width="8.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3</v>
      </c>
      <c r="L1" t="s">
        <v>11</v>
      </c>
      <c r="M1" t="s">
        <v>10</v>
      </c>
      <c r="N1" t="s">
        <v>12</v>
      </c>
      <c r="P1" t="s">
        <v>11</v>
      </c>
      <c r="Q1" t="s">
        <v>10</v>
      </c>
      <c r="R1" t="s">
        <v>12</v>
      </c>
      <c r="T1" t="s">
        <v>11</v>
      </c>
      <c r="U1" t="s">
        <v>10</v>
      </c>
      <c r="V1" t="s">
        <v>12</v>
      </c>
    </row>
    <row r="2" spans="1:22" x14ac:dyDescent="0.3">
      <c r="A2" s="1">
        <v>42734</v>
      </c>
      <c r="B2" s="1">
        <v>42825</v>
      </c>
      <c r="C2">
        <v>276.39799919128399</v>
      </c>
      <c r="D2">
        <v>281.60000076293898</v>
      </c>
      <c r="E2">
        <v>260.14999999999998</v>
      </c>
      <c r="F2">
        <v>21.4500007629394</v>
      </c>
      <c r="G2">
        <v>16.247999191284102</v>
      </c>
      <c r="H2">
        <v>21.4500007629394</v>
      </c>
      <c r="J2" s="1">
        <v>42734</v>
      </c>
      <c r="K2">
        <v>281.60000076293898</v>
      </c>
      <c r="L2">
        <v>276.39799919128399</v>
      </c>
      <c r="M2">
        <v>261.44773926734922</v>
      </c>
      <c r="N2">
        <f>AVERAGE(L2:M2)</f>
        <v>268.92286922931658</v>
      </c>
      <c r="P2">
        <f>IF((E2-K2)*(E2-L2)&gt;0,1,0)</f>
        <v>1</v>
      </c>
      <c r="Q2">
        <f>IF((E2-K2)*(E2-M2)&gt;0,1,0)</f>
        <v>1</v>
      </c>
      <c r="R2">
        <f>IF((E2-K2)*(E2-N2)&gt;0,1,0)</f>
        <v>1</v>
      </c>
      <c r="T2">
        <f>POWER(K2-L2,2)</f>
        <v>27.060820351500979</v>
      </c>
      <c r="U2">
        <f>POWER(K2-M2,2)</f>
        <v>406.11364338662946</v>
      </c>
      <c r="V2">
        <f>POWER(K2-N2,2)</f>
        <v>160.70966392076343</v>
      </c>
    </row>
    <row r="3" spans="1:22" x14ac:dyDescent="0.3">
      <c r="A3" s="1">
        <v>42737</v>
      </c>
      <c r="B3" s="1">
        <v>42828</v>
      </c>
      <c r="C3">
        <v>272.23067646026601</v>
      </c>
      <c r="D3">
        <v>281.900000381469</v>
      </c>
      <c r="E3">
        <v>261.3</v>
      </c>
      <c r="F3">
        <v>20.600000381469702</v>
      </c>
      <c r="G3">
        <v>10.930676460266101</v>
      </c>
      <c r="H3">
        <v>20.600000381469702</v>
      </c>
      <c r="J3" s="1">
        <v>42737</v>
      </c>
      <c r="K3">
        <v>281.900000381469</v>
      </c>
      <c r="L3">
        <v>272.23067646026601</v>
      </c>
      <c r="M3">
        <v>260.62117301225663</v>
      </c>
      <c r="N3">
        <f t="shared" ref="N3:N66" si="0">AVERAGE(L3:M3)</f>
        <v>266.42592473626132</v>
      </c>
      <c r="P3">
        <f t="shared" ref="P3:P66" si="1">IF((E3-K3)*(E3-L3)&gt;0,1,0)</f>
        <v>1</v>
      </c>
      <c r="Q3">
        <f t="shared" ref="Q3:Q66" si="2">IF((E3-K3)*(E3-M3)&gt;0,1,0)</f>
        <v>0</v>
      </c>
      <c r="R3">
        <f t="shared" ref="R3:R66" si="3">IF((E3-K3)*(E3-N3)&gt;0,1,0)</f>
        <v>1</v>
      </c>
      <c r="T3">
        <f t="shared" ref="T3:T16" si="4">POWER(K3-L3,2)</f>
        <v>93.495825093148326</v>
      </c>
      <c r="U3">
        <f t="shared" ref="U3:U16" si="5">POWER(K3-M3,2)</f>
        <v>452.78849420874121</v>
      </c>
      <c r="V3">
        <f t="shared" ref="V3:V16" si="6">POWER(K3-N3,2)</f>
        <v>239.44701707360937</v>
      </c>
    </row>
    <row r="4" spans="1:22" x14ac:dyDescent="0.3">
      <c r="A4" s="1">
        <v>42738</v>
      </c>
      <c r="B4" s="1">
        <v>42829</v>
      </c>
      <c r="C4">
        <v>273.19194393157898</v>
      </c>
      <c r="D4">
        <v>281.34999923705999</v>
      </c>
      <c r="E4">
        <v>263.3</v>
      </c>
      <c r="F4">
        <v>18.049999237060501</v>
      </c>
      <c r="G4">
        <v>9.8919439315795898</v>
      </c>
      <c r="H4">
        <v>18.049999237060501</v>
      </c>
      <c r="J4" s="1">
        <v>42738</v>
      </c>
      <c r="K4">
        <v>281.34999923705999</v>
      </c>
      <c r="L4">
        <v>273.19194393157898</v>
      </c>
      <c r="M4">
        <v>264.20894943475724</v>
      </c>
      <c r="N4">
        <f t="shared" si="0"/>
        <v>268.70044668316814</v>
      </c>
      <c r="P4">
        <f t="shared" si="1"/>
        <v>1</v>
      </c>
      <c r="Q4">
        <f t="shared" si="2"/>
        <v>1</v>
      </c>
      <c r="R4">
        <f t="shared" si="3"/>
        <v>1</v>
      </c>
      <c r="T4">
        <f t="shared" si="4"/>
        <v>66.553866367286915</v>
      </c>
      <c r="U4">
        <f t="shared" si="5"/>
        <v>293.81558832502299</v>
      </c>
      <c r="V4">
        <f t="shared" si="6"/>
        <v>160.01117981367187</v>
      </c>
    </row>
    <row r="5" spans="1:22" x14ac:dyDescent="0.3">
      <c r="A5" s="1">
        <v>42739</v>
      </c>
      <c r="B5" s="1">
        <v>42830</v>
      </c>
      <c r="C5">
        <v>267.75779743194499</v>
      </c>
      <c r="D5">
        <v>280.84999961852998</v>
      </c>
      <c r="E5">
        <v>263.45</v>
      </c>
      <c r="F5">
        <v>17.399999618530199</v>
      </c>
      <c r="G5">
        <v>4.3077974319457999</v>
      </c>
      <c r="H5">
        <v>17.399999618530199</v>
      </c>
      <c r="J5" s="1">
        <v>42739</v>
      </c>
      <c r="K5">
        <v>280.84999961852998</v>
      </c>
      <c r="L5">
        <v>267.75779743194499</v>
      </c>
      <c r="M5">
        <v>262.63055897951125</v>
      </c>
      <c r="N5">
        <f t="shared" si="0"/>
        <v>265.19417820572812</v>
      </c>
      <c r="P5">
        <f t="shared" si="1"/>
        <v>1</v>
      </c>
      <c r="Q5">
        <f t="shared" si="2"/>
        <v>0</v>
      </c>
      <c r="R5">
        <f t="shared" si="3"/>
        <v>1</v>
      </c>
      <c r="T5">
        <f t="shared" si="4"/>
        <v>171.40575809442063</v>
      </c>
      <c r="U5">
        <f t="shared" si="5"/>
        <v>331.94801719872714</v>
      </c>
      <c r="V5">
        <f t="shared" si="6"/>
        <v>245.10474410954512</v>
      </c>
    </row>
    <row r="6" spans="1:22" x14ac:dyDescent="0.3">
      <c r="A6" s="1">
        <v>42740</v>
      </c>
      <c r="B6" s="1">
        <v>42831</v>
      </c>
      <c r="C6">
        <v>268.670672893524</v>
      </c>
      <c r="D6">
        <v>279.89999961852999</v>
      </c>
      <c r="E6">
        <v>262.75</v>
      </c>
      <c r="F6">
        <v>17.149999618530199</v>
      </c>
      <c r="G6">
        <v>5.9206728935241699</v>
      </c>
      <c r="H6">
        <v>17.149999618530199</v>
      </c>
      <c r="J6" s="1">
        <v>42740</v>
      </c>
      <c r="K6">
        <v>279.89999961852999</v>
      </c>
      <c r="L6">
        <v>268.670672893524</v>
      </c>
      <c r="M6">
        <v>264.83748579025269</v>
      </c>
      <c r="N6">
        <f t="shared" si="0"/>
        <v>266.75407934188831</v>
      </c>
      <c r="P6">
        <f t="shared" si="1"/>
        <v>1</v>
      </c>
      <c r="Q6">
        <f t="shared" si="2"/>
        <v>1</v>
      </c>
      <c r="R6">
        <f t="shared" si="3"/>
        <v>1</v>
      </c>
      <c r="T6">
        <f t="shared" si="4"/>
        <v>126.09777869693374</v>
      </c>
      <c r="U6">
        <f t="shared" si="5"/>
        <v>226.879322827045</v>
      </c>
      <c r="V6">
        <f t="shared" si="6"/>
        <v>172.81521991981873</v>
      </c>
    </row>
    <row r="7" spans="1:22" x14ac:dyDescent="0.3">
      <c r="A7" s="1">
        <v>42741</v>
      </c>
      <c r="B7" s="1">
        <v>42832</v>
      </c>
      <c r="C7">
        <v>267.281457662582</v>
      </c>
      <c r="D7">
        <v>279.25</v>
      </c>
      <c r="E7">
        <v>263.75</v>
      </c>
      <c r="F7">
        <v>15.5</v>
      </c>
      <c r="G7">
        <v>3.5314576625823899</v>
      </c>
      <c r="H7">
        <v>15.5</v>
      </c>
      <c r="J7" s="1">
        <v>42741</v>
      </c>
      <c r="K7">
        <v>279.25</v>
      </c>
      <c r="L7">
        <v>267.281457662582</v>
      </c>
      <c r="M7">
        <v>264.8700236082077</v>
      </c>
      <c r="N7">
        <f t="shared" si="0"/>
        <v>266.07574063539482</v>
      </c>
      <c r="P7">
        <f t="shared" si="1"/>
        <v>1</v>
      </c>
      <c r="Q7">
        <f t="shared" si="2"/>
        <v>1</v>
      </c>
      <c r="R7">
        <f t="shared" si="3"/>
        <v>1</v>
      </c>
      <c r="T7">
        <f t="shared" si="4"/>
        <v>143.24600568256713</v>
      </c>
      <c r="U7">
        <f t="shared" si="5"/>
        <v>206.78372102850381</v>
      </c>
      <c r="V7">
        <f t="shared" si="6"/>
        <v>173.56110980588721</v>
      </c>
    </row>
    <row r="8" spans="1:22" x14ac:dyDescent="0.3">
      <c r="A8" s="1">
        <v>42744</v>
      </c>
      <c r="B8" s="1">
        <v>42835</v>
      </c>
      <c r="C8">
        <v>266.69650998115497</v>
      </c>
      <c r="D8">
        <v>277.64999999999998</v>
      </c>
      <c r="E8">
        <v>264.14999999999998</v>
      </c>
      <c r="F8">
        <v>13.5</v>
      </c>
      <c r="G8">
        <v>2.5465099811553902</v>
      </c>
      <c r="H8">
        <v>13.5</v>
      </c>
      <c r="J8" s="1">
        <v>42744</v>
      </c>
      <c r="K8">
        <v>277.64999999999998</v>
      </c>
      <c r="L8">
        <v>266.69650998115497</v>
      </c>
      <c r="M8">
        <v>267.15556850433347</v>
      </c>
      <c r="N8">
        <f t="shared" si="0"/>
        <v>266.9260392427442</v>
      </c>
      <c r="P8">
        <f t="shared" si="1"/>
        <v>1</v>
      </c>
      <c r="Q8">
        <f t="shared" si="2"/>
        <v>1</v>
      </c>
      <c r="R8">
        <f t="shared" si="3"/>
        <v>1</v>
      </c>
      <c r="T8">
        <f t="shared" si="4"/>
        <v>119.97894359293709</v>
      </c>
      <c r="U8">
        <f t="shared" si="5"/>
        <v>110.13309241723709</v>
      </c>
      <c r="V8">
        <f t="shared" si="6"/>
        <v>115.00333432316199</v>
      </c>
    </row>
    <row r="9" spans="1:22" x14ac:dyDescent="0.3">
      <c r="A9" s="1">
        <v>42745</v>
      </c>
      <c r="B9" s="1">
        <v>42836</v>
      </c>
      <c r="C9">
        <v>272.23604831695502</v>
      </c>
      <c r="D9">
        <v>275.90000019073398</v>
      </c>
      <c r="E9">
        <v>264.10000000000002</v>
      </c>
      <c r="F9">
        <v>11.800000190734799</v>
      </c>
      <c r="G9">
        <v>8.1360483169555593</v>
      </c>
      <c r="H9">
        <v>11.800000190734799</v>
      </c>
      <c r="J9" s="1">
        <v>42745</v>
      </c>
      <c r="K9">
        <v>275.90000019073398</v>
      </c>
      <c r="L9">
        <v>272.23604831695502</v>
      </c>
      <c r="M9">
        <v>269.54951581954958</v>
      </c>
      <c r="N9">
        <f t="shared" si="0"/>
        <v>270.8927820682523</v>
      </c>
      <c r="P9">
        <f t="shared" si="1"/>
        <v>1</v>
      </c>
      <c r="Q9">
        <f t="shared" si="2"/>
        <v>1</v>
      </c>
      <c r="R9">
        <f t="shared" si="3"/>
        <v>1</v>
      </c>
      <c r="T9">
        <f t="shared" si="4"/>
        <v>13.424543333368321</v>
      </c>
      <c r="U9">
        <f t="shared" si="5"/>
        <v>40.328651748657236</v>
      </c>
      <c r="V9">
        <f t="shared" si="6"/>
        <v>25.072233326108904</v>
      </c>
    </row>
    <row r="10" spans="1:22" x14ac:dyDescent="0.3">
      <c r="A10" s="1">
        <v>42746</v>
      </c>
      <c r="B10" s="1">
        <v>42837</v>
      </c>
      <c r="C10">
        <v>272.89202442169102</v>
      </c>
      <c r="D10">
        <v>276.95000019073399</v>
      </c>
      <c r="E10">
        <v>269.14999999999998</v>
      </c>
      <c r="F10">
        <v>7.8000001907348597</v>
      </c>
      <c r="G10">
        <v>3.7420244216918901</v>
      </c>
      <c r="H10">
        <v>7.8000001907348597</v>
      </c>
      <c r="J10" s="1">
        <v>42746</v>
      </c>
      <c r="K10">
        <v>276.95000019073399</v>
      </c>
      <c r="L10">
        <v>272.89202442169102</v>
      </c>
      <c r="M10">
        <v>266.97171535491941</v>
      </c>
      <c r="N10">
        <f t="shared" si="0"/>
        <v>269.93186988830519</v>
      </c>
      <c r="P10">
        <f t="shared" si="1"/>
        <v>1</v>
      </c>
      <c r="Q10">
        <f t="shared" si="2"/>
        <v>0</v>
      </c>
      <c r="R10">
        <f t="shared" si="3"/>
        <v>1</v>
      </c>
      <c r="T10">
        <f t="shared" si="4"/>
        <v>16.467167342139874</v>
      </c>
      <c r="U10">
        <f t="shared" si="5"/>
        <v>99.566168264647146</v>
      </c>
      <c r="V10">
        <f t="shared" si="6"/>
        <v>49.254152941869378</v>
      </c>
    </row>
    <row r="11" spans="1:22" x14ac:dyDescent="0.3">
      <c r="A11" s="1">
        <v>42747</v>
      </c>
      <c r="B11" s="1">
        <v>42838</v>
      </c>
      <c r="C11">
        <v>272.32565565109201</v>
      </c>
      <c r="D11">
        <v>279.14999980926501</v>
      </c>
      <c r="E11">
        <v>268.95</v>
      </c>
      <c r="F11">
        <v>10.199999809265099</v>
      </c>
      <c r="G11">
        <v>3.37565565109252</v>
      </c>
      <c r="H11">
        <v>10.199999809265099</v>
      </c>
      <c r="J11" s="1">
        <v>42747</v>
      </c>
      <c r="K11">
        <v>279.14999980926501</v>
      </c>
      <c r="L11">
        <v>272.32565565109201</v>
      </c>
      <c r="M11">
        <v>271.54137940406798</v>
      </c>
      <c r="N11">
        <f t="shared" si="0"/>
        <v>271.93351752757997</v>
      </c>
      <c r="P11">
        <f t="shared" si="1"/>
        <v>1</v>
      </c>
      <c r="Q11">
        <f t="shared" si="2"/>
        <v>1</v>
      </c>
      <c r="R11">
        <f t="shared" si="3"/>
        <v>1</v>
      </c>
      <c r="T11">
        <f t="shared" si="4"/>
        <v>46.571673189190022</v>
      </c>
      <c r="U11">
        <f t="shared" si="5"/>
        <v>57.891104470380618</v>
      </c>
      <c r="V11">
        <f t="shared" si="6"/>
        <v>52.077616521874205</v>
      </c>
    </row>
    <row r="12" spans="1:22" x14ac:dyDescent="0.3">
      <c r="A12" s="1">
        <v>42748</v>
      </c>
      <c r="B12" s="1">
        <v>42839</v>
      </c>
      <c r="C12">
        <v>269.29460513591698</v>
      </c>
      <c r="D12">
        <v>277.69999980926502</v>
      </c>
      <c r="E12">
        <v>268.75</v>
      </c>
      <c r="F12">
        <v>8.9499998092651296</v>
      </c>
      <c r="G12">
        <v>0.54460513591766302</v>
      </c>
      <c r="H12">
        <v>8.9499998092651296</v>
      </c>
      <c r="J12" s="1">
        <v>42748</v>
      </c>
      <c r="K12">
        <v>277.69999980926502</v>
      </c>
      <c r="L12">
        <v>269.29460513591698</v>
      </c>
      <c r="M12">
        <v>270.60238015651703</v>
      </c>
      <c r="N12">
        <f t="shared" si="0"/>
        <v>269.94849264621701</v>
      </c>
      <c r="P12">
        <f t="shared" si="1"/>
        <v>1</v>
      </c>
      <c r="Q12">
        <f t="shared" si="2"/>
        <v>1</v>
      </c>
      <c r="R12">
        <f t="shared" si="3"/>
        <v>1</v>
      </c>
      <c r="T12">
        <f t="shared" si="4"/>
        <v>70.650659614747624</v>
      </c>
      <c r="U12">
        <f t="shared" si="5"/>
        <v>50.376204735074559</v>
      </c>
      <c r="V12">
        <f t="shared" si="6"/>
        <v>60.08586329878473</v>
      </c>
    </row>
    <row r="13" spans="1:22" x14ac:dyDescent="0.3">
      <c r="A13" s="1">
        <v>42751</v>
      </c>
      <c r="B13" s="1">
        <v>42842</v>
      </c>
      <c r="C13">
        <v>267.870687425136</v>
      </c>
      <c r="D13">
        <v>278.64999961852999</v>
      </c>
      <c r="E13">
        <v>267.5</v>
      </c>
      <c r="F13">
        <v>11.149999618530201</v>
      </c>
      <c r="G13">
        <v>0.370687425136566</v>
      </c>
      <c r="H13">
        <v>11.149999618530201</v>
      </c>
      <c r="J13" s="1">
        <v>42751</v>
      </c>
      <c r="K13">
        <v>278.64999961852999</v>
      </c>
      <c r="L13">
        <v>267.870687425136</v>
      </c>
      <c r="M13">
        <v>271.63143253326416</v>
      </c>
      <c r="N13">
        <f t="shared" si="0"/>
        <v>269.75105997920008</v>
      </c>
      <c r="P13">
        <f t="shared" si="1"/>
        <v>1</v>
      </c>
      <c r="Q13">
        <f t="shared" si="2"/>
        <v>1</v>
      </c>
      <c r="R13">
        <f t="shared" si="3"/>
        <v>1</v>
      </c>
      <c r="T13">
        <f t="shared" si="4"/>
        <v>116.19357136265238</v>
      </c>
      <c r="U13">
        <f t="shared" si="5"/>
        <v>49.260283930376879</v>
      </c>
      <c r="V13">
        <f t="shared" si="6"/>
        <v>79.191126704437153</v>
      </c>
    </row>
    <row r="14" spans="1:22" x14ac:dyDescent="0.3">
      <c r="A14" s="1">
        <v>42752</v>
      </c>
      <c r="B14" s="1">
        <v>42843</v>
      </c>
      <c r="C14">
        <v>272.166756629943</v>
      </c>
      <c r="D14">
        <v>278.35000038146899</v>
      </c>
      <c r="E14">
        <v>268.5</v>
      </c>
      <c r="F14">
        <v>9.8500003814697195</v>
      </c>
      <c r="G14">
        <v>3.6667566299438401</v>
      </c>
      <c r="H14">
        <v>9.8500003814697195</v>
      </c>
      <c r="J14" s="1">
        <v>42752</v>
      </c>
      <c r="K14">
        <v>278.35000038146899</v>
      </c>
      <c r="L14">
        <v>272.166756629943</v>
      </c>
      <c r="M14">
        <v>275.82586145401001</v>
      </c>
      <c r="N14">
        <f t="shared" si="0"/>
        <v>273.99630904197647</v>
      </c>
      <c r="P14">
        <f t="shared" si="1"/>
        <v>1</v>
      </c>
      <c r="Q14">
        <f t="shared" si="2"/>
        <v>1</v>
      </c>
      <c r="R14">
        <f t="shared" si="3"/>
        <v>1</v>
      </c>
      <c r="T14">
        <f t="shared" si="4"/>
        <v>38.232503290785232</v>
      </c>
      <c r="U14">
        <f t="shared" si="5"/>
        <v>6.3712773251137591</v>
      </c>
      <c r="V14">
        <f t="shared" si="6"/>
        <v>18.954628279572116</v>
      </c>
    </row>
    <row r="15" spans="1:22" x14ac:dyDescent="0.3">
      <c r="A15" s="1">
        <v>42753</v>
      </c>
      <c r="B15" s="1">
        <v>42844</v>
      </c>
      <c r="C15">
        <v>272.03597383499101</v>
      </c>
      <c r="D15">
        <v>276.85000019073402</v>
      </c>
      <c r="E15">
        <v>268.05</v>
      </c>
      <c r="F15">
        <v>8.8000001907348597</v>
      </c>
      <c r="G15">
        <v>3.9859738349914502</v>
      </c>
      <c r="H15">
        <v>8.8000001907348597</v>
      </c>
      <c r="J15" s="1">
        <v>42753</v>
      </c>
      <c r="K15">
        <v>276.85000019073402</v>
      </c>
      <c r="L15">
        <v>272.03597383499101</v>
      </c>
      <c r="M15">
        <v>275.984467792511</v>
      </c>
      <c r="N15">
        <f t="shared" si="0"/>
        <v>274.010220813751</v>
      </c>
      <c r="P15">
        <f t="shared" si="1"/>
        <v>1</v>
      </c>
      <c r="Q15">
        <f t="shared" si="2"/>
        <v>1</v>
      </c>
      <c r="R15">
        <f t="shared" si="3"/>
        <v>1</v>
      </c>
      <c r="T15">
        <f t="shared" si="4"/>
        <v>23.17484975378833</v>
      </c>
      <c r="U15">
        <f t="shared" si="5"/>
        <v>0.74914633237369987</v>
      </c>
      <c r="V15">
        <f t="shared" si="6"/>
        <v>8.0643469099380543</v>
      </c>
    </row>
    <row r="16" spans="1:22" x14ac:dyDescent="0.3">
      <c r="A16" s="1">
        <v>42754</v>
      </c>
      <c r="B16" s="1">
        <v>42845</v>
      </c>
      <c r="C16">
        <v>269.55155229568402</v>
      </c>
      <c r="D16">
        <v>278.25</v>
      </c>
      <c r="E16">
        <v>268.25</v>
      </c>
      <c r="F16">
        <v>10</v>
      </c>
      <c r="G16">
        <v>1.30155229568481</v>
      </c>
      <c r="H16">
        <v>10</v>
      </c>
      <c r="J16" s="1">
        <v>42754</v>
      </c>
      <c r="K16">
        <v>278.25</v>
      </c>
      <c r="L16">
        <v>269.55155229568402</v>
      </c>
      <c r="M16">
        <v>275.77271604537964</v>
      </c>
      <c r="N16">
        <f t="shared" si="0"/>
        <v>272.66213417053183</v>
      </c>
      <c r="P16">
        <f t="shared" si="1"/>
        <v>1</v>
      </c>
      <c r="Q16">
        <f t="shared" si="2"/>
        <v>1</v>
      </c>
      <c r="R16">
        <f t="shared" si="3"/>
        <v>1</v>
      </c>
      <c r="T16">
        <f t="shared" si="4"/>
        <v>75.662992464719963</v>
      </c>
      <c r="U16">
        <f t="shared" si="5"/>
        <v>6.1369357918194964</v>
      </c>
      <c r="V16">
        <f t="shared" si="6"/>
        <v>31.224244528138016</v>
      </c>
    </row>
    <row r="17" spans="1:22" x14ac:dyDescent="0.3">
      <c r="A17" s="1">
        <v>42755</v>
      </c>
      <c r="B17" s="1">
        <v>42846</v>
      </c>
      <c r="C17">
        <v>273.540381145477</v>
      </c>
      <c r="D17">
        <v>280.7</v>
      </c>
      <c r="E17">
        <v>267.7</v>
      </c>
      <c r="F17">
        <v>13</v>
      </c>
      <c r="G17">
        <v>5.8403811454772896</v>
      </c>
      <c r="H17">
        <v>13</v>
      </c>
      <c r="J17" s="1">
        <v>42755</v>
      </c>
      <c r="K17">
        <v>280.7</v>
      </c>
      <c r="L17">
        <v>273.540381145477</v>
      </c>
      <c r="M17">
        <v>275.30582304000853</v>
      </c>
      <c r="N17">
        <f t="shared" si="0"/>
        <v>274.42310209274274</v>
      </c>
      <c r="P17">
        <f t="shared" si="1"/>
        <v>1</v>
      </c>
      <c r="Q17">
        <f t="shared" si="2"/>
        <v>1</v>
      </c>
      <c r="R17">
        <f t="shared" si="3"/>
        <v>1</v>
      </c>
      <c r="T17">
        <f t="shared" ref="T17:T80" si="7">POWER(K17-L17,2)</f>
        <v>51.260142142041083</v>
      </c>
      <c r="U17">
        <f t="shared" ref="U17:U80" si="8">POWER(K17-M17,2)</f>
        <v>29.097145075702656</v>
      </c>
      <c r="V17">
        <f t="shared" ref="V17:V80" si="9">POWER(K17-N17,2)</f>
        <v>39.39944733813045</v>
      </c>
    </row>
    <row r="18" spans="1:22" x14ac:dyDescent="0.3">
      <c r="A18" s="1">
        <v>42758</v>
      </c>
      <c r="B18" s="1">
        <v>42849</v>
      </c>
      <c r="C18">
        <v>271.71824693679798</v>
      </c>
      <c r="D18">
        <v>281.85000038146899</v>
      </c>
      <c r="E18">
        <v>267.25</v>
      </c>
      <c r="F18">
        <v>14.6000003814697</v>
      </c>
      <c r="G18">
        <v>4.4682469367980904</v>
      </c>
      <c r="H18">
        <v>14.6000003814697</v>
      </c>
      <c r="J18" s="1">
        <v>42758</v>
      </c>
      <c r="K18">
        <v>281.85000038146899</v>
      </c>
      <c r="L18">
        <v>271.71824693679798</v>
      </c>
      <c r="M18">
        <v>273.09259748458862</v>
      </c>
      <c r="N18">
        <f t="shared" si="0"/>
        <v>272.4054222106933</v>
      </c>
      <c r="P18">
        <f t="shared" si="1"/>
        <v>1</v>
      </c>
      <c r="Q18">
        <f t="shared" si="2"/>
        <v>1</v>
      </c>
      <c r="R18">
        <f t="shared" si="3"/>
        <v>1</v>
      </c>
      <c r="T18">
        <f t="shared" si="7"/>
        <v>102.65242786360278</v>
      </c>
      <c r="U18">
        <f t="shared" si="8"/>
        <v>76.692105498288598</v>
      </c>
      <c r="V18">
        <f t="shared" si="9"/>
        <v>89.200056823892581</v>
      </c>
    </row>
    <row r="19" spans="1:22" x14ac:dyDescent="0.3">
      <c r="A19" s="1">
        <v>42759</v>
      </c>
      <c r="B19" s="1">
        <v>42850</v>
      </c>
      <c r="C19">
        <v>272.10168132781899</v>
      </c>
      <c r="D19">
        <v>285.20000038146901</v>
      </c>
      <c r="E19">
        <v>268.10000000000002</v>
      </c>
      <c r="F19">
        <v>17.100000381469702</v>
      </c>
      <c r="G19">
        <v>4.0016813278198198</v>
      </c>
      <c r="H19">
        <v>17.100000381469702</v>
      </c>
      <c r="J19" s="1">
        <v>42759</v>
      </c>
      <c r="K19">
        <v>285.20000038146901</v>
      </c>
      <c r="L19">
        <v>272.10168132781899</v>
      </c>
      <c r="M19">
        <v>274.2970000267029</v>
      </c>
      <c r="N19">
        <f t="shared" si="0"/>
        <v>273.19934067726092</v>
      </c>
      <c r="P19">
        <f t="shared" si="1"/>
        <v>1</v>
      </c>
      <c r="Q19">
        <f t="shared" si="2"/>
        <v>1</v>
      </c>
      <c r="R19">
        <f t="shared" si="3"/>
        <v>1</v>
      </c>
      <c r="T19">
        <f t="shared" si="7"/>
        <v>171.56596203121106</v>
      </c>
      <c r="U19">
        <f t="shared" si="8"/>
        <v>118.87541673602985</v>
      </c>
      <c r="V19">
        <f t="shared" si="9"/>
        <v>144.0158333362038</v>
      </c>
    </row>
    <row r="20" spans="1:22" x14ac:dyDescent="0.3">
      <c r="A20" s="1">
        <v>42760</v>
      </c>
      <c r="B20" s="1">
        <v>42851</v>
      </c>
      <c r="C20">
        <v>271.03839192390399</v>
      </c>
      <c r="D20">
        <v>286.45000038146901</v>
      </c>
      <c r="E20">
        <v>268.35000000000002</v>
      </c>
      <c r="F20">
        <v>18.100000381469702</v>
      </c>
      <c r="G20">
        <v>2.6883919239044101</v>
      </c>
      <c r="H20">
        <v>18.100000381469702</v>
      </c>
      <c r="J20" s="1">
        <v>42760</v>
      </c>
      <c r="K20">
        <v>286.45000038146901</v>
      </c>
      <c r="L20">
        <v>271.03839192390399</v>
      </c>
      <c r="M20">
        <v>274.87684593200686</v>
      </c>
      <c r="N20">
        <f t="shared" si="0"/>
        <v>272.95761892795542</v>
      </c>
      <c r="P20">
        <f t="shared" si="1"/>
        <v>1</v>
      </c>
      <c r="Q20">
        <f t="shared" si="2"/>
        <v>1</v>
      </c>
      <c r="R20">
        <f t="shared" si="3"/>
        <v>1</v>
      </c>
      <c r="T20">
        <f t="shared" si="7"/>
        <v>237.51767524928977</v>
      </c>
      <c r="U20">
        <f t="shared" si="8"/>
        <v>133.93790391110559</v>
      </c>
      <c r="V20">
        <f t="shared" si="9"/>
        <v>182.04435728711744</v>
      </c>
    </row>
    <row r="21" spans="1:22" x14ac:dyDescent="0.3">
      <c r="A21" s="1">
        <v>42761</v>
      </c>
      <c r="B21" s="1">
        <v>42852</v>
      </c>
      <c r="C21">
        <v>277.41706190109198</v>
      </c>
      <c r="D21">
        <v>287.35000000000002</v>
      </c>
      <c r="E21">
        <v>271.10000000000002</v>
      </c>
      <c r="F21">
        <v>16.25</v>
      </c>
      <c r="G21">
        <v>6.3170619010925204</v>
      </c>
      <c r="H21">
        <v>16.25</v>
      </c>
      <c r="J21" s="1">
        <v>42761</v>
      </c>
      <c r="K21">
        <v>287.35000000000002</v>
      </c>
      <c r="L21">
        <v>277.41706190109198</v>
      </c>
      <c r="M21">
        <v>277.50719079971316</v>
      </c>
      <c r="N21">
        <f t="shared" si="0"/>
        <v>277.46212635040257</v>
      </c>
      <c r="P21">
        <f t="shared" si="1"/>
        <v>1</v>
      </c>
      <c r="Q21">
        <f t="shared" si="2"/>
        <v>1</v>
      </c>
      <c r="R21">
        <f t="shared" si="3"/>
        <v>1</v>
      </c>
      <c r="T21">
        <f t="shared" si="7"/>
        <v>98.663259276738856</v>
      </c>
      <c r="U21">
        <f t="shared" si="8"/>
        <v>96.88089295325176</v>
      </c>
      <c r="V21">
        <f t="shared" si="9"/>
        <v>97.770045310403646</v>
      </c>
    </row>
    <row r="22" spans="1:22" x14ac:dyDescent="0.3">
      <c r="A22" s="1">
        <v>42762</v>
      </c>
      <c r="B22" s="1">
        <v>42853</v>
      </c>
      <c r="C22">
        <v>276.07294712066602</v>
      </c>
      <c r="D22">
        <v>287.80000076293902</v>
      </c>
      <c r="E22">
        <v>271.10000000000002</v>
      </c>
      <c r="F22">
        <v>16.7000007629394</v>
      </c>
      <c r="G22">
        <v>4.9729471206665004</v>
      </c>
      <c r="H22">
        <v>16.7000007629394</v>
      </c>
      <c r="J22" s="1">
        <v>42762</v>
      </c>
      <c r="K22">
        <v>287.80000076293902</v>
      </c>
      <c r="L22">
        <v>276.07294712066602</v>
      </c>
      <c r="M22">
        <v>281.18209419250485</v>
      </c>
      <c r="N22">
        <f t="shared" si="0"/>
        <v>278.62752065658543</v>
      </c>
      <c r="P22">
        <f t="shared" si="1"/>
        <v>1</v>
      </c>
      <c r="Q22">
        <f t="shared" si="2"/>
        <v>1</v>
      </c>
      <c r="R22">
        <f t="shared" si="3"/>
        <v>1</v>
      </c>
      <c r="T22">
        <f t="shared" si="7"/>
        <v>137.52378712874858</v>
      </c>
      <c r="U22">
        <f t="shared" si="8"/>
        <v>43.796687374995791</v>
      </c>
      <c r="V22">
        <f t="shared" si="9"/>
        <v>84.134391301452354</v>
      </c>
    </row>
    <row r="23" spans="1:22" x14ac:dyDescent="0.3">
      <c r="A23" s="1">
        <v>42765</v>
      </c>
      <c r="B23" s="1">
        <v>42856</v>
      </c>
      <c r="C23">
        <v>274.18861589431702</v>
      </c>
      <c r="D23">
        <v>287.80000076293902</v>
      </c>
      <c r="E23">
        <v>271.10000000000002</v>
      </c>
      <c r="F23">
        <v>16.7000007629394</v>
      </c>
      <c r="G23">
        <v>3.0886158943176198</v>
      </c>
      <c r="H23">
        <v>16.7000007629394</v>
      </c>
      <c r="J23" s="1">
        <v>42765</v>
      </c>
      <c r="K23">
        <v>287.80000076293902</v>
      </c>
      <c r="L23">
        <v>274.18861589431702</v>
      </c>
      <c r="M23">
        <v>280.56342849731448</v>
      </c>
      <c r="N23">
        <f t="shared" si="0"/>
        <v>277.37602219581572</v>
      </c>
      <c r="P23">
        <f t="shared" si="1"/>
        <v>1</v>
      </c>
      <c r="Q23">
        <f t="shared" si="2"/>
        <v>1</v>
      </c>
      <c r="R23">
        <f t="shared" si="3"/>
        <v>1</v>
      </c>
      <c r="T23">
        <f t="shared" si="7"/>
        <v>185.26979804175184</v>
      </c>
      <c r="U23">
        <f t="shared" si="8"/>
        <v>52.367978155606366</v>
      </c>
      <c r="V23">
        <f t="shared" si="9"/>
        <v>108.65932916784591</v>
      </c>
    </row>
    <row r="24" spans="1:22" x14ac:dyDescent="0.3">
      <c r="A24" s="1">
        <v>42766</v>
      </c>
      <c r="B24" s="1">
        <v>42857</v>
      </c>
      <c r="C24">
        <v>272.79397993087701</v>
      </c>
      <c r="D24">
        <v>290.05</v>
      </c>
      <c r="E24">
        <v>269.3</v>
      </c>
      <c r="F24">
        <v>20.75</v>
      </c>
      <c r="G24">
        <v>3.4939799308776802</v>
      </c>
      <c r="H24">
        <v>20.75</v>
      </c>
      <c r="J24" s="1">
        <v>42766</v>
      </c>
      <c r="K24">
        <v>290.05</v>
      </c>
      <c r="L24">
        <v>272.79397993087701</v>
      </c>
      <c r="M24">
        <v>281.09883861541743</v>
      </c>
      <c r="N24">
        <f t="shared" si="0"/>
        <v>276.9464092731472</v>
      </c>
      <c r="P24">
        <f t="shared" si="1"/>
        <v>1</v>
      </c>
      <c r="Q24">
        <f t="shared" si="2"/>
        <v>1</v>
      </c>
      <c r="R24">
        <f t="shared" si="3"/>
        <v>1</v>
      </c>
      <c r="T24">
        <f t="shared" si="7"/>
        <v>297.77022862597562</v>
      </c>
      <c r="U24">
        <f t="shared" si="8"/>
        <v>80.123290132842271</v>
      </c>
      <c r="V24">
        <f t="shared" si="9"/>
        <v>171.70408993686308</v>
      </c>
    </row>
    <row r="25" spans="1:22" x14ac:dyDescent="0.3">
      <c r="A25" s="1">
        <v>42767</v>
      </c>
      <c r="B25" s="1">
        <v>42858</v>
      </c>
      <c r="C25">
        <v>273.433301973342</v>
      </c>
      <c r="D25">
        <v>290.05</v>
      </c>
      <c r="E25">
        <v>270.3</v>
      </c>
      <c r="F25">
        <v>19.75</v>
      </c>
      <c r="G25">
        <v>3.1333019733428902</v>
      </c>
      <c r="H25">
        <v>19.75</v>
      </c>
      <c r="J25" s="1">
        <v>42767</v>
      </c>
      <c r="K25">
        <v>290.05</v>
      </c>
      <c r="L25">
        <v>273.433301973342</v>
      </c>
      <c r="M25">
        <v>277.72136049270631</v>
      </c>
      <c r="N25">
        <f t="shared" si="0"/>
        <v>275.57733123302415</v>
      </c>
      <c r="P25">
        <f t="shared" si="1"/>
        <v>1</v>
      </c>
      <c r="Q25">
        <f t="shared" si="2"/>
        <v>1</v>
      </c>
      <c r="R25">
        <f t="shared" si="3"/>
        <v>1</v>
      </c>
      <c r="T25">
        <f t="shared" si="7"/>
        <v>276.11465330914035</v>
      </c>
      <c r="U25">
        <f t="shared" si="8"/>
        <v>151.99535210080307</v>
      </c>
      <c r="V25">
        <f t="shared" si="9"/>
        <v>209.4581412385985</v>
      </c>
    </row>
    <row r="26" spans="1:22" x14ac:dyDescent="0.3">
      <c r="A26" s="1">
        <v>42768</v>
      </c>
      <c r="B26" s="1">
        <v>42859</v>
      </c>
      <c r="C26">
        <v>271.811369466781</v>
      </c>
      <c r="D26">
        <v>292.75000076293901</v>
      </c>
      <c r="E26">
        <v>269.3</v>
      </c>
      <c r="F26">
        <v>23.4500007629394</v>
      </c>
      <c r="G26">
        <v>2.51136946678161</v>
      </c>
      <c r="H26">
        <v>23.4500007629394</v>
      </c>
      <c r="J26" s="1">
        <v>42768</v>
      </c>
      <c r="K26">
        <v>292.75000076293901</v>
      </c>
      <c r="L26">
        <v>271.811369466781</v>
      </c>
      <c r="M26">
        <v>280.67514305114742</v>
      </c>
      <c r="N26">
        <f t="shared" si="0"/>
        <v>276.24325625896421</v>
      </c>
      <c r="P26">
        <f t="shared" si="1"/>
        <v>1</v>
      </c>
      <c r="Q26">
        <f t="shared" si="2"/>
        <v>1</v>
      </c>
      <c r="R26">
        <f t="shared" si="3"/>
        <v>1</v>
      </c>
      <c r="T26">
        <f t="shared" si="7"/>
        <v>438.42628055644758</v>
      </c>
      <c r="U26">
        <f t="shared" si="8"/>
        <v>145.80218876001294</v>
      </c>
      <c r="V26">
        <f t="shared" si="9"/>
        <v>272.47261411950228</v>
      </c>
    </row>
    <row r="27" spans="1:22" x14ac:dyDescent="0.3">
      <c r="A27" s="1">
        <v>42769</v>
      </c>
      <c r="B27" s="1">
        <v>42860</v>
      </c>
      <c r="C27">
        <v>272.47818913459702</v>
      </c>
      <c r="D27">
        <v>292.75000038146902</v>
      </c>
      <c r="E27">
        <v>269.89999999999998</v>
      </c>
      <c r="F27">
        <v>22.850000381469702</v>
      </c>
      <c r="G27">
        <v>2.5781891345977699</v>
      </c>
      <c r="H27">
        <v>22.850000381469702</v>
      </c>
      <c r="J27" s="1">
        <v>42769</v>
      </c>
      <c r="K27">
        <v>292.75000038146902</v>
      </c>
      <c r="L27">
        <v>272.47818913459702</v>
      </c>
      <c r="M27">
        <v>277.03362550735471</v>
      </c>
      <c r="N27">
        <f t="shared" si="0"/>
        <v>274.75590732097589</v>
      </c>
      <c r="P27">
        <f t="shared" si="1"/>
        <v>1</v>
      </c>
      <c r="Q27">
        <f t="shared" si="2"/>
        <v>1</v>
      </c>
      <c r="R27">
        <f t="shared" si="3"/>
        <v>1</v>
      </c>
      <c r="T27">
        <f t="shared" si="7"/>
        <v>410.94633122880634</v>
      </c>
      <c r="U27">
        <f t="shared" si="8"/>
        <v>247.00443918369155</v>
      </c>
      <c r="V27">
        <f t="shared" si="9"/>
        <v>323.78738506968693</v>
      </c>
    </row>
    <row r="28" spans="1:22" x14ac:dyDescent="0.3">
      <c r="A28" s="1">
        <v>42772</v>
      </c>
      <c r="B28" s="1">
        <v>42863</v>
      </c>
      <c r="C28">
        <v>271.91646161079399</v>
      </c>
      <c r="D28">
        <v>300.69999923706001</v>
      </c>
      <c r="E28">
        <v>270.14999999999998</v>
      </c>
      <c r="F28">
        <v>30.549999237060501</v>
      </c>
      <c r="G28">
        <v>1.7664616107940601</v>
      </c>
      <c r="H28">
        <v>30.549999237060501</v>
      </c>
      <c r="J28" s="1">
        <v>42772</v>
      </c>
      <c r="K28">
        <v>300.69999923706001</v>
      </c>
      <c r="L28">
        <v>271.91646161079399</v>
      </c>
      <c r="M28">
        <v>276.29439249038694</v>
      </c>
      <c r="N28">
        <f t="shared" si="0"/>
        <v>274.10542705059049</v>
      </c>
      <c r="P28">
        <f t="shared" si="1"/>
        <v>1</v>
      </c>
      <c r="Q28">
        <f t="shared" si="2"/>
        <v>1</v>
      </c>
      <c r="R28">
        <f t="shared" si="3"/>
        <v>1</v>
      </c>
      <c r="T28">
        <f t="shared" si="7"/>
        <v>828.49203828267196</v>
      </c>
      <c r="U28">
        <f t="shared" si="8"/>
        <v>595.63364067325415</v>
      </c>
      <c r="V28">
        <f t="shared" si="9"/>
        <v>707.27126978133822</v>
      </c>
    </row>
    <row r="29" spans="1:22" x14ac:dyDescent="0.3">
      <c r="A29" s="1">
        <v>42773</v>
      </c>
      <c r="B29" s="1">
        <v>42864</v>
      </c>
      <c r="C29">
        <v>270.78711647987302</v>
      </c>
      <c r="D29">
        <v>300.7</v>
      </c>
      <c r="E29">
        <v>269.45</v>
      </c>
      <c r="F29">
        <v>31.25</v>
      </c>
      <c r="G29">
        <v>1.3371164798736499</v>
      </c>
      <c r="H29">
        <v>31.25</v>
      </c>
      <c r="J29" s="1">
        <v>42773</v>
      </c>
      <c r="K29">
        <v>300.7</v>
      </c>
      <c r="L29">
        <v>270.78711647987302</v>
      </c>
      <c r="M29">
        <v>276.42390937805175</v>
      </c>
      <c r="N29">
        <f t="shared" si="0"/>
        <v>273.60551292896241</v>
      </c>
      <c r="P29">
        <f t="shared" si="1"/>
        <v>1</v>
      </c>
      <c r="Q29">
        <f t="shared" si="2"/>
        <v>1</v>
      </c>
      <c r="R29">
        <f t="shared" si="3"/>
        <v>1</v>
      </c>
      <c r="T29">
        <f t="shared" si="7"/>
        <v>894.7806004886836</v>
      </c>
      <c r="U29">
        <f t="shared" si="8"/>
        <v>589.32857588504339</v>
      </c>
      <c r="V29">
        <f t="shared" si="9"/>
        <v>734.11122964262245</v>
      </c>
    </row>
    <row r="30" spans="1:22" x14ac:dyDescent="0.3">
      <c r="A30" s="1">
        <v>42774</v>
      </c>
      <c r="B30" s="1">
        <v>42865</v>
      </c>
      <c r="C30">
        <v>274.952033138275</v>
      </c>
      <c r="D30">
        <v>296.45000038146901</v>
      </c>
      <c r="E30">
        <v>268.35000000000002</v>
      </c>
      <c r="F30">
        <v>28.100000381469702</v>
      </c>
      <c r="G30">
        <v>6.6020331382751403</v>
      </c>
      <c r="H30">
        <v>28.100000381469702</v>
      </c>
      <c r="J30" s="1">
        <v>42774</v>
      </c>
      <c r="K30">
        <v>296.45000038146901</v>
      </c>
      <c r="L30">
        <v>274.952033138275</v>
      </c>
      <c r="M30">
        <v>279.24468002319333</v>
      </c>
      <c r="N30">
        <f t="shared" si="0"/>
        <v>277.09835658073416</v>
      </c>
      <c r="P30">
        <f t="shared" si="1"/>
        <v>1</v>
      </c>
      <c r="Q30">
        <f t="shared" si="2"/>
        <v>1</v>
      </c>
      <c r="R30">
        <f t="shared" si="3"/>
        <v>1</v>
      </c>
      <c r="T30">
        <f t="shared" si="7"/>
        <v>462.16259558944273</v>
      </c>
      <c r="U30">
        <f t="shared" si="8"/>
        <v>296.02304863089574</v>
      </c>
      <c r="V30">
        <f t="shared" si="9"/>
        <v>374.48611779051947</v>
      </c>
    </row>
    <row r="31" spans="1:22" x14ac:dyDescent="0.3">
      <c r="A31" s="1">
        <v>42775</v>
      </c>
      <c r="B31" s="1">
        <v>42866</v>
      </c>
      <c r="C31">
        <v>272.012323474884</v>
      </c>
      <c r="D31">
        <v>300.10000000000002</v>
      </c>
      <c r="E31">
        <v>268.60000000000002</v>
      </c>
      <c r="F31">
        <v>31.5</v>
      </c>
      <c r="G31">
        <v>3.4123234748840301</v>
      </c>
      <c r="H31">
        <v>31.5</v>
      </c>
      <c r="J31" s="1">
        <v>42775</v>
      </c>
      <c r="K31">
        <v>300.10000000000002</v>
      </c>
      <c r="L31">
        <v>272.012323474884</v>
      </c>
      <c r="M31">
        <v>277.55001220703127</v>
      </c>
      <c r="N31">
        <f t="shared" si="0"/>
        <v>274.78116784095766</v>
      </c>
      <c r="P31">
        <f t="shared" si="1"/>
        <v>1</v>
      </c>
      <c r="Q31">
        <f t="shared" si="2"/>
        <v>1</v>
      </c>
      <c r="R31">
        <f t="shared" si="3"/>
        <v>1</v>
      </c>
      <c r="T31">
        <f t="shared" si="7"/>
        <v>788.91757257955373</v>
      </c>
      <c r="U31">
        <f t="shared" si="8"/>
        <v>508.50194946303964</v>
      </c>
      <c r="V31">
        <f t="shared" si="9"/>
        <v>641.04326189775747</v>
      </c>
    </row>
    <row r="32" spans="1:22" x14ac:dyDescent="0.3">
      <c r="A32" s="1">
        <v>42776</v>
      </c>
      <c r="B32" s="1">
        <v>42867</v>
      </c>
      <c r="C32">
        <v>269.11475203037202</v>
      </c>
      <c r="D32">
        <v>298.64999923706</v>
      </c>
      <c r="E32">
        <v>268.85000000000002</v>
      </c>
      <c r="F32">
        <v>29.799999237060501</v>
      </c>
      <c r="G32">
        <v>0.26475203037261902</v>
      </c>
      <c r="H32">
        <v>29.799999237060501</v>
      </c>
      <c r="J32" s="1">
        <v>42776</v>
      </c>
      <c r="K32">
        <v>298.64999923706</v>
      </c>
      <c r="L32">
        <v>269.11475203037202</v>
      </c>
      <c r="M32">
        <v>277.92102584838869</v>
      </c>
      <c r="N32">
        <f t="shared" si="0"/>
        <v>273.51788893938033</v>
      </c>
      <c r="P32">
        <f t="shared" si="1"/>
        <v>1</v>
      </c>
      <c r="Q32">
        <f t="shared" si="2"/>
        <v>1</v>
      </c>
      <c r="R32">
        <f t="shared" si="3"/>
        <v>1</v>
      </c>
      <c r="T32">
        <f t="shared" si="7"/>
        <v>872.33082756017041</v>
      </c>
      <c r="U32">
        <f t="shared" si="8"/>
        <v>429.69033774824317</v>
      </c>
      <c r="V32">
        <f t="shared" si="9"/>
        <v>631.62296801473667</v>
      </c>
    </row>
    <row r="33" spans="1:22" x14ac:dyDescent="0.3">
      <c r="A33" s="1">
        <v>42779</v>
      </c>
      <c r="B33" s="1">
        <v>42870</v>
      </c>
      <c r="C33">
        <v>268.73784710168798</v>
      </c>
      <c r="D33">
        <v>299.65000076293899</v>
      </c>
      <c r="E33">
        <v>268.95</v>
      </c>
      <c r="F33">
        <v>-30.7000007629394</v>
      </c>
      <c r="G33">
        <v>-0.21215289831161499</v>
      </c>
      <c r="H33">
        <v>30.7000007629394</v>
      </c>
      <c r="J33" s="1">
        <v>42779</v>
      </c>
      <c r="K33">
        <v>299.65000076293899</v>
      </c>
      <c r="L33">
        <v>268.73784710168798</v>
      </c>
      <c r="M33">
        <v>278.51055831909179</v>
      </c>
      <c r="N33">
        <f t="shared" si="0"/>
        <v>273.62420271038991</v>
      </c>
      <c r="P33">
        <f t="shared" si="1"/>
        <v>0</v>
      </c>
      <c r="Q33">
        <f t="shared" si="2"/>
        <v>1</v>
      </c>
      <c r="R33">
        <f t="shared" si="3"/>
        <v>1</v>
      </c>
      <c r="T33">
        <f t="shared" si="7"/>
        <v>955.56124397679434</v>
      </c>
      <c r="U33">
        <f t="shared" si="8"/>
        <v>446.87602683672856</v>
      </c>
      <c r="V33">
        <f t="shared" si="9"/>
        <v>677.34216427206741</v>
      </c>
    </row>
    <row r="34" spans="1:22" x14ac:dyDescent="0.3">
      <c r="A34" s="1">
        <v>42780</v>
      </c>
      <c r="B34" s="1">
        <v>42871</v>
      </c>
      <c r="C34">
        <v>269.19940767288199</v>
      </c>
      <c r="D34">
        <v>299.24999961853001</v>
      </c>
      <c r="E34">
        <v>268.10000000000002</v>
      </c>
      <c r="F34">
        <v>31.149999618530199</v>
      </c>
      <c r="G34">
        <v>1.0994076728820801</v>
      </c>
      <c r="H34">
        <v>31.149999618530199</v>
      </c>
      <c r="J34" s="1">
        <v>42780</v>
      </c>
      <c r="K34">
        <v>299.24999961853001</v>
      </c>
      <c r="L34">
        <v>269.19940767288199</v>
      </c>
      <c r="M34">
        <v>276.50938949584963</v>
      </c>
      <c r="N34">
        <f t="shared" si="0"/>
        <v>272.85439858436581</v>
      </c>
      <c r="P34">
        <f t="shared" si="1"/>
        <v>1</v>
      </c>
      <c r="Q34">
        <f t="shared" si="2"/>
        <v>1</v>
      </c>
      <c r="R34">
        <f t="shared" si="3"/>
        <v>1</v>
      </c>
      <c r="T34">
        <f t="shared" si="7"/>
        <v>903.03807628384584</v>
      </c>
      <c r="U34">
        <f t="shared" si="8"/>
        <v>517.13534875175333</v>
      </c>
      <c r="V34">
        <f t="shared" si="9"/>
        <v>696.72775395477026</v>
      </c>
    </row>
    <row r="35" spans="1:22" x14ac:dyDescent="0.3">
      <c r="A35" s="1">
        <v>42781</v>
      </c>
      <c r="B35" s="1">
        <v>42872</v>
      </c>
      <c r="C35">
        <v>270.792618989944</v>
      </c>
      <c r="D35">
        <v>299.5</v>
      </c>
      <c r="E35">
        <v>269</v>
      </c>
      <c r="F35">
        <v>30.5</v>
      </c>
      <c r="G35">
        <v>1.79261898994445</v>
      </c>
      <c r="H35">
        <v>30.5</v>
      </c>
      <c r="J35" s="1">
        <v>42781</v>
      </c>
      <c r="K35">
        <v>299.5</v>
      </c>
      <c r="L35">
        <v>270.792618989944</v>
      </c>
      <c r="M35">
        <v>278.22045040130615</v>
      </c>
      <c r="N35">
        <f t="shared" si="0"/>
        <v>274.50653469562508</v>
      </c>
      <c r="P35">
        <f t="shared" si="1"/>
        <v>1</v>
      </c>
      <c r="Q35">
        <f t="shared" si="2"/>
        <v>1</v>
      </c>
      <c r="R35">
        <f t="shared" si="3"/>
        <v>1</v>
      </c>
      <c r="T35">
        <f t="shared" si="7"/>
        <v>824.11372445652364</v>
      </c>
      <c r="U35">
        <f t="shared" si="8"/>
        <v>452.81923112327149</v>
      </c>
      <c r="V35">
        <f t="shared" si="9"/>
        <v>624.67330792099301</v>
      </c>
    </row>
    <row r="36" spans="1:22" x14ac:dyDescent="0.3">
      <c r="A36" s="1">
        <v>42782</v>
      </c>
      <c r="B36" s="1">
        <v>42873</v>
      </c>
      <c r="C36">
        <v>268.65519339442199</v>
      </c>
      <c r="D36">
        <v>298.64999923706</v>
      </c>
      <c r="E36">
        <v>268.85000000000002</v>
      </c>
      <c r="F36">
        <v>-29.799999237060501</v>
      </c>
      <c r="G36">
        <v>-0.19480660557746801</v>
      </c>
      <c r="H36">
        <v>29.799999237060501</v>
      </c>
      <c r="J36" s="1">
        <v>42782</v>
      </c>
      <c r="K36">
        <v>298.64999923706</v>
      </c>
      <c r="L36">
        <v>268.65519339442199</v>
      </c>
      <c r="M36">
        <v>276.62195405960085</v>
      </c>
      <c r="N36">
        <f t="shared" si="0"/>
        <v>272.63857372701142</v>
      </c>
      <c r="P36">
        <f t="shared" si="1"/>
        <v>0</v>
      </c>
      <c r="Q36">
        <f t="shared" si="2"/>
        <v>1</v>
      </c>
      <c r="R36">
        <f t="shared" si="3"/>
        <v>1</v>
      </c>
      <c r="T36">
        <f t="shared" si="7"/>
        <v>899.68837753755167</v>
      </c>
      <c r="U36">
        <f t="shared" si="8"/>
        <v>485.23477434018122</v>
      </c>
      <c r="V36">
        <f t="shared" si="9"/>
        <v>676.59425706480613</v>
      </c>
    </row>
    <row r="37" spans="1:22" x14ac:dyDescent="0.3">
      <c r="A37" s="1">
        <v>42783</v>
      </c>
      <c r="B37" s="1">
        <v>42874</v>
      </c>
      <c r="C37">
        <v>271.183027362823</v>
      </c>
      <c r="D37">
        <v>298.24999961853001</v>
      </c>
      <c r="E37">
        <v>269.10000000000002</v>
      </c>
      <c r="F37">
        <v>29.149999618530199</v>
      </c>
      <c r="G37">
        <v>2.0830273628234801</v>
      </c>
      <c r="H37">
        <v>29.149999618530199</v>
      </c>
      <c r="J37" s="1">
        <v>42783</v>
      </c>
      <c r="K37">
        <v>298.24999961853001</v>
      </c>
      <c r="L37">
        <v>271.183027362823</v>
      </c>
      <c r="M37">
        <v>277.46733245849612</v>
      </c>
      <c r="N37">
        <f t="shared" si="0"/>
        <v>274.32517991065959</v>
      </c>
      <c r="P37">
        <f t="shared" si="1"/>
        <v>1</v>
      </c>
      <c r="Q37">
        <f t="shared" si="2"/>
        <v>1</v>
      </c>
      <c r="R37">
        <f t="shared" si="3"/>
        <v>1</v>
      </c>
      <c r="T37">
        <f t="shared" si="7"/>
        <v>732.62098709121324</v>
      </c>
      <c r="U37">
        <f t="shared" si="8"/>
        <v>431.91925428475133</v>
      </c>
      <c r="V37">
        <f t="shared" si="9"/>
        <v>572.39699805410521</v>
      </c>
    </row>
    <row r="38" spans="1:22" x14ac:dyDescent="0.3">
      <c r="A38" s="1">
        <v>42786</v>
      </c>
      <c r="B38" s="1">
        <v>42877</v>
      </c>
      <c r="C38">
        <v>269.94878069162303</v>
      </c>
      <c r="D38">
        <v>300.60000000000002</v>
      </c>
      <c r="E38">
        <v>269.85000000000002</v>
      </c>
      <c r="F38">
        <v>30.75</v>
      </c>
      <c r="G38">
        <v>9.8780691623687703E-2</v>
      </c>
      <c r="H38">
        <v>30.75</v>
      </c>
      <c r="J38" s="1">
        <v>42786</v>
      </c>
      <c r="K38">
        <v>300.60000000000002</v>
      </c>
      <c r="L38">
        <v>269.94878069162303</v>
      </c>
      <c r="M38">
        <v>278.52576026916506</v>
      </c>
      <c r="N38">
        <f t="shared" si="0"/>
        <v>274.23727048039405</v>
      </c>
      <c r="P38">
        <f t="shared" si="1"/>
        <v>1</v>
      </c>
      <c r="Q38">
        <f t="shared" si="2"/>
        <v>1</v>
      </c>
      <c r="R38">
        <f t="shared" si="3"/>
        <v>1</v>
      </c>
      <c r="T38">
        <f t="shared" si="7"/>
        <v>939.49724509022269</v>
      </c>
      <c r="U38">
        <f t="shared" si="8"/>
        <v>487.27205969437273</v>
      </c>
      <c r="V38">
        <f t="shared" si="9"/>
        <v>694.99350772390437</v>
      </c>
    </row>
    <row r="39" spans="1:22" x14ac:dyDescent="0.3">
      <c r="A39" s="1">
        <v>42787</v>
      </c>
      <c r="B39" s="1">
        <v>42878</v>
      </c>
      <c r="C39">
        <v>270.09388742446902</v>
      </c>
      <c r="D39">
        <v>301.05000076293902</v>
      </c>
      <c r="E39">
        <v>272.35000000000002</v>
      </c>
      <c r="F39">
        <v>-28.7000007629394</v>
      </c>
      <c r="G39">
        <v>-2.2561125755310001</v>
      </c>
      <c r="H39">
        <v>28.7000007629394</v>
      </c>
      <c r="J39" s="1">
        <v>42787</v>
      </c>
      <c r="K39">
        <v>301.05000076293902</v>
      </c>
      <c r="L39">
        <v>270.09388742446902</v>
      </c>
      <c r="M39">
        <v>279.44127759933474</v>
      </c>
      <c r="N39">
        <f t="shared" si="0"/>
        <v>274.76758251190188</v>
      </c>
      <c r="P39">
        <f t="shared" si="1"/>
        <v>0</v>
      </c>
      <c r="Q39">
        <f t="shared" si="2"/>
        <v>1</v>
      </c>
      <c r="R39">
        <f t="shared" si="3"/>
        <v>1</v>
      </c>
      <c r="T39">
        <f t="shared" si="7"/>
        <v>958.28095302420047</v>
      </c>
      <c r="U39">
        <f t="shared" si="8"/>
        <v>466.93691676128822</v>
      </c>
      <c r="V39">
        <f t="shared" si="9"/>
        <v>690.76550912245034</v>
      </c>
    </row>
    <row r="40" spans="1:22" x14ac:dyDescent="0.3">
      <c r="A40" s="1">
        <v>42788</v>
      </c>
      <c r="B40" s="1">
        <v>42879</v>
      </c>
      <c r="C40">
        <v>269.32350921630803</v>
      </c>
      <c r="D40">
        <v>301.89999961852999</v>
      </c>
      <c r="E40">
        <v>272.75</v>
      </c>
      <c r="F40">
        <v>-29.149999618530199</v>
      </c>
      <c r="G40">
        <v>-3.4264907836914</v>
      </c>
      <c r="H40">
        <v>29.149999618530199</v>
      </c>
      <c r="J40" s="1">
        <v>42788</v>
      </c>
      <c r="K40">
        <v>301.89999961852999</v>
      </c>
      <c r="L40">
        <v>269.32350921630803</v>
      </c>
      <c r="M40">
        <v>280.76532363891602</v>
      </c>
      <c r="N40">
        <f t="shared" si="0"/>
        <v>275.04441642761202</v>
      </c>
      <c r="P40">
        <f t="shared" si="1"/>
        <v>0</v>
      </c>
      <c r="Q40">
        <f t="shared" si="2"/>
        <v>1</v>
      </c>
      <c r="R40">
        <f t="shared" si="3"/>
        <v>1</v>
      </c>
      <c r="T40">
        <f t="shared" si="7"/>
        <v>1061.2277269260596</v>
      </c>
      <c r="U40">
        <f t="shared" si="8"/>
        <v>446.67452876327189</v>
      </c>
      <c r="V40">
        <f t="shared" si="9"/>
        <v>721.22234852431575</v>
      </c>
    </row>
    <row r="41" spans="1:22" x14ac:dyDescent="0.3">
      <c r="A41" s="1">
        <v>42789</v>
      </c>
      <c r="B41" s="1">
        <v>42880</v>
      </c>
      <c r="C41">
        <v>267.74830017089801</v>
      </c>
      <c r="D41">
        <v>305.50000152587802</v>
      </c>
      <c r="E41">
        <v>273.10000000000002</v>
      </c>
      <c r="F41">
        <v>-32.400001525878899</v>
      </c>
      <c r="G41">
        <v>-5.3516998291015598</v>
      </c>
      <c r="H41">
        <v>32.400001525878899</v>
      </c>
      <c r="J41" s="1">
        <v>42789</v>
      </c>
      <c r="K41">
        <v>305.50000152587802</v>
      </c>
      <c r="L41">
        <v>267.74830017089801</v>
      </c>
      <c r="M41">
        <v>279.84773073196413</v>
      </c>
      <c r="N41">
        <f t="shared" si="0"/>
        <v>273.79801545143107</v>
      </c>
      <c r="P41">
        <f t="shared" si="1"/>
        <v>0</v>
      </c>
      <c r="Q41">
        <f t="shared" si="2"/>
        <v>1</v>
      </c>
      <c r="R41">
        <f t="shared" si="3"/>
        <v>1</v>
      </c>
      <c r="T41">
        <f t="shared" si="7"/>
        <v>1425.1909551955998</v>
      </c>
      <c r="U41">
        <f t="shared" si="8"/>
        <v>658.03899688428737</v>
      </c>
      <c r="V41">
        <f t="shared" si="9"/>
        <v>1005.0159210644283</v>
      </c>
    </row>
    <row r="42" spans="1:22" x14ac:dyDescent="0.3">
      <c r="A42" s="1">
        <v>42790</v>
      </c>
      <c r="B42" s="1">
        <v>42881</v>
      </c>
      <c r="C42">
        <v>264.67191877365099</v>
      </c>
      <c r="D42">
        <v>307.35000076293898</v>
      </c>
      <c r="E42">
        <v>270.64999999999998</v>
      </c>
      <c r="F42">
        <v>-36.700000762939403</v>
      </c>
      <c r="G42">
        <v>-5.9780812263488698</v>
      </c>
      <c r="H42">
        <v>36.700000762939403</v>
      </c>
      <c r="J42" s="1">
        <v>42790</v>
      </c>
      <c r="K42">
        <v>307.35000076293898</v>
      </c>
      <c r="L42">
        <v>264.67191877365099</v>
      </c>
      <c r="M42">
        <v>276.51077260971067</v>
      </c>
      <c r="N42">
        <f t="shared" si="0"/>
        <v>270.59134569168083</v>
      </c>
      <c r="P42">
        <f t="shared" si="1"/>
        <v>0</v>
      </c>
      <c r="Q42">
        <f t="shared" si="2"/>
        <v>1</v>
      </c>
      <c r="R42">
        <f t="shared" si="3"/>
        <v>0</v>
      </c>
      <c r="T42">
        <f t="shared" si="7"/>
        <v>1821.4186822843878</v>
      </c>
      <c r="U42">
        <f t="shared" si="8"/>
        <v>951.05799308686926</v>
      </c>
      <c r="V42">
        <f t="shared" si="9"/>
        <v>1351.1987226477322</v>
      </c>
    </row>
    <row r="43" spans="1:22" x14ac:dyDescent="0.3">
      <c r="A43" s="1">
        <v>42793</v>
      </c>
      <c r="B43" s="1">
        <v>42884</v>
      </c>
      <c r="C43">
        <v>276.10222682952798</v>
      </c>
      <c r="D43">
        <v>306.80000076293902</v>
      </c>
      <c r="E43">
        <v>269.60000000000002</v>
      </c>
      <c r="F43">
        <v>37.200000762939403</v>
      </c>
      <c r="G43">
        <v>6.5022268295287997</v>
      </c>
      <c r="H43">
        <v>37.200000762939403</v>
      </c>
      <c r="J43" s="1">
        <v>42793</v>
      </c>
      <c r="K43">
        <v>306.80000076293902</v>
      </c>
      <c r="L43">
        <v>276.10222682952798</v>
      </c>
      <c r="M43">
        <v>275.59085664749148</v>
      </c>
      <c r="N43">
        <f t="shared" si="0"/>
        <v>275.8465417385097</v>
      </c>
      <c r="P43">
        <f t="shared" si="1"/>
        <v>1</v>
      </c>
      <c r="Q43">
        <f t="shared" si="2"/>
        <v>1</v>
      </c>
      <c r="R43">
        <f t="shared" si="3"/>
        <v>1</v>
      </c>
      <c r="T43">
        <f t="shared" si="7"/>
        <v>942.35332446681048</v>
      </c>
      <c r="U43">
        <f t="shared" si="8"/>
        <v>974.01067641877398</v>
      </c>
      <c r="V43">
        <f t="shared" si="9"/>
        <v>958.11662557702493</v>
      </c>
    </row>
    <row r="44" spans="1:22" x14ac:dyDescent="0.3">
      <c r="A44" s="1">
        <v>42794</v>
      </c>
      <c r="B44" s="1">
        <v>42885</v>
      </c>
      <c r="C44">
        <v>264.793970203399</v>
      </c>
      <c r="D44">
        <v>304.35000000000002</v>
      </c>
      <c r="E44">
        <v>269.85000000000002</v>
      </c>
      <c r="F44">
        <v>-34.5</v>
      </c>
      <c r="G44">
        <v>-5.05602979660034</v>
      </c>
      <c r="H44">
        <v>34.5</v>
      </c>
      <c r="J44" s="1">
        <v>42794</v>
      </c>
      <c r="K44">
        <v>304.35000000000002</v>
      </c>
      <c r="L44">
        <v>264.793970203399</v>
      </c>
      <c r="M44">
        <v>276.6819425582886</v>
      </c>
      <c r="N44">
        <f t="shared" si="0"/>
        <v>270.7379563808438</v>
      </c>
      <c r="P44">
        <f t="shared" si="1"/>
        <v>0</v>
      </c>
      <c r="Q44">
        <f t="shared" si="2"/>
        <v>1</v>
      </c>
      <c r="R44">
        <f t="shared" si="3"/>
        <v>1</v>
      </c>
      <c r="T44">
        <f t="shared" si="7"/>
        <v>1564.679493269588</v>
      </c>
      <c r="U44">
        <f t="shared" si="8"/>
        <v>765.52140259784301</v>
      </c>
      <c r="V44">
        <f t="shared" si="9"/>
        <v>1129.7694762560607</v>
      </c>
    </row>
    <row r="45" spans="1:22" x14ac:dyDescent="0.3">
      <c r="A45" s="1">
        <v>42795</v>
      </c>
      <c r="B45" s="1">
        <v>42886</v>
      </c>
      <c r="C45">
        <v>266.850255823135</v>
      </c>
      <c r="D45">
        <v>305.05000076293902</v>
      </c>
      <c r="E45">
        <v>269.85000000000002</v>
      </c>
      <c r="F45">
        <v>-35.200000762939403</v>
      </c>
      <c r="G45">
        <v>-2.99974417686462</v>
      </c>
      <c r="H45">
        <v>35.200000762939403</v>
      </c>
      <c r="J45" s="1">
        <v>42795</v>
      </c>
      <c r="K45">
        <v>305.05000076293902</v>
      </c>
      <c r="L45">
        <v>266.850255823135</v>
      </c>
      <c r="M45">
        <v>276.53721103668215</v>
      </c>
      <c r="N45">
        <f t="shared" si="0"/>
        <v>271.69373342990855</v>
      </c>
      <c r="P45">
        <f t="shared" si="1"/>
        <v>0</v>
      </c>
      <c r="Q45">
        <f t="shared" si="2"/>
        <v>1</v>
      </c>
      <c r="R45">
        <f t="shared" si="3"/>
        <v>1</v>
      </c>
      <c r="T45">
        <f t="shared" si="7"/>
        <v>1459.2205134660828</v>
      </c>
      <c r="U45">
        <f t="shared" si="8"/>
        <v>812.9791779737393</v>
      </c>
      <c r="V45">
        <f t="shared" si="9"/>
        <v>1112.6405703925959</v>
      </c>
    </row>
    <row r="46" spans="1:22" x14ac:dyDescent="0.3">
      <c r="A46" s="1">
        <v>42796</v>
      </c>
      <c r="B46" s="1">
        <v>42887</v>
      </c>
      <c r="C46">
        <v>274.93047742843601</v>
      </c>
      <c r="D46">
        <v>304.150000381469</v>
      </c>
      <c r="E46">
        <v>272.8</v>
      </c>
      <c r="F46">
        <v>31.350000381469702</v>
      </c>
      <c r="G46">
        <v>2.13047742843627</v>
      </c>
      <c r="H46">
        <v>31.350000381469702</v>
      </c>
      <c r="J46" s="1">
        <v>42796</v>
      </c>
      <c r="K46">
        <v>304.150000381469</v>
      </c>
      <c r="L46">
        <v>274.93047742843601</v>
      </c>
      <c r="M46">
        <v>278.81614522933961</v>
      </c>
      <c r="N46">
        <f t="shared" si="0"/>
        <v>276.87331132888778</v>
      </c>
      <c r="P46">
        <f t="shared" si="1"/>
        <v>1</v>
      </c>
      <c r="Q46">
        <f t="shared" si="2"/>
        <v>1</v>
      </c>
      <c r="R46">
        <f t="shared" si="3"/>
        <v>1</v>
      </c>
      <c r="T46">
        <f t="shared" si="7"/>
        <v>853.78052160282186</v>
      </c>
      <c r="U46">
        <f t="shared" si="8"/>
        <v>641.80421686907277</v>
      </c>
      <c r="V46">
        <f t="shared" si="9"/>
        <v>744.01776567120407</v>
      </c>
    </row>
    <row r="47" spans="1:22" x14ac:dyDescent="0.3">
      <c r="A47" s="1">
        <v>42797</v>
      </c>
      <c r="B47" s="1">
        <v>42888</v>
      </c>
      <c r="C47">
        <v>271.49004817008898</v>
      </c>
      <c r="D47">
        <v>307.75</v>
      </c>
      <c r="E47">
        <v>269.75</v>
      </c>
      <c r="F47">
        <v>38</v>
      </c>
      <c r="G47">
        <v>1.7400481700897199</v>
      </c>
      <c r="H47">
        <v>38</v>
      </c>
      <c r="J47" s="1">
        <v>42797</v>
      </c>
      <c r="K47">
        <v>307.75</v>
      </c>
      <c r="L47">
        <v>271.49004817008898</v>
      </c>
      <c r="M47">
        <v>276.46697807312012</v>
      </c>
      <c r="N47">
        <f t="shared" si="0"/>
        <v>273.97851312160458</v>
      </c>
      <c r="P47">
        <f t="shared" si="1"/>
        <v>1</v>
      </c>
      <c r="Q47">
        <f t="shared" si="2"/>
        <v>1</v>
      </c>
      <c r="R47">
        <f t="shared" si="3"/>
        <v>1</v>
      </c>
      <c r="T47">
        <f t="shared" si="7"/>
        <v>1314.7841067074673</v>
      </c>
      <c r="U47">
        <f t="shared" si="8"/>
        <v>978.62746087764754</v>
      </c>
      <c r="V47">
        <f t="shared" si="9"/>
        <v>1140.5133259776342</v>
      </c>
    </row>
    <row r="48" spans="1:22" x14ac:dyDescent="0.3">
      <c r="A48" s="1">
        <v>42800</v>
      </c>
      <c r="B48" s="1">
        <v>42891</v>
      </c>
      <c r="C48">
        <v>272.97960219383202</v>
      </c>
      <c r="D48">
        <v>307.60000000000002</v>
      </c>
      <c r="E48">
        <v>270.35000000000002</v>
      </c>
      <c r="F48">
        <v>37.25</v>
      </c>
      <c r="G48">
        <v>2.6296021938323899</v>
      </c>
      <c r="H48">
        <v>37.25</v>
      </c>
      <c r="J48" s="1">
        <v>42800</v>
      </c>
      <c r="K48">
        <v>307.60000000000002</v>
      </c>
      <c r="L48">
        <v>272.97960219383202</v>
      </c>
      <c r="M48">
        <v>274.75338134765627</v>
      </c>
      <c r="N48">
        <f t="shared" si="0"/>
        <v>273.86649177074412</v>
      </c>
      <c r="P48">
        <f t="shared" si="1"/>
        <v>1</v>
      </c>
      <c r="Q48">
        <f t="shared" si="2"/>
        <v>1</v>
      </c>
      <c r="R48">
        <f t="shared" si="3"/>
        <v>1</v>
      </c>
      <c r="T48">
        <f t="shared" si="7"/>
        <v>1198.571944257322</v>
      </c>
      <c r="U48">
        <f t="shared" si="8"/>
        <v>1078.9003568924963</v>
      </c>
      <c r="V48">
        <f t="shared" si="9"/>
        <v>1137.9495774532759</v>
      </c>
    </row>
    <row r="49" spans="1:22" x14ac:dyDescent="0.3">
      <c r="A49" s="1">
        <v>42801</v>
      </c>
      <c r="B49" s="1">
        <v>42892</v>
      </c>
      <c r="C49">
        <v>274.52584123611399</v>
      </c>
      <c r="D49">
        <v>307.59999847412098</v>
      </c>
      <c r="E49">
        <v>271.75</v>
      </c>
      <c r="F49">
        <v>35.849998474121001</v>
      </c>
      <c r="G49">
        <v>2.7758412361145002</v>
      </c>
      <c r="H49">
        <v>35.849998474121001</v>
      </c>
      <c r="J49" s="1">
        <v>42801</v>
      </c>
      <c r="K49">
        <v>307.59999847412098</v>
      </c>
      <c r="L49">
        <v>274.52584123611399</v>
      </c>
      <c r="M49">
        <v>277.62438583374023</v>
      </c>
      <c r="N49">
        <f t="shared" si="0"/>
        <v>276.07511353492714</v>
      </c>
      <c r="P49">
        <f t="shared" si="1"/>
        <v>1</v>
      </c>
      <c r="Q49">
        <f t="shared" si="2"/>
        <v>1</v>
      </c>
      <c r="R49">
        <f t="shared" si="3"/>
        <v>1</v>
      </c>
      <c r="T49">
        <f t="shared" si="7"/>
        <v>1093.8998770044102</v>
      </c>
      <c r="U49">
        <f t="shared" si="8"/>
        <v>898.53735316615393</v>
      </c>
      <c r="V49">
        <f t="shared" si="9"/>
        <v>993.81837042941061</v>
      </c>
    </row>
    <row r="50" spans="1:22" x14ac:dyDescent="0.3">
      <c r="A50" s="1">
        <v>42802</v>
      </c>
      <c r="B50" s="1">
        <v>42893</v>
      </c>
      <c r="C50">
        <v>272.89617596864701</v>
      </c>
      <c r="D50">
        <v>305.39999847412099</v>
      </c>
      <c r="E50">
        <v>272.3</v>
      </c>
      <c r="F50">
        <v>33.099998474121001</v>
      </c>
      <c r="G50">
        <v>0.59617596864700295</v>
      </c>
      <c r="H50">
        <v>33.099998474121001</v>
      </c>
      <c r="J50" s="1">
        <v>42802</v>
      </c>
      <c r="K50">
        <v>305.39999847412099</v>
      </c>
      <c r="L50">
        <v>272.89617596864701</v>
      </c>
      <c r="M50">
        <v>280.42430286407472</v>
      </c>
      <c r="N50">
        <f t="shared" si="0"/>
        <v>276.66023941636087</v>
      </c>
      <c r="P50">
        <f t="shared" si="1"/>
        <v>1</v>
      </c>
      <c r="Q50">
        <f t="shared" si="2"/>
        <v>1</v>
      </c>
      <c r="R50">
        <f t="shared" si="3"/>
        <v>1</v>
      </c>
      <c r="T50">
        <f t="shared" si="7"/>
        <v>1056.4984774673567</v>
      </c>
      <c r="U50">
        <f t="shared" si="8"/>
        <v>623.78537120568467</v>
      </c>
      <c r="V50">
        <f t="shared" si="9"/>
        <v>825.97375069810516</v>
      </c>
    </row>
    <row r="51" spans="1:22" x14ac:dyDescent="0.3">
      <c r="A51" s="1">
        <v>42803</v>
      </c>
      <c r="B51" s="1">
        <v>42894</v>
      </c>
      <c r="C51">
        <v>269.79390745162902</v>
      </c>
      <c r="D51">
        <v>306.64999847412099</v>
      </c>
      <c r="E51">
        <v>271.55</v>
      </c>
      <c r="F51">
        <v>-35.099998474121001</v>
      </c>
      <c r="G51">
        <v>-1.75609254837036</v>
      </c>
      <c r="H51">
        <v>35.099998474121001</v>
      </c>
      <c r="J51" s="1">
        <v>42803</v>
      </c>
      <c r="K51">
        <v>306.64999847412099</v>
      </c>
      <c r="L51">
        <v>269.79390745162902</v>
      </c>
      <c r="M51">
        <v>278.91729001998903</v>
      </c>
      <c r="N51">
        <f t="shared" si="0"/>
        <v>274.35559873580905</v>
      </c>
      <c r="P51">
        <f t="shared" si="1"/>
        <v>0</v>
      </c>
      <c r="Q51">
        <f t="shared" si="2"/>
        <v>1</v>
      </c>
      <c r="R51">
        <f t="shared" si="3"/>
        <v>1</v>
      </c>
      <c r="T51">
        <f t="shared" si="7"/>
        <v>1358.371445458213</v>
      </c>
      <c r="U51">
        <f t="shared" si="8"/>
        <v>769.10311820188269</v>
      </c>
      <c r="V51">
        <f t="shared" si="9"/>
        <v>1042.9282544578821</v>
      </c>
    </row>
    <row r="52" spans="1:22" x14ac:dyDescent="0.3">
      <c r="A52" s="1">
        <v>42804</v>
      </c>
      <c r="B52" s="1">
        <v>42895</v>
      </c>
      <c r="C52">
        <v>269.86532325744599</v>
      </c>
      <c r="D52">
        <v>308.54999847412103</v>
      </c>
      <c r="E52">
        <v>272.45</v>
      </c>
      <c r="F52">
        <v>-36.099998474121001</v>
      </c>
      <c r="G52">
        <v>-2.58467674255371</v>
      </c>
      <c r="H52">
        <v>36.099998474121001</v>
      </c>
      <c r="J52" s="1">
        <v>42804</v>
      </c>
      <c r="K52">
        <v>308.54999847412103</v>
      </c>
      <c r="L52">
        <v>269.86532325744599</v>
      </c>
      <c r="M52">
        <v>279.55438680648803</v>
      </c>
      <c r="N52">
        <f t="shared" si="0"/>
        <v>274.70985503196698</v>
      </c>
      <c r="P52">
        <f t="shared" si="1"/>
        <v>0</v>
      </c>
      <c r="Q52">
        <f t="shared" si="2"/>
        <v>1</v>
      </c>
      <c r="R52">
        <f t="shared" si="3"/>
        <v>1</v>
      </c>
      <c r="T52">
        <f t="shared" si="7"/>
        <v>1496.5040966196314</v>
      </c>
      <c r="U52">
        <f t="shared" si="8"/>
        <v>840.74549598017495</v>
      </c>
      <c r="V52">
        <f t="shared" si="9"/>
        <v>1145.1553081855614</v>
      </c>
    </row>
    <row r="53" spans="1:22" x14ac:dyDescent="0.3">
      <c r="A53" s="1">
        <v>42807</v>
      </c>
      <c r="B53" s="1">
        <v>42898</v>
      </c>
      <c r="C53">
        <v>267.80831565856897</v>
      </c>
      <c r="D53">
        <v>305.29999961853002</v>
      </c>
      <c r="E53">
        <v>275.64999999999998</v>
      </c>
      <c r="F53">
        <v>-29.649999618530199</v>
      </c>
      <c r="G53">
        <v>-7.8416843414306596</v>
      </c>
      <c r="H53">
        <v>29.649999618530199</v>
      </c>
      <c r="J53" s="1">
        <v>42807</v>
      </c>
      <c r="K53">
        <v>305.29999961853002</v>
      </c>
      <c r="L53">
        <v>267.80831565856897</v>
      </c>
      <c r="M53">
        <v>282.1277989387512</v>
      </c>
      <c r="N53">
        <f t="shared" si="0"/>
        <v>274.96805729866009</v>
      </c>
      <c r="P53">
        <f t="shared" si="1"/>
        <v>0</v>
      </c>
      <c r="Q53">
        <f t="shared" si="2"/>
        <v>1</v>
      </c>
      <c r="R53">
        <f t="shared" si="3"/>
        <v>0</v>
      </c>
      <c r="T53">
        <f t="shared" si="7"/>
        <v>1405.6263661536007</v>
      </c>
      <c r="U53">
        <f t="shared" si="8"/>
        <v>536.95088434394222</v>
      </c>
      <c r="V53">
        <f t="shared" si="9"/>
        <v>920.02672489591691</v>
      </c>
    </row>
    <row r="54" spans="1:22" x14ac:dyDescent="0.3">
      <c r="A54" s="1">
        <v>42808</v>
      </c>
      <c r="B54" s="1">
        <v>42899</v>
      </c>
      <c r="C54">
        <v>262.28696765899599</v>
      </c>
      <c r="D54">
        <v>307.04999961853002</v>
      </c>
      <c r="E54">
        <v>277.89999999999998</v>
      </c>
      <c r="F54">
        <v>-29.149999618530199</v>
      </c>
      <c r="G54">
        <v>-15.6130323410034</v>
      </c>
      <c r="H54">
        <v>29.149999618530199</v>
      </c>
      <c r="J54" s="1">
        <v>42808</v>
      </c>
      <c r="K54">
        <v>307.04999961853002</v>
      </c>
      <c r="L54">
        <v>262.28696765899599</v>
      </c>
      <c r="M54">
        <v>284.4290513038635</v>
      </c>
      <c r="N54">
        <f t="shared" si="0"/>
        <v>273.35800948142975</v>
      </c>
      <c r="P54">
        <f t="shared" si="1"/>
        <v>0</v>
      </c>
      <c r="Q54">
        <f t="shared" si="2"/>
        <v>1</v>
      </c>
      <c r="R54">
        <f t="shared" si="3"/>
        <v>0</v>
      </c>
      <c r="T54">
        <f t="shared" si="7"/>
        <v>2003.7290302102651</v>
      </c>
      <c r="U54">
        <f t="shared" si="8"/>
        <v>511.7073026548141</v>
      </c>
      <c r="V54">
        <f t="shared" si="9"/>
        <v>1135.1501993984623</v>
      </c>
    </row>
    <row r="55" spans="1:22" x14ac:dyDescent="0.3">
      <c r="A55" s="1">
        <v>42809</v>
      </c>
      <c r="B55" s="1">
        <v>42900</v>
      </c>
      <c r="C55">
        <v>268.66996002197197</v>
      </c>
      <c r="D55">
        <v>307.39999961852999</v>
      </c>
      <c r="E55">
        <v>278.5</v>
      </c>
      <c r="F55">
        <v>-28.899999618530199</v>
      </c>
      <c r="G55">
        <v>-9.8300399780273402</v>
      </c>
      <c r="H55">
        <v>28.899999618530199</v>
      </c>
      <c r="J55" s="1">
        <v>42809</v>
      </c>
      <c r="K55">
        <v>307.39999961852999</v>
      </c>
      <c r="L55">
        <v>268.66996002197197</v>
      </c>
      <c r="M55">
        <v>289.28943443298328</v>
      </c>
      <c r="N55">
        <f t="shared" si="0"/>
        <v>278.97969722747763</v>
      </c>
      <c r="P55">
        <f t="shared" si="1"/>
        <v>0</v>
      </c>
      <c r="Q55">
        <f t="shared" si="2"/>
        <v>1</v>
      </c>
      <c r="R55">
        <f t="shared" si="3"/>
        <v>1</v>
      </c>
      <c r="T55">
        <f t="shared" si="7"/>
        <v>1500.0159671509518</v>
      </c>
      <c r="U55">
        <f t="shared" si="8"/>
        <v>327.99257133993632</v>
      </c>
      <c r="V55">
        <f t="shared" si="9"/>
        <v>807.7135879988565</v>
      </c>
    </row>
    <row r="56" spans="1:22" x14ac:dyDescent="0.3">
      <c r="A56" s="1">
        <v>42810</v>
      </c>
      <c r="B56" s="1">
        <v>42901</v>
      </c>
      <c r="C56">
        <v>270.85375232696498</v>
      </c>
      <c r="D56">
        <v>305.65000076293899</v>
      </c>
      <c r="E56">
        <v>280.2</v>
      </c>
      <c r="F56">
        <v>-25.4500007629394</v>
      </c>
      <c r="G56">
        <v>-9.3462476730346609</v>
      </c>
      <c r="H56">
        <v>25.4500007629394</v>
      </c>
      <c r="J56" s="1">
        <v>42810</v>
      </c>
      <c r="K56">
        <v>305.65000076293899</v>
      </c>
      <c r="L56">
        <v>270.85375232696498</v>
      </c>
      <c r="M56">
        <v>288.24156303405761</v>
      </c>
      <c r="N56">
        <f t="shared" si="0"/>
        <v>279.54765768051129</v>
      </c>
      <c r="P56">
        <f t="shared" si="1"/>
        <v>0</v>
      </c>
      <c r="Q56">
        <f t="shared" si="2"/>
        <v>1</v>
      </c>
      <c r="R56">
        <f t="shared" si="3"/>
        <v>0</v>
      </c>
      <c r="T56">
        <f t="shared" si="7"/>
        <v>1210.7789052180235</v>
      </c>
      <c r="U56">
        <f t="shared" si="8"/>
        <v>303.05370416034071</v>
      </c>
      <c r="V56">
        <f t="shared" si="9"/>
        <v>681.33231439276085</v>
      </c>
    </row>
    <row r="57" spans="1:22" x14ac:dyDescent="0.3">
      <c r="A57" s="1">
        <v>42811</v>
      </c>
      <c r="B57" s="1">
        <v>42902</v>
      </c>
      <c r="C57">
        <v>280.62536779642102</v>
      </c>
      <c r="D57">
        <v>305.99999961853001</v>
      </c>
      <c r="E57">
        <v>281.35000000000002</v>
      </c>
      <c r="F57">
        <v>-24.649999618530199</v>
      </c>
      <c r="G57">
        <v>-0.72463220357894897</v>
      </c>
      <c r="H57">
        <v>24.649999618530199</v>
      </c>
      <c r="J57" s="1">
        <v>42811</v>
      </c>
      <c r="K57">
        <v>305.99999961853001</v>
      </c>
      <c r="L57">
        <v>280.62536779642102</v>
      </c>
      <c r="M57">
        <v>286.44920215606692</v>
      </c>
      <c r="N57">
        <f t="shared" si="0"/>
        <v>283.537284976244</v>
      </c>
      <c r="P57">
        <f t="shared" si="1"/>
        <v>0</v>
      </c>
      <c r="Q57">
        <f t="shared" si="2"/>
        <v>1</v>
      </c>
      <c r="R57">
        <f t="shared" si="3"/>
        <v>1</v>
      </c>
      <c r="T57">
        <f t="shared" si="7"/>
        <v>643.87194010758651</v>
      </c>
      <c r="U57">
        <f t="shared" si="8"/>
        <v>382.23368141825335</v>
      </c>
      <c r="V57">
        <f t="shared" si="9"/>
        <v>504.57354910077061</v>
      </c>
    </row>
    <row r="58" spans="1:22" x14ac:dyDescent="0.3">
      <c r="A58" s="1">
        <v>42814</v>
      </c>
      <c r="B58" s="1">
        <v>42905</v>
      </c>
      <c r="C58">
        <v>280.47910197973198</v>
      </c>
      <c r="D58">
        <v>307.79999961853002</v>
      </c>
      <c r="E58">
        <v>281.39999999999998</v>
      </c>
      <c r="F58">
        <v>-26.399999618530199</v>
      </c>
      <c r="G58">
        <v>-0.92089802026748602</v>
      </c>
      <c r="H58">
        <v>26.399999618530199</v>
      </c>
      <c r="J58" s="1">
        <v>42814</v>
      </c>
      <c r="K58">
        <v>307.79999961853002</v>
      </c>
      <c r="L58">
        <v>280.47910197973198</v>
      </c>
      <c r="M58">
        <v>286.45078411102293</v>
      </c>
      <c r="N58">
        <f t="shared" si="0"/>
        <v>283.46494304537748</v>
      </c>
      <c r="P58">
        <f t="shared" si="1"/>
        <v>0</v>
      </c>
      <c r="Q58">
        <f t="shared" si="2"/>
        <v>1</v>
      </c>
      <c r="R58">
        <f t="shared" si="3"/>
        <v>1</v>
      </c>
      <c r="T58">
        <f t="shared" si="7"/>
        <v>746.43144778968053</v>
      </c>
      <c r="U58">
        <f t="shared" si="8"/>
        <v>455.78900278598149</v>
      </c>
      <c r="V58">
        <f t="shared" si="9"/>
        <v>592.19497841853479</v>
      </c>
    </row>
    <row r="59" spans="1:22" x14ac:dyDescent="0.3">
      <c r="A59" s="1">
        <v>42815</v>
      </c>
      <c r="B59" s="1">
        <v>42906</v>
      </c>
      <c r="C59">
        <v>275.41891880035399</v>
      </c>
      <c r="D59">
        <v>308.09999961852998</v>
      </c>
      <c r="E59">
        <v>283.95</v>
      </c>
      <c r="F59">
        <v>-24.149999618530199</v>
      </c>
      <c r="G59">
        <v>-8.5310811996459908</v>
      </c>
      <c r="H59">
        <v>24.149999618530199</v>
      </c>
      <c r="J59" s="1">
        <v>42815</v>
      </c>
      <c r="K59">
        <v>308.09999961852998</v>
      </c>
      <c r="L59">
        <v>275.41891880035399</v>
      </c>
      <c r="M59">
        <v>288.13918228149413</v>
      </c>
      <c r="N59">
        <f t="shared" si="0"/>
        <v>281.77905054092406</v>
      </c>
      <c r="P59">
        <f t="shared" si="1"/>
        <v>0</v>
      </c>
      <c r="Q59">
        <f t="shared" si="2"/>
        <v>1</v>
      </c>
      <c r="R59">
        <f t="shared" si="3"/>
        <v>0</v>
      </c>
      <c r="T59">
        <f t="shared" si="7"/>
        <v>1068.0530434441503</v>
      </c>
      <c r="U59">
        <f t="shared" si="8"/>
        <v>398.43422876251088</v>
      </c>
      <c r="V59">
        <f t="shared" si="9"/>
        <v>692.79236034592373</v>
      </c>
    </row>
    <row r="60" spans="1:22" x14ac:dyDescent="0.3">
      <c r="A60" s="1">
        <v>42816</v>
      </c>
      <c r="B60" s="1">
        <v>42907</v>
      </c>
      <c r="C60">
        <v>279.63296527862502</v>
      </c>
      <c r="D60">
        <v>306.80000038146898</v>
      </c>
      <c r="E60">
        <v>282.45</v>
      </c>
      <c r="F60">
        <v>-24.350000381469702</v>
      </c>
      <c r="G60">
        <v>-2.8170347213745099</v>
      </c>
      <c r="H60">
        <v>24.350000381469702</v>
      </c>
      <c r="J60" s="1">
        <v>42816</v>
      </c>
      <c r="K60">
        <v>306.80000038146898</v>
      </c>
      <c r="L60">
        <v>279.63296527862502</v>
      </c>
      <c r="M60">
        <v>290.32615728378295</v>
      </c>
      <c r="N60">
        <f t="shared" si="0"/>
        <v>284.97956128120398</v>
      </c>
      <c r="P60">
        <f t="shared" si="1"/>
        <v>0</v>
      </c>
      <c r="Q60">
        <f t="shared" si="2"/>
        <v>1</v>
      </c>
      <c r="R60">
        <f t="shared" si="3"/>
        <v>1</v>
      </c>
      <c r="T60">
        <f t="shared" si="7"/>
        <v>738.04779627915559</v>
      </c>
      <c r="U60">
        <f t="shared" si="8"/>
        <v>271.38750640717763</v>
      </c>
      <c r="V60">
        <f t="shared" si="9"/>
        <v>476.13156252837325</v>
      </c>
    </row>
    <row r="61" spans="1:22" x14ac:dyDescent="0.3">
      <c r="A61" s="1">
        <v>42817</v>
      </c>
      <c r="B61" s="1">
        <v>42908</v>
      </c>
      <c r="C61">
        <v>281.82761535644499</v>
      </c>
      <c r="D61">
        <v>308.55000076293902</v>
      </c>
      <c r="E61">
        <v>283.10000000000002</v>
      </c>
      <c r="F61">
        <v>-25.4500007629394</v>
      </c>
      <c r="G61">
        <v>-1.27238464355468</v>
      </c>
      <c r="H61">
        <v>25.4500007629394</v>
      </c>
      <c r="J61" s="1">
        <v>42817</v>
      </c>
      <c r="K61">
        <v>308.55000076293902</v>
      </c>
      <c r="L61">
        <v>281.82761535644499</v>
      </c>
      <c r="M61">
        <v>287.39612064361575</v>
      </c>
      <c r="N61">
        <f t="shared" si="0"/>
        <v>284.61186800003037</v>
      </c>
      <c r="P61">
        <f t="shared" si="1"/>
        <v>0</v>
      </c>
      <c r="Q61">
        <f t="shared" si="2"/>
        <v>1</v>
      </c>
      <c r="R61">
        <f t="shared" si="3"/>
        <v>1</v>
      </c>
      <c r="T61">
        <f t="shared" si="7"/>
        <v>714.08588181320499</v>
      </c>
      <c r="U61">
        <f t="shared" si="8"/>
        <v>447.48664410270055</v>
      </c>
      <c r="V61">
        <f t="shared" si="9"/>
        <v>573.03420017464055</v>
      </c>
    </row>
    <row r="62" spans="1:22" x14ac:dyDescent="0.3">
      <c r="A62" s="1">
        <v>42818</v>
      </c>
      <c r="B62" s="1">
        <v>42909</v>
      </c>
      <c r="C62">
        <v>280.69783139228798</v>
      </c>
      <c r="D62">
        <v>309.25</v>
      </c>
      <c r="E62">
        <v>282.75</v>
      </c>
      <c r="F62">
        <v>-26.5</v>
      </c>
      <c r="G62">
        <v>-2.0521686077117902</v>
      </c>
      <c r="H62">
        <v>26.5</v>
      </c>
      <c r="J62" s="1">
        <v>42818</v>
      </c>
      <c r="K62">
        <v>309.25</v>
      </c>
      <c r="L62">
        <v>280.69783139228798</v>
      </c>
      <c r="M62">
        <v>288.87134885787964</v>
      </c>
      <c r="N62">
        <f t="shared" si="0"/>
        <v>284.78459012508381</v>
      </c>
      <c r="P62">
        <f t="shared" si="1"/>
        <v>0</v>
      </c>
      <c r="Q62">
        <f t="shared" si="2"/>
        <v>1</v>
      </c>
      <c r="R62">
        <f t="shared" si="3"/>
        <v>1</v>
      </c>
      <c r="T62">
        <f t="shared" si="7"/>
        <v>815.22633220321575</v>
      </c>
      <c r="U62">
        <f t="shared" si="8"/>
        <v>415.28942237224351</v>
      </c>
      <c r="V62">
        <f t="shared" si="9"/>
        <v>598.55628034764663</v>
      </c>
    </row>
    <row r="63" spans="1:22" x14ac:dyDescent="0.3">
      <c r="A63" s="1">
        <v>42821</v>
      </c>
      <c r="B63" s="1">
        <v>42912</v>
      </c>
      <c r="C63">
        <v>284.88457956313999</v>
      </c>
      <c r="D63">
        <v>310.54999961853002</v>
      </c>
      <c r="E63">
        <v>280.64999999999998</v>
      </c>
      <c r="F63">
        <v>29.899999618530199</v>
      </c>
      <c r="G63">
        <v>4.2345795631408603</v>
      </c>
      <c r="H63">
        <v>29.899999618530199</v>
      </c>
      <c r="J63" s="1">
        <v>42821</v>
      </c>
      <c r="K63">
        <v>310.54999961853002</v>
      </c>
      <c r="L63">
        <v>284.88457956313999</v>
      </c>
      <c r="M63">
        <v>286.91611995697019</v>
      </c>
      <c r="N63">
        <f t="shared" si="0"/>
        <v>285.90034976005506</v>
      </c>
      <c r="P63">
        <f t="shared" si="1"/>
        <v>1</v>
      </c>
      <c r="Q63">
        <f t="shared" si="2"/>
        <v>1</v>
      </c>
      <c r="R63">
        <f t="shared" si="3"/>
        <v>1</v>
      </c>
      <c r="T63">
        <f t="shared" si="7"/>
        <v>658.71378661961671</v>
      </c>
      <c r="U63">
        <f t="shared" si="8"/>
        <v>558.56026785709139</v>
      </c>
      <c r="V63">
        <f t="shared" si="9"/>
        <v>607.60523814541455</v>
      </c>
    </row>
    <row r="64" spans="1:22" x14ac:dyDescent="0.3">
      <c r="A64" s="1">
        <v>42822</v>
      </c>
      <c r="B64" s="1">
        <v>42913</v>
      </c>
      <c r="C64">
        <v>278.78576631546002</v>
      </c>
      <c r="D64">
        <v>311.09999961852998</v>
      </c>
      <c r="E64">
        <v>281.45</v>
      </c>
      <c r="F64">
        <v>-29.649999618530199</v>
      </c>
      <c r="G64">
        <v>-2.66423368453979</v>
      </c>
      <c r="H64">
        <v>29.649999618530199</v>
      </c>
      <c r="J64" s="1">
        <v>42822</v>
      </c>
      <c r="K64">
        <v>311.09999961852998</v>
      </c>
      <c r="L64">
        <v>278.78576631546002</v>
      </c>
      <c r="M64">
        <v>286.18700428009032</v>
      </c>
      <c r="N64">
        <f t="shared" si="0"/>
        <v>282.4863852977752</v>
      </c>
      <c r="P64">
        <f t="shared" si="1"/>
        <v>0</v>
      </c>
      <c r="Q64">
        <f t="shared" si="2"/>
        <v>1</v>
      </c>
      <c r="R64">
        <f t="shared" si="3"/>
        <v>1</v>
      </c>
      <c r="T64">
        <f t="shared" si="7"/>
        <v>1044.2096739652354</v>
      </c>
      <c r="U64">
        <f t="shared" si="8"/>
        <v>620.65733673311604</v>
      </c>
      <c r="V64">
        <f t="shared" si="9"/>
        <v>818.73892449690288</v>
      </c>
    </row>
    <row r="65" spans="1:22" x14ac:dyDescent="0.3">
      <c r="A65" s="1">
        <v>42823</v>
      </c>
      <c r="B65" s="1">
        <v>42914</v>
      </c>
      <c r="C65">
        <v>277.391472911834</v>
      </c>
      <c r="D65">
        <v>310.24999961853001</v>
      </c>
      <c r="E65">
        <v>282.10000000000002</v>
      </c>
      <c r="F65">
        <v>-28.149999618530199</v>
      </c>
      <c r="G65">
        <v>-4.7085270881652797</v>
      </c>
      <c r="H65">
        <v>28.149999618530199</v>
      </c>
      <c r="J65" s="1">
        <v>42823</v>
      </c>
      <c r="K65">
        <v>310.24999961853001</v>
      </c>
      <c r="L65">
        <v>277.391472911834</v>
      </c>
      <c r="M65">
        <v>286.16967782974245</v>
      </c>
      <c r="N65">
        <f t="shared" si="0"/>
        <v>281.78057537078826</v>
      </c>
      <c r="P65">
        <f t="shared" si="1"/>
        <v>0</v>
      </c>
      <c r="Q65">
        <f t="shared" si="2"/>
        <v>1</v>
      </c>
      <c r="R65">
        <f t="shared" si="3"/>
        <v>0</v>
      </c>
      <c r="T65">
        <f t="shared" si="7"/>
        <v>1079.6827773346549</v>
      </c>
      <c r="U65">
        <f t="shared" si="8"/>
        <v>579.86189745155684</v>
      </c>
      <c r="V65">
        <f t="shared" si="9"/>
        <v>810.5081169979062</v>
      </c>
    </row>
    <row r="66" spans="1:22" x14ac:dyDescent="0.3">
      <c r="A66" s="1">
        <v>42824</v>
      </c>
      <c r="B66" s="1">
        <v>42915</v>
      </c>
      <c r="C66">
        <v>284.59576873779298</v>
      </c>
      <c r="D66">
        <v>312.34999923705999</v>
      </c>
      <c r="E66">
        <v>282.05</v>
      </c>
      <c r="F66">
        <v>30.299999237060501</v>
      </c>
      <c r="G66">
        <v>2.5457687377929599</v>
      </c>
      <c r="H66">
        <v>30.299999237060501</v>
      </c>
      <c r="J66" s="1">
        <v>42824</v>
      </c>
      <c r="K66">
        <v>312.34999923705999</v>
      </c>
      <c r="L66">
        <v>284.59576873779298</v>
      </c>
      <c r="M66">
        <v>291.44809608459474</v>
      </c>
      <c r="N66">
        <f t="shared" si="0"/>
        <v>288.02193241119386</v>
      </c>
      <c r="P66">
        <f t="shared" si="1"/>
        <v>1</v>
      </c>
      <c r="Q66">
        <f t="shared" si="2"/>
        <v>1</v>
      </c>
      <c r="R66">
        <f t="shared" si="3"/>
        <v>1</v>
      </c>
      <c r="T66">
        <f t="shared" si="7"/>
        <v>770.29731060644303</v>
      </c>
      <c r="U66">
        <f t="shared" si="8"/>
        <v>436.88955539503684</v>
      </c>
      <c r="V66">
        <f t="shared" si="9"/>
        <v>591.85483548380819</v>
      </c>
    </row>
    <row r="67" spans="1:22" x14ac:dyDescent="0.3">
      <c r="A67" s="1">
        <v>42825</v>
      </c>
      <c r="B67" s="1">
        <v>42916</v>
      </c>
      <c r="C67">
        <v>281.94801167249602</v>
      </c>
      <c r="D67">
        <v>311.55000076293902</v>
      </c>
      <c r="E67">
        <v>281.60000000000002</v>
      </c>
      <c r="F67">
        <v>29.9500007629394</v>
      </c>
      <c r="G67">
        <v>0.34801167249679499</v>
      </c>
      <c r="H67">
        <v>29.9500007629394</v>
      </c>
      <c r="J67" s="1">
        <v>42825</v>
      </c>
      <c r="K67">
        <v>311.55000076293902</v>
      </c>
      <c r="L67">
        <v>281.94801167249602</v>
      </c>
      <c r="M67">
        <v>288.32059631347659</v>
      </c>
      <c r="N67">
        <f t="shared" ref="N67:N130" si="10">AVERAGE(L67:M67)</f>
        <v>285.1343039929863</v>
      </c>
      <c r="P67">
        <f t="shared" ref="P67:P130" si="11">IF((E67-K67)*(E67-L67)&gt;0,1,0)</f>
        <v>1</v>
      </c>
      <c r="Q67">
        <f t="shared" ref="Q67:Q130" si="12">IF((E67-K67)*(E67-M67)&gt;0,1,0)</f>
        <v>1</v>
      </c>
      <c r="R67">
        <f t="shared" ref="R67:R130" si="13">IF((E67-K67)*(E67-N67)&gt;0,1,0)</f>
        <v>1</v>
      </c>
      <c r="T67">
        <f t="shared" si="7"/>
        <v>876.27775811070626</v>
      </c>
      <c r="U67">
        <f t="shared" si="8"/>
        <v>539.60523107670519</v>
      </c>
      <c r="V67">
        <f t="shared" si="9"/>
        <v>697.78903584209047</v>
      </c>
    </row>
    <row r="68" spans="1:22" x14ac:dyDescent="0.3">
      <c r="A68" s="1">
        <v>42828</v>
      </c>
      <c r="B68" s="1">
        <v>42919</v>
      </c>
      <c r="C68">
        <v>279.48441948890598</v>
      </c>
      <c r="D68">
        <v>311.94999923706001</v>
      </c>
      <c r="E68">
        <v>281.89999999999998</v>
      </c>
      <c r="F68">
        <v>-30.049999237060501</v>
      </c>
      <c r="G68">
        <v>-2.4155805110931299</v>
      </c>
      <c r="H68">
        <v>30.049999237060501</v>
      </c>
      <c r="J68" s="1">
        <v>42828</v>
      </c>
      <c r="K68">
        <v>311.94999923706001</v>
      </c>
      <c r="L68">
        <v>279.48441948890598</v>
      </c>
      <c r="M68">
        <v>284.65453209877012</v>
      </c>
      <c r="N68">
        <f t="shared" si="10"/>
        <v>282.06947579383802</v>
      </c>
      <c r="P68">
        <f t="shared" si="11"/>
        <v>0</v>
      </c>
      <c r="Q68">
        <f t="shared" si="12"/>
        <v>1</v>
      </c>
      <c r="R68">
        <f t="shared" si="13"/>
        <v>1</v>
      </c>
      <c r="T68">
        <f t="shared" si="7"/>
        <v>1054.013868383749</v>
      </c>
      <c r="U68">
        <f t="shared" si="8"/>
        <v>745.0425262974635</v>
      </c>
      <c r="V68">
        <f t="shared" si="9"/>
        <v>892.84568124093892</v>
      </c>
    </row>
    <row r="69" spans="1:22" x14ac:dyDescent="0.3">
      <c r="A69" s="1">
        <v>42829</v>
      </c>
      <c r="B69" s="1">
        <v>42920</v>
      </c>
      <c r="C69">
        <v>278.28208217620801</v>
      </c>
      <c r="D69">
        <v>309.64999923706</v>
      </c>
      <c r="E69">
        <v>281.35000000000002</v>
      </c>
      <c r="F69">
        <v>-28.299999237060501</v>
      </c>
      <c r="G69">
        <v>-3.0679178237914999</v>
      </c>
      <c r="H69">
        <v>28.299999237060501</v>
      </c>
      <c r="J69" s="1">
        <v>42829</v>
      </c>
      <c r="K69">
        <v>309.64999923706</v>
      </c>
      <c r="L69">
        <v>278.28208217620801</v>
      </c>
      <c r="M69">
        <v>289.8799873352051</v>
      </c>
      <c r="N69">
        <f t="shared" si="10"/>
        <v>284.08103475570658</v>
      </c>
      <c r="P69">
        <f t="shared" si="11"/>
        <v>0</v>
      </c>
      <c r="Q69">
        <f t="shared" si="12"/>
        <v>1</v>
      </c>
      <c r="R69">
        <f t="shared" si="13"/>
        <v>1</v>
      </c>
      <c r="T69">
        <f t="shared" si="7"/>
        <v>983.94622073648964</v>
      </c>
      <c r="U69">
        <f t="shared" si="8"/>
        <v>390.85337059948444</v>
      </c>
      <c r="V69">
        <f t="shared" si="9"/>
        <v>653.77194464871275</v>
      </c>
    </row>
    <row r="70" spans="1:22" x14ac:dyDescent="0.3">
      <c r="A70" s="1">
        <v>42830</v>
      </c>
      <c r="B70" s="1">
        <v>42921</v>
      </c>
      <c r="C70">
        <v>282.95299944877598</v>
      </c>
      <c r="D70">
        <v>311.10000000000002</v>
      </c>
      <c r="E70">
        <v>280.85000000000002</v>
      </c>
      <c r="F70">
        <v>30.25</v>
      </c>
      <c r="G70">
        <v>2.1029994487762398</v>
      </c>
      <c r="H70">
        <v>30.25</v>
      </c>
      <c r="J70" s="1">
        <v>42830</v>
      </c>
      <c r="K70">
        <v>311.10000000000002</v>
      </c>
      <c r="L70">
        <v>282.95299944877598</v>
      </c>
      <c r="M70">
        <v>284.64584932327273</v>
      </c>
      <c r="N70">
        <f t="shared" si="10"/>
        <v>283.79942438602438</v>
      </c>
      <c r="P70">
        <f t="shared" si="11"/>
        <v>1</v>
      </c>
      <c r="Q70">
        <f t="shared" si="12"/>
        <v>1</v>
      </c>
      <c r="R70">
        <f t="shared" si="13"/>
        <v>1</v>
      </c>
      <c r="T70">
        <f t="shared" si="7"/>
        <v>792.25364003060633</v>
      </c>
      <c r="U70">
        <f t="shared" si="8"/>
        <v>699.8220880269912</v>
      </c>
      <c r="V70">
        <f t="shared" si="9"/>
        <v>745.32142885440135</v>
      </c>
    </row>
    <row r="71" spans="1:22" x14ac:dyDescent="0.3">
      <c r="A71" s="1">
        <v>42831</v>
      </c>
      <c r="B71" s="1">
        <v>42922</v>
      </c>
      <c r="C71">
        <v>280.31513335704801</v>
      </c>
      <c r="D71">
        <v>311.10000076293898</v>
      </c>
      <c r="E71">
        <v>279.89999999999998</v>
      </c>
      <c r="F71">
        <v>31.2000007629394</v>
      </c>
      <c r="G71">
        <v>0.415133357048034</v>
      </c>
      <c r="H71">
        <v>31.2000007629394</v>
      </c>
      <c r="J71" s="1">
        <v>42831</v>
      </c>
      <c r="K71">
        <v>311.10000076293898</v>
      </c>
      <c r="L71">
        <v>280.31513335704801</v>
      </c>
      <c r="M71">
        <v>286.30527534484861</v>
      </c>
      <c r="N71">
        <f t="shared" si="10"/>
        <v>283.31020435094831</v>
      </c>
      <c r="P71">
        <f t="shared" si="11"/>
        <v>1</v>
      </c>
      <c r="Q71">
        <f t="shared" si="12"/>
        <v>1</v>
      </c>
      <c r="R71">
        <f t="shared" si="13"/>
        <v>1</v>
      </c>
      <c r="T71">
        <f t="shared" si="7"/>
        <v>947.70806119828785</v>
      </c>
      <c r="U71">
        <f t="shared" si="8"/>
        <v>614.77840855849649</v>
      </c>
      <c r="V71">
        <f t="shared" si="9"/>
        <v>772.27278461988919</v>
      </c>
    </row>
    <row r="72" spans="1:22" x14ac:dyDescent="0.3">
      <c r="A72" s="1">
        <v>42832</v>
      </c>
      <c r="B72" s="1">
        <v>42923</v>
      </c>
      <c r="C72">
        <v>277.94650673866198</v>
      </c>
      <c r="D72">
        <v>310.25</v>
      </c>
      <c r="E72">
        <v>279.25</v>
      </c>
      <c r="F72">
        <v>-31</v>
      </c>
      <c r="G72">
        <v>-1.3034932613372801</v>
      </c>
      <c r="H72">
        <v>31</v>
      </c>
      <c r="J72" s="1">
        <v>42832</v>
      </c>
      <c r="K72">
        <v>310.25</v>
      </c>
      <c r="L72">
        <v>277.94650673866198</v>
      </c>
      <c r="M72">
        <v>285.10426568984985</v>
      </c>
      <c r="N72">
        <f t="shared" si="10"/>
        <v>281.52538621425595</v>
      </c>
      <c r="P72">
        <f t="shared" si="11"/>
        <v>0</v>
      </c>
      <c r="Q72">
        <f t="shared" si="12"/>
        <v>1</v>
      </c>
      <c r="R72">
        <f t="shared" si="13"/>
        <v>1</v>
      </c>
      <c r="T72">
        <f t="shared" si="7"/>
        <v>1043.5156768853108</v>
      </c>
      <c r="U72">
        <f t="shared" si="8"/>
        <v>632.30795399666226</v>
      </c>
      <c r="V72">
        <f t="shared" si="9"/>
        <v>825.10343714015733</v>
      </c>
    </row>
    <row r="73" spans="1:22" x14ac:dyDescent="0.3">
      <c r="A73" s="1">
        <v>42835</v>
      </c>
      <c r="B73" s="1">
        <v>42926</v>
      </c>
      <c r="C73">
        <v>277.54654499292297</v>
      </c>
      <c r="D73">
        <v>310.80000152587797</v>
      </c>
      <c r="E73">
        <v>277.64999999999998</v>
      </c>
      <c r="F73">
        <v>-33.150001525878899</v>
      </c>
      <c r="G73">
        <v>-0.103455007076263</v>
      </c>
      <c r="H73">
        <v>33.150001525878899</v>
      </c>
      <c r="J73" s="1">
        <v>42835</v>
      </c>
      <c r="K73">
        <v>310.80000152587797</v>
      </c>
      <c r="L73">
        <v>277.54654499292297</v>
      </c>
      <c r="M73">
        <v>285.31267347335813</v>
      </c>
      <c r="N73">
        <f t="shared" si="10"/>
        <v>281.42960923314058</v>
      </c>
      <c r="P73">
        <f t="shared" si="11"/>
        <v>0</v>
      </c>
      <c r="Q73">
        <f t="shared" si="12"/>
        <v>1</v>
      </c>
      <c r="R73">
        <f t="shared" si="13"/>
        <v>1</v>
      </c>
      <c r="T73">
        <f t="shared" si="7"/>
        <v>1105.7923713891275</v>
      </c>
      <c r="U73">
        <f t="shared" si="8"/>
        <v>649.60389125676488</v>
      </c>
      <c r="V73">
        <f t="shared" si="9"/>
        <v>862.61994342928801</v>
      </c>
    </row>
    <row r="74" spans="1:22" x14ac:dyDescent="0.3">
      <c r="A74" s="1">
        <v>42836</v>
      </c>
      <c r="B74" s="1">
        <v>42927</v>
      </c>
      <c r="C74">
        <v>271.05382289886398</v>
      </c>
      <c r="D74">
        <v>312.69999923706001</v>
      </c>
      <c r="E74">
        <v>275.89999999999998</v>
      </c>
      <c r="F74">
        <v>-36.799999237060497</v>
      </c>
      <c r="G74">
        <v>-4.8461771011352504</v>
      </c>
      <c r="H74">
        <v>36.799999237060497</v>
      </c>
      <c r="J74" s="1">
        <v>42836</v>
      </c>
      <c r="K74">
        <v>312.69999923706001</v>
      </c>
      <c r="L74">
        <v>271.05382289886398</v>
      </c>
      <c r="M74">
        <v>283.70510187149046</v>
      </c>
      <c r="N74">
        <f t="shared" si="10"/>
        <v>277.37946238517725</v>
      </c>
      <c r="P74">
        <f t="shared" si="11"/>
        <v>0</v>
      </c>
      <c r="Q74">
        <f t="shared" si="12"/>
        <v>1</v>
      </c>
      <c r="R74">
        <f t="shared" si="13"/>
        <v>1</v>
      </c>
      <c r="T74">
        <f t="shared" si="7"/>
        <v>1734.4040035921187</v>
      </c>
      <c r="U74">
        <f t="shared" si="8"/>
        <v>840.70407323991242</v>
      </c>
      <c r="V74">
        <f t="shared" si="9"/>
        <v>1247.5403235052083</v>
      </c>
    </row>
    <row r="75" spans="1:22" x14ac:dyDescent="0.3">
      <c r="A75" s="1">
        <v>42837</v>
      </c>
      <c r="B75" s="1">
        <v>42928</v>
      </c>
      <c r="C75">
        <v>274.23163433074899</v>
      </c>
      <c r="D75">
        <v>312.60000152587799</v>
      </c>
      <c r="E75">
        <v>276.95</v>
      </c>
      <c r="F75">
        <v>-35.650001525878899</v>
      </c>
      <c r="G75">
        <v>-2.7183656692504798</v>
      </c>
      <c r="H75">
        <v>35.650001525878899</v>
      </c>
      <c r="J75" s="1">
        <v>42837</v>
      </c>
      <c r="K75">
        <v>312.60000152587799</v>
      </c>
      <c r="L75">
        <v>274.23163433074899</v>
      </c>
      <c r="M75">
        <v>281.99390048980712</v>
      </c>
      <c r="N75">
        <f t="shared" si="10"/>
        <v>278.11276741027802</v>
      </c>
      <c r="P75">
        <f t="shared" si="11"/>
        <v>0</v>
      </c>
      <c r="Q75">
        <f t="shared" si="12"/>
        <v>1</v>
      </c>
      <c r="R75">
        <f t="shared" si="13"/>
        <v>1</v>
      </c>
      <c r="T75">
        <f t="shared" si="7"/>
        <v>1472.131601220251</v>
      </c>
      <c r="U75">
        <f t="shared" si="8"/>
        <v>936.73342063017822</v>
      </c>
      <c r="V75">
        <f t="shared" si="9"/>
        <v>1189.3693169442017</v>
      </c>
    </row>
    <row r="76" spans="1:22" x14ac:dyDescent="0.3">
      <c r="A76" s="1">
        <v>42838</v>
      </c>
      <c r="B76" s="1">
        <v>42929</v>
      </c>
      <c r="C76">
        <v>270.32949104309</v>
      </c>
      <c r="D76">
        <v>316.55000152587797</v>
      </c>
      <c r="E76">
        <v>279.14999999999998</v>
      </c>
      <c r="F76">
        <v>-37.400001525878899</v>
      </c>
      <c r="G76">
        <v>-8.8205089569091797</v>
      </c>
      <c r="H76">
        <v>37.400001525878899</v>
      </c>
      <c r="J76" s="1">
        <v>42838</v>
      </c>
      <c r="K76">
        <v>316.55000152587797</v>
      </c>
      <c r="L76">
        <v>270.32949104309</v>
      </c>
      <c r="M76">
        <v>284.23488512039182</v>
      </c>
      <c r="N76">
        <f t="shared" si="10"/>
        <v>277.28218808174091</v>
      </c>
      <c r="P76">
        <f t="shared" si="11"/>
        <v>0</v>
      </c>
      <c r="Q76">
        <f t="shared" si="12"/>
        <v>1</v>
      </c>
      <c r="R76">
        <f t="shared" si="13"/>
        <v>0</v>
      </c>
      <c r="T76">
        <f t="shared" si="7"/>
        <v>2136.3355892895129</v>
      </c>
      <c r="U76">
        <f t="shared" si="8"/>
        <v>1044.2667483001201</v>
      </c>
      <c r="V76">
        <f t="shared" si="9"/>
        <v>1541.9611726835515</v>
      </c>
    </row>
    <row r="77" spans="1:22" x14ac:dyDescent="0.3">
      <c r="A77" s="1">
        <v>42839</v>
      </c>
      <c r="B77" s="1">
        <v>42930</v>
      </c>
      <c r="C77">
        <v>280.01441640853801</v>
      </c>
      <c r="D77">
        <v>316.7</v>
      </c>
      <c r="E77">
        <v>277.7</v>
      </c>
      <c r="F77">
        <v>39</v>
      </c>
      <c r="G77">
        <v>2.3144164085388099</v>
      </c>
      <c r="H77">
        <v>39</v>
      </c>
      <c r="J77" s="1">
        <v>42839</v>
      </c>
      <c r="K77">
        <v>316.7</v>
      </c>
      <c r="L77">
        <v>280.01441640853801</v>
      </c>
      <c r="M77">
        <v>282.10106439590453</v>
      </c>
      <c r="N77">
        <f t="shared" si="10"/>
        <v>281.05774040222127</v>
      </c>
      <c r="P77">
        <f t="shared" si="11"/>
        <v>1</v>
      </c>
      <c r="Q77">
        <f t="shared" si="12"/>
        <v>1</v>
      </c>
      <c r="R77">
        <f t="shared" si="13"/>
        <v>1</v>
      </c>
      <c r="T77">
        <f t="shared" si="7"/>
        <v>1345.8320434461443</v>
      </c>
      <c r="U77">
        <f t="shared" si="8"/>
        <v>1197.0863449363444</v>
      </c>
      <c r="V77">
        <f t="shared" si="9"/>
        <v>1270.3706692354492</v>
      </c>
    </row>
    <row r="78" spans="1:22" x14ac:dyDescent="0.3">
      <c r="A78" s="1">
        <v>42842</v>
      </c>
      <c r="B78" s="1">
        <v>42933</v>
      </c>
      <c r="C78">
        <v>279.404536807537</v>
      </c>
      <c r="D78">
        <v>317.49999847412101</v>
      </c>
      <c r="E78">
        <v>278.64999999999998</v>
      </c>
      <c r="F78">
        <v>38.849998474121001</v>
      </c>
      <c r="G78">
        <v>0.75453680753707797</v>
      </c>
      <c r="H78">
        <v>38.849998474121001</v>
      </c>
      <c r="J78" s="1">
        <v>42842</v>
      </c>
      <c r="K78">
        <v>317.49999847412101</v>
      </c>
      <c r="L78">
        <v>279.404536807537</v>
      </c>
      <c r="M78">
        <v>282.52101721763609</v>
      </c>
      <c r="N78">
        <f t="shared" si="10"/>
        <v>280.96277701258657</v>
      </c>
      <c r="P78">
        <f t="shared" si="11"/>
        <v>1</v>
      </c>
      <c r="Q78">
        <f t="shared" si="12"/>
        <v>1</v>
      </c>
      <c r="R78">
        <f t="shared" si="13"/>
        <v>1</v>
      </c>
      <c r="T78">
        <f t="shared" si="7"/>
        <v>1451.2641995901722</v>
      </c>
      <c r="U78">
        <f t="shared" si="8"/>
        <v>1223.529129741524</v>
      </c>
      <c r="V78">
        <f t="shared" si="9"/>
        <v>1334.9685521292131</v>
      </c>
    </row>
    <row r="79" spans="1:22" x14ac:dyDescent="0.3">
      <c r="A79" s="1">
        <v>42843</v>
      </c>
      <c r="B79" s="1">
        <v>42934</v>
      </c>
      <c r="C79">
        <v>285.65717515945403</v>
      </c>
      <c r="D79">
        <v>318.05000076293902</v>
      </c>
      <c r="E79">
        <v>278.35000000000002</v>
      </c>
      <c r="F79">
        <v>39.700000762939403</v>
      </c>
      <c r="G79">
        <v>7.3071751594543404</v>
      </c>
      <c r="H79">
        <v>39.700000762939403</v>
      </c>
      <c r="J79" s="1">
        <v>42843</v>
      </c>
      <c r="K79">
        <v>318.05000076293902</v>
      </c>
      <c r="L79">
        <v>285.65717515945403</v>
      </c>
      <c r="M79">
        <v>278.68315703272822</v>
      </c>
      <c r="N79">
        <f t="shared" si="10"/>
        <v>282.17016609609112</v>
      </c>
      <c r="P79">
        <f t="shared" si="11"/>
        <v>1</v>
      </c>
      <c r="Q79">
        <f t="shared" si="12"/>
        <v>1</v>
      </c>
      <c r="R79">
        <f t="shared" si="13"/>
        <v>1</v>
      </c>
      <c r="T79">
        <f t="shared" si="7"/>
        <v>1049.295150577793</v>
      </c>
      <c r="U79">
        <f t="shared" si="8"/>
        <v>1549.7483852788375</v>
      </c>
      <c r="V79">
        <f t="shared" si="9"/>
        <v>1287.3625357203402</v>
      </c>
    </row>
    <row r="80" spans="1:22" x14ac:dyDescent="0.3">
      <c r="A80" s="1">
        <v>42844</v>
      </c>
      <c r="B80" s="1">
        <v>42935</v>
      </c>
      <c r="C80">
        <v>289.42755947113</v>
      </c>
      <c r="D80">
        <v>318.699998474121</v>
      </c>
      <c r="E80">
        <v>276.85000000000002</v>
      </c>
      <c r="F80">
        <v>41.849998474121001</v>
      </c>
      <c r="G80">
        <v>12.5775594711303</v>
      </c>
      <c r="H80">
        <v>41.849998474121001</v>
      </c>
      <c r="J80" s="1">
        <v>42844</v>
      </c>
      <c r="K80">
        <v>318.699998474121</v>
      </c>
      <c r="L80">
        <v>289.42755947113</v>
      </c>
      <c r="M80">
        <v>276.28243938684466</v>
      </c>
      <c r="N80">
        <f t="shared" si="10"/>
        <v>282.8549994289873</v>
      </c>
      <c r="P80">
        <f t="shared" si="11"/>
        <v>1</v>
      </c>
      <c r="Q80">
        <f t="shared" si="12"/>
        <v>0</v>
      </c>
      <c r="R80">
        <f t="shared" si="13"/>
        <v>1</v>
      </c>
      <c r="T80">
        <f t="shared" si="7"/>
        <v>856.87568518382909</v>
      </c>
      <c r="U80">
        <f t="shared" si="8"/>
        <v>1799.24931892258</v>
      </c>
      <c r="V80">
        <f t="shared" si="9"/>
        <v>1284.8639565456363</v>
      </c>
    </row>
    <row r="81" spans="1:22" x14ac:dyDescent="0.3">
      <c r="A81" s="1">
        <v>42845</v>
      </c>
      <c r="B81" s="1">
        <v>42936</v>
      </c>
      <c r="C81">
        <v>284.124207019805</v>
      </c>
      <c r="D81">
        <v>319.59999847412098</v>
      </c>
      <c r="E81">
        <v>278.25</v>
      </c>
      <c r="F81">
        <v>41.349998474121001</v>
      </c>
      <c r="G81">
        <v>5.8742070198059002</v>
      </c>
      <c r="H81">
        <v>41.349998474121001</v>
      </c>
      <c r="J81" s="1">
        <v>42845</v>
      </c>
      <c r="K81">
        <v>319.59999847412098</v>
      </c>
      <c r="L81">
        <v>284.124207019805</v>
      </c>
      <c r="M81">
        <v>276.52445542812347</v>
      </c>
      <c r="N81">
        <f t="shared" si="10"/>
        <v>280.32433122396424</v>
      </c>
      <c r="P81">
        <f t="shared" si="11"/>
        <v>1</v>
      </c>
      <c r="Q81">
        <f t="shared" si="12"/>
        <v>0</v>
      </c>
      <c r="R81">
        <f t="shared" si="13"/>
        <v>1</v>
      </c>
      <c r="T81">
        <f t="shared" ref="T81:T144" si="14">POWER(K81-L81,2)</f>
        <v>1258.5317793101187</v>
      </c>
      <c r="U81">
        <f t="shared" ref="U81:U144" si="15">POWER(K81-M81,2)</f>
        <v>1855.502408707584</v>
      </c>
      <c r="V81">
        <f t="shared" ref="V81:V144" si="16">POWER(K81-N81,2)</f>
        <v>1542.578037945035</v>
      </c>
    </row>
    <row r="82" spans="1:22" x14ac:dyDescent="0.3">
      <c r="A82" s="1">
        <v>42846</v>
      </c>
      <c r="B82" s="1">
        <v>42937</v>
      </c>
      <c r="C82">
        <v>281.49354375600802</v>
      </c>
      <c r="D82">
        <v>321.10000152587799</v>
      </c>
      <c r="E82">
        <v>280.7</v>
      </c>
      <c r="F82">
        <v>40.400001525878899</v>
      </c>
      <c r="G82">
        <v>0.79354375600814797</v>
      </c>
      <c r="H82">
        <v>40.400001525878899</v>
      </c>
      <c r="J82" s="1">
        <v>42846</v>
      </c>
      <c r="K82">
        <v>321.10000152587799</v>
      </c>
      <c r="L82">
        <v>281.49354375600802</v>
      </c>
      <c r="M82">
        <v>277.04804010391234</v>
      </c>
      <c r="N82">
        <f t="shared" si="10"/>
        <v>279.27079192996018</v>
      </c>
      <c r="P82">
        <f t="shared" si="11"/>
        <v>1</v>
      </c>
      <c r="Q82">
        <f t="shared" si="12"/>
        <v>0</v>
      </c>
      <c r="R82">
        <f t="shared" si="13"/>
        <v>0</v>
      </c>
      <c r="T82">
        <f t="shared" si="14"/>
        <v>1568.6714970764926</v>
      </c>
      <c r="U82">
        <f t="shared" si="15"/>
        <v>1940.5753051223494</v>
      </c>
      <c r="V82">
        <f t="shared" si="16"/>
        <v>1749.682775419222</v>
      </c>
    </row>
    <row r="83" spans="1:22" x14ac:dyDescent="0.3">
      <c r="A83" s="1">
        <v>42849</v>
      </c>
      <c r="B83" s="1">
        <v>42940</v>
      </c>
      <c r="C83">
        <v>284.02269992828298</v>
      </c>
      <c r="D83">
        <v>321.25000152587802</v>
      </c>
      <c r="E83">
        <v>281.85000000000002</v>
      </c>
      <c r="F83">
        <v>39.400001525878899</v>
      </c>
      <c r="G83">
        <v>2.1726999282836901</v>
      </c>
      <c r="H83">
        <v>39.400001525878899</v>
      </c>
      <c r="J83" s="1">
        <v>42849</v>
      </c>
      <c r="K83">
        <v>321.25000152587802</v>
      </c>
      <c r="L83">
        <v>284.02269992828298</v>
      </c>
      <c r="M83">
        <v>280.07879052162173</v>
      </c>
      <c r="N83">
        <f t="shared" si="10"/>
        <v>282.05074522495238</v>
      </c>
      <c r="P83">
        <f t="shared" si="11"/>
        <v>1</v>
      </c>
      <c r="Q83">
        <f t="shared" si="12"/>
        <v>0</v>
      </c>
      <c r="R83">
        <f t="shared" si="13"/>
        <v>1</v>
      </c>
      <c r="T83">
        <f t="shared" si="14"/>
        <v>1385.8719842383025</v>
      </c>
      <c r="U83">
        <f t="shared" si="15"/>
        <v>1695.0686155569945</v>
      </c>
      <c r="V83">
        <f t="shared" si="16"/>
        <v>1536.5816945456586</v>
      </c>
    </row>
    <row r="84" spans="1:22" x14ac:dyDescent="0.3">
      <c r="A84" s="1">
        <v>42850</v>
      </c>
      <c r="B84" s="1">
        <v>42941</v>
      </c>
      <c r="C84">
        <v>282.29306693077001</v>
      </c>
      <c r="D84">
        <v>319.65000076293899</v>
      </c>
      <c r="E84">
        <v>285.2</v>
      </c>
      <c r="F84">
        <v>-34.450000762939403</v>
      </c>
      <c r="G84">
        <v>-2.9069330692291202</v>
      </c>
      <c r="H84">
        <v>34.450000762939403</v>
      </c>
      <c r="J84" s="1">
        <v>42850</v>
      </c>
      <c r="K84">
        <v>319.65000076293899</v>
      </c>
      <c r="L84">
        <v>282.29306693077001</v>
      </c>
      <c r="M84">
        <v>283.92288537025451</v>
      </c>
      <c r="N84">
        <f t="shared" si="10"/>
        <v>283.10797615051229</v>
      </c>
      <c r="P84">
        <f t="shared" si="11"/>
        <v>0</v>
      </c>
      <c r="Q84">
        <f t="shared" si="12"/>
        <v>0</v>
      </c>
      <c r="R84">
        <f t="shared" si="13"/>
        <v>0</v>
      </c>
      <c r="T84">
        <f t="shared" si="14"/>
        <v>1395.5405053410511</v>
      </c>
      <c r="U84">
        <f t="shared" si="15"/>
        <v>1276.4267742821924</v>
      </c>
      <c r="V84">
        <f t="shared" si="16"/>
        <v>1335.3195627751988</v>
      </c>
    </row>
    <row r="85" spans="1:22" x14ac:dyDescent="0.3">
      <c r="A85" s="1">
        <v>42851</v>
      </c>
      <c r="B85" s="1">
        <v>42942</v>
      </c>
      <c r="C85">
        <v>278.35419101715001</v>
      </c>
      <c r="D85">
        <v>318.95</v>
      </c>
      <c r="E85">
        <v>286.45</v>
      </c>
      <c r="F85">
        <v>-32.5</v>
      </c>
      <c r="G85">
        <v>-8.0958089828491193</v>
      </c>
      <c r="H85">
        <v>32.5</v>
      </c>
      <c r="J85" s="1">
        <v>42851</v>
      </c>
      <c r="K85">
        <v>318.95</v>
      </c>
      <c r="L85">
        <v>278.35419101715001</v>
      </c>
      <c r="M85">
        <v>285.28131527900695</v>
      </c>
      <c r="N85">
        <f t="shared" si="10"/>
        <v>281.81775314807851</v>
      </c>
      <c r="P85">
        <f t="shared" si="11"/>
        <v>0</v>
      </c>
      <c r="Q85">
        <f t="shared" si="12"/>
        <v>0</v>
      </c>
      <c r="R85">
        <f t="shared" si="13"/>
        <v>0</v>
      </c>
      <c r="T85">
        <f t="shared" si="14"/>
        <v>1648.0197069720425</v>
      </c>
      <c r="U85">
        <f t="shared" si="15"/>
        <v>1133.5803308416303</v>
      </c>
      <c r="V85">
        <f t="shared" si="16"/>
        <v>1378.8037562720326</v>
      </c>
    </row>
    <row r="86" spans="1:22" x14ac:dyDescent="0.3">
      <c r="A86" s="1">
        <v>42852</v>
      </c>
      <c r="B86" s="1">
        <v>42943</v>
      </c>
      <c r="C86">
        <v>288.16146246194802</v>
      </c>
      <c r="D86">
        <v>319.85000000000002</v>
      </c>
      <c r="E86">
        <v>287.35000000000002</v>
      </c>
      <c r="F86">
        <v>32.5</v>
      </c>
      <c r="G86">
        <v>0.811462461948394</v>
      </c>
      <c r="H86">
        <v>32.5</v>
      </c>
      <c r="J86" s="1">
        <v>42852</v>
      </c>
      <c r="K86">
        <v>319.85000000000002</v>
      </c>
      <c r="L86">
        <v>288.16146246194802</v>
      </c>
      <c r="M86">
        <v>285.10027275085451</v>
      </c>
      <c r="N86">
        <f t="shared" si="10"/>
        <v>286.63086760640124</v>
      </c>
      <c r="P86">
        <f t="shared" si="11"/>
        <v>1</v>
      </c>
      <c r="Q86">
        <f t="shared" si="12"/>
        <v>0</v>
      </c>
      <c r="R86">
        <f t="shared" si="13"/>
        <v>0</v>
      </c>
      <c r="T86">
        <f t="shared" si="14"/>
        <v>1004.1634113005309</v>
      </c>
      <c r="U86">
        <f t="shared" si="15"/>
        <v>1207.5435438900058</v>
      </c>
      <c r="V86">
        <f t="shared" si="16"/>
        <v>1103.510756983444</v>
      </c>
    </row>
    <row r="87" spans="1:22" x14ac:dyDescent="0.3">
      <c r="A87" s="1">
        <v>42853</v>
      </c>
      <c r="B87" s="1">
        <v>42944</v>
      </c>
      <c r="C87">
        <v>292.32488756179799</v>
      </c>
      <c r="D87">
        <v>312.55</v>
      </c>
      <c r="E87">
        <v>287.8</v>
      </c>
      <c r="F87">
        <v>24.75</v>
      </c>
      <c r="G87">
        <v>4.5248875617980904</v>
      </c>
      <c r="H87">
        <v>24.75</v>
      </c>
      <c r="J87" s="1">
        <v>42853</v>
      </c>
      <c r="K87">
        <v>312.55</v>
      </c>
      <c r="L87">
        <v>292.32488756179799</v>
      </c>
      <c r="M87">
        <v>285.57391743659974</v>
      </c>
      <c r="N87">
        <f t="shared" si="10"/>
        <v>288.94940249919887</v>
      </c>
      <c r="P87">
        <f t="shared" si="11"/>
        <v>1</v>
      </c>
      <c r="Q87">
        <f t="shared" si="12"/>
        <v>0</v>
      </c>
      <c r="R87">
        <f t="shared" si="13"/>
        <v>1</v>
      </c>
      <c r="T87">
        <f t="shared" si="14"/>
        <v>409.05517313791398</v>
      </c>
      <c r="U87">
        <f t="shared" si="15"/>
        <v>727.70903046738795</v>
      </c>
      <c r="V87">
        <f t="shared" si="16"/>
        <v>556.9882023948212</v>
      </c>
    </row>
    <row r="88" spans="1:22" x14ac:dyDescent="0.3">
      <c r="A88" s="1">
        <v>42856</v>
      </c>
      <c r="B88" s="1">
        <v>42947</v>
      </c>
      <c r="C88">
        <v>285.618284511566</v>
      </c>
      <c r="D88">
        <v>313.55</v>
      </c>
      <c r="E88">
        <v>287.8</v>
      </c>
      <c r="F88">
        <v>-25.75</v>
      </c>
      <c r="G88">
        <v>-2.1817154884338299</v>
      </c>
      <c r="H88">
        <v>25.75</v>
      </c>
      <c r="J88" s="1">
        <v>42856</v>
      </c>
      <c r="K88">
        <v>313.55</v>
      </c>
      <c r="L88">
        <v>285.618284511566</v>
      </c>
      <c r="M88">
        <v>288.06699033379556</v>
      </c>
      <c r="N88">
        <f t="shared" si="10"/>
        <v>286.84263742268081</v>
      </c>
      <c r="P88">
        <f t="shared" si="11"/>
        <v>0</v>
      </c>
      <c r="Q88">
        <f t="shared" si="12"/>
        <v>1</v>
      </c>
      <c r="R88">
        <f t="shared" si="13"/>
        <v>0</v>
      </c>
      <c r="T88">
        <f t="shared" si="14"/>
        <v>780.1807301268243</v>
      </c>
      <c r="U88">
        <f t="shared" si="15"/>
        <v>649.38378164786957</v>
      </c>
      <c r="V88">
        <f t="shared" si="16"/>
        <v>713.28321583639013</v>
      </c>
    </row>
    <row r="89" spans="1:22" x14ac:dyDescent="0.3">
      <c r="A89" s="1">
        <v>42857</v>
      </c>
      <c r="B89" s="1">
        <v>42948</v>
      </c>
      <c r="C89">
        <v>287.47810773849397</v>
      </c>
      <c r="D89">
        <v>316.55</v>
      </c>
      <c r="E89">
        <v>290.05</v>
      </c>
      <c r="F89">
        <v>-26.5</v>
      </c>
      <c r="G89">
        <v>-2.5718922615051198</v>
      </c>
      <c r="H89">
        <v>26.5</v>
      </c>
      <c r="J89" s="1">
        <v>42857</v>
      </c>
      <c r="K89">
        <v>316.55</v>
      </c>
      <c r="L89">
        <v>287.47810773849397</v>
      </c>
      <c r="M89">
        <v>290.56515847444535</v>
      </c>
      <c r="N89">
        <f t="shared" si="10"/>
        <v>289.02163310646966</v>
      </c>
      <c r="P89">
        <f t="shared" si="11"/>
        <v>0</v>
      </c>
      <c r="Q89">
        <f t="shared" si="12"/>
        <v>1</v>
      </c>
      <c r="R89">
        <f t="shared" si="13"/>
        <v>0</v>
      </c>
      <c r="T89">
        <f t="shared" si="14"/>
        <v>845.17491966461455</v>
      </c>
      <c r="U89">
        <f t="shared" si="15"/>
        <v>675.21198910818964</v>
      </c>
      <c r="V89">
        <f t="shared" si="16"/>
        <v>757.81098382481764</v>
      </c>
    </row>
    <row r="90" spans="1:22" x14ac:dyDescent="0.3">
      <c r="A90" s="1">
        <v>42858</v>
      </c>
      <c r="B90" s="1">
        <v>42949</v>
      </c>
      <c r="C90">
        <v>287.64289598464899</v>
      </c>
      <c r="D90">
        <v>317.150000381469</v>
      </c>
      <c r="E90">
        <v>290.05</v>
      </c>
      <c r="F90">
        <v>-27.100000381469702</v>
      </c>
      <c r="G90">
        <v>-2.40710401535034</v>
      </c>
      <c r="H90">
        <v>27.100000381469702</v>
      </c>
      <c r="J90" s="1">
        <v>42858</v>
      </c>
      <c r="K90">
        <v>317.150000381469</v>
      </c>
      <c r="L90">
        <v>287.64289598464899</v>
      </c>
      <c r="M90">
        <v>286.81123833656312</v>
      </c>
      <c r="N90">
        <f t="shared" si="10"/>
        <v>287.22706716060605</v>
      </c>
      <c r="P90">
        <f t="shared" si="11"/>
        <v>0</v>
      </c>
      <c r="Q90">
        <f t="shared" si="12"/>
        <v>0</v>
      </c>
      <c r="R90">
        <f t="shared" si="13"/>
        <v>0</v>
      </c>
      <c r="T90">
        <f t="shared" si="14"/>
        <v>870.6692098848348</v>
      </c>
      <c r="U90">
        <f t="shared" si="15"/>
        <v>920.44048241742144</v>
      </c>
      <c r="V90">
        <f t="shared" si="16"/>
        <v>895.38193254022326</v>
      </c>
    </row>
    <row r="91" spans="1:22" x14ac:dyDescent="0.3">
      <c r="A91" s="1">
        <v>42859</v>
      </c>
      <c r="B91" s="1">
        <v>42950</v>
      </c>
      <c r="C91">
        <v>283.55840396881098</v>
      </c>
      <c r="D91">
        <v>311.64999961852999</v>
      </c>
      <c r="E91">
        <v>292.75</v>
      </c>
      <c r="F91">
        <v>-18.899999618530199</v>
      </c>
      <c r="G91">
        <v>-9.1915960311889595</v>
      </c>
      <c r="H91">
        <v>18.899999618530199</v>
      </c>
      <c r="J91" s="1">
        <v>42859</v>
      </c>
      <c r="K91">
        <v>311.64999961852999</v>
      </c>
      <c r="L91">
        <v>283.55840396881098</v>
      </c>
      <c r="M91">
        <v>288.18246459960937</v>
      </c>
      <c r="N91">
        <f t="shared" si="10"/>
        <v>285.87043428421021</v>
      </c>
      <c r="P91">
        <f t="shared" si="11"/>
        <v>0</v>
      </c>
      <c r="Q91">
        <f t="shared" si="12"/>
        <v>0</v>
      </c>
      <c r="R91">
        <f t="shared" si="13"/>
        <v>0</v>
      </c>
      <c r="T91">
        <f t="shared" si="14"/>
        <v>789.1377461473121</v>
      </c>
      <c r="U91">
        <f t="shared" si="15"/>
        <v>550.72519986426539</v>
      </c>
      <c r="V91">
        <f t="shared" si="16"/>
        <v>664.58598882646231</v>
      </c>
    </row>
    <row r="92" spans="1:22" x14ac:dyDescent="0.3">
      <c r="A92" s="1">
        <v>42860</v>
      </c>
      <c r="B92" s="1">
        <v>42951</v>
      </c>
      <c r="C92">
        <v>283.01413249969403</v>
      </c>
      <c r="D92">
        <v>312.85000038146899</v>
      </c>
      <c r="E92">
        <v>292.75</v>
      </c>
      <c r="F92">
        <v>-20.100000381469702</v>
      </c>
      <c r="G92">
        <v>-9.7358675003051705</v>
      </c>
      <c r="H92">
        <v>20.100000381469702</v>
      </c>
      <c r="J92" s="1">
        <v>42860</v>
      </c>
      <c r="K92">
        <v>312.85000038146899</v>
      </c>
      <c r="L92">
        <v>283.01413249969403</v>
      </c>
      <c r="M92">
        <v>289.92345905303955</v>
      </c>
      <c r="N92">
        <f t="shared" si="10"/>
        <v>286.46879577636679</v>
      </c>
      <c r="P92">
        <f t="shared" si="11"/>
        <v>0</v>
      </c>
      <c r="Q92">
        <f t="shared" si="12"/>
        <v>0</v>
      </c>
      <c r="R92">
        <f t="shared" si="13"/>
        <v>0</v>
      </c>
      <c r="T92">
        <f t="shared" si="14"/>
        <v>890.17901225873061</v>
      </c>
      <c r="U92">
        <f t="shared" si="15"/>
        <v>525.62629728418301</v>
      </c>
      <c r="V92">
        <f t="shared" si="16"/>
        <v>695.96795641626545</v>
      </c>
    </row>
    <row r="93" spans="1:22" x14ac:dyDescent="0.3">
      <c r="A93" s="1">
        <v>42863</v>
      </c>
      <c r="B93" s="1">
        <v>42954</v>
      </c>
      <c r="C93">
        <v>289.19584770202601</v>
      </c>
      <c r="D93">
        <v>312.89999980926501</v>
      </c>
      <c r="E93">
        <v>300.7</v>
      </c>
      <c r="F93">
        <v>-12.199999809265099</v>
      </c>
      <c r="G93">
        <v>-11.504152297973601</v>
      </c>
      <c r="H93">
        <v>12.199999809265099</v>
      </c>
      <c r="J93" s="1">
        <v>42863</v>
      </c>
      <c r="K93">
        <v>312.89999980926501</v>
      </c>
      <c r="L93">
        <v>289.19584770202601</v>
      </c>
      <c r="M93">
        <v>297.48419733047484</v>
      </c>
      <c r="N93">
        <f t="shared" si="10"/>
        <v>293.34002251625043</v>
      </c>
      <c r="P93">
        <f t="shared" si="11"/>
        <v>0</v>
      </c>
      <c r="Q93">
        <f t="shared" si="12"/>
        <v>0</v>
      </c>
      <c r="R93">
        <f t="shared" si="13"/>
        <v>0</v>
      </c>
      <c r="T93">
        <f t="shared" si="14"/>
        <v>561.886827123123</v>
      </c>
      <c r="U93">
        <f t="shared" si="15"/>
        <v>237.64696606507314</v>
      </c>
      <c r="V93">
        <f t="shared" si="16"/>
        <v>382.5927117032461</v>
      </c>
    </row>
    <row r="94" spans="1:22" x14ac:dyDescent="0.3">
      <c r="A94" s="1">
        <v>42864</v>
      </c>
      <c r="B94" s="1">
        <v>42955</v>
      </c>
      <c r="C94">
        <v>288.81846446990897</v>
      </c>
      <c r="D94">
        <v>312.84999961852998</v>
      </c>
      <c r="E94">
        <v>300.7</v>
      </c>
      <c r="F94">
        <v>-12.149999618530201</v>
      </c>
      <c r="G94">
        <v>-11.8815355300903</v>
      </c>
      <c r="H94">
        <v>12.149999618530201</v>
      </c>
      <c r="J94" s="1">
        <v>42864</v>
      </c>
      <c r="K94">
        <v>312.84999961852998</v>
      </c>
      <c r="L94">
        <v>288.81846446990897</v>
      </c>
      <c r="M94">
        <v>298.59747166633605</v>
      </c>
      <c r="N94">
        <f t="shared" si="10"/>
        <v>293.70796806812251</v>
      </c>
      <c r="P94">
        <f t="shared" si="11"/>
        <v>0</v>
      </c>
      <c r="Q94">
        <f t="shared" si="12"/>
        <v>0</v>
      </c>
      <c r="R94">
        <f t="shared" si="13"/>
        <v>0</v>
      </c>
      <c r="T94">
        <f t="shared" si="14"/>
        <v>577.51468159940669</v>
      </c>
      <c r="U94">
        <f t="shared" si="15"/>
        <v>203.13455302806929</v>
      </c>
      <c r="V94">
        <f t="shared" si="16"/>
        <v>366.4173718767949</v>
      </c>
    </row>
    <row r="95" spans="1:22" x14ac:dyDescent="0.3">
      <c r="A95" s="1">
        <v>42865</v>
      </c>
      <c r="B95" s="1">
        <v>42956</v>
      </c>
      <c r="C95">
        <v>290.00204820632899</v>
      </c>
      <c r="D95">
        <v>308.64999980926501</v>
      </c>
      <c r="E95">
        <v>296.45</v>
      </c>
      <c r="F95">
        <v>-12.199999809265099</v>
      </c>
      <c r="G95">
        <v>-6.4479517936706499</v>
      </c>
      <c r="H95">
        <v>12.199999809265099</v>
      </c>
      <c r="J95" s="1">
        <v>42865</v>
      </c>
      <c r="K95">
        <v>308.64999980926501</v>
      </c>
      <c r="L95">
        <v>290.00204820632899</v>
      </c>
      <c r="M95">
        <v>295.40253646373748</v>
      </c>
      <c r="N95">
        <f t="shared" si="10"/>
        <v>292.70229233503323</v>
      </c>
      <c r="P95">
        <f t="shared" si="11"/>
        <v>0</v>
      </c>
      <c r="Q95">
        <f t="shared" si="12"/>
        <v>0</v>
      </c>
      <c r="R95">
        <f t="shared" si="13"/>
        <v>0</v>
      </c>
      <c r="T95">
        <f t="shared" si="14"/>
        <v>347.74609898544401</v>
      </c>
      <c r="U95">
        <f t="shared" si="15"/>
        <v>175.49528509109561</v>
      </c>
      <c r="V95">
        <f t="shared" si="16"/>
        <v>254.32937368366808</v>
      </c>
    </row>
    <row r="96" spans="1:22" x14ac:dyDescent="0.3">
      <c r="A96" s="1">
        <v>42866</v>
      </c>
      <c r="B96" s="1">
        <v>42957</v>
      </c>
      <c r="C96">
        <v>294.43573436737</v>
      </c>
      <c r="D96">
        <v>307.250000095367</v>
      </c>
      <c r="E96">
        <v>300.10000000000002</v>
      </c>
      <c r="F96">
        <v>-7.1500000953674299</v>
      </c>
      <c r="G96">
        <v>-5.6642656326293901</v>
      </c>
      <c r="H96">
        <v>7.1500000953674299</v>
      </c>
      <c r="J96" s="1">
        <v>42866</v>
      </c>
      <c r="K96">
        <v>307.250000095367</v>
      </c>
      <c r="L96">
        <v>294.43573436737</v>
      </c>
      <c r="M96">
        <v>294.80665121078493</v>
      </c>
      <c r="N96">
        <f t="shared" si="10"/>
        <v>294.62119278907744</v>
      </c>
      <c r="P96">
        <f t="shared" si="11"/>
        <v>0</v>
      </c>
      <c r="Q96">
        <f t="shared" si="12"/>
        <v>0</v>
      </c>
      <c r="R96">
        <f t="shared" si="13"/>
        <v>0</v>
      </c>
      <c r="T96">
        <f t="shared" si="14"/>
        <v>164.20540614771841</v>
      </c>
      <c r="U96">
        <f t="shared" si="15"/>
        <v>154.83693146342972</v>
      </c>
      <c r="V96">
        <f t="shared" si="16"/>
        <v>159.48677397939255</v>
      </c>
    </row>
    <row r="97" spans="1:22" x14ac:dyDescent="0.3">
      <c r="A97" s="1">
        <v>42867</v>
      </c>
      <c r="B97" s="1">
        <v>42958</v>
      </c>
      <c r="C97">
        <v>295.06171360015799</v>
      </c>
      <c r="D97">
        <v>301.49999990463198</v>
      </c>
      <c r="E97">
        <v>298.64999999999998</v>
      </c>
      <c r="F97">
        <v>-2.8499999046325599</v>
      </c>
      <c r="G97">
        <v>-3.5882863998413002</v>
      </c>
      <c r="H97">
        <v>2.8499999046325599</v>
      </c>
      <c r="J97" s="1">
        <v>42867</v>
      </c>
      <c r="K97">
        <v>301.49999990463198</v>
      </c>
      <c r="L97">
        <v>295.06171360015799</v>
      </c>
      <c r="M97">
        <v>294.03851976394651</v>
      </c>
      <c r="N97">
        <f t="shared" si="10"/>
        <v>294.55011668205225</v>
      </c>
      <c r="P97">
        <f t="shared" si="11"/>
        <v>0</v>
      </c>
      <c r="Q97">
        <f t="shared" si="12"/>
        <v>0</v>
      </c>
      <c r="R97">
        <f t="shared" si="13"/>
        <v>0</v>
      </c>
      <c r="T97">
        <f t="shared" si="14"/>
        <v>41.451530538377355</v>
      </c>
      <c r="U97">
        <f t="shared" si="15"/>
        <v>55.673685889843611</v>
      </c>
      <c r="V97">
        <f t="shared" si="16"/>
        <v>48.300876807495193</v>
      </c>
    </row>
    <row r="98" spans="1:22" x14ac:dyDescent="0.3">
      <c r="A98" s="1">
        <v>42870</v>
      </c>
      <c r="B98" s="1">
        <v>42961</v>
      </c>
      <c r="C98">
        <v>292.46326341628998</v>
      </c>
      <c r="D98">
        <v>304.599999809265</v>
      </c>
      <c r="E98">
        <v>299.64999999999998</v>
      </c>
      <c r="F98">
        <v>-4.9499998092651296</v>
      </c>
      <c r="G98">
        <v>-7.1867365837097097</v>
      </c>
      <c r="H98">
        <v>4.9499998092651296</v>
      </c>
      <c r="J98" s="1">
        <v>42870</v>
      </c>
      <c r="K98">
        <v>304.599999809265</v>
      </c>
      <c r="L98">
        <v>292.46326341628998</v>
      </c>
      <c r="M98">
        <v>295.4962071418762</v>
      </c>
      <c r="N98">
        <f t="shared" si="10"/>
        <v>293.97973527908312</v>
      </c>
      <c r="P98">
        <f t="shared" si="11"/>
        <v>0</v>
      </c>
      <c r="Q98">
        <f t="shared" si="12"/>
        <v>0</v>
      </c>
      <c r="R98">
        <f t="shared" si="13"/>
        <v>0</v>
      </c>
      <c r="T98">
        <f t="shared" si="14"/>
        <v>147.30037027256441</v>
      </c>
      <c r="U98">
        <f t="shared" si="15"/>
        <v>82.87904093080212</v>
      </c>
      <c r="V98">
        <f t="shared" si="16"/>
        <v>112.79001869103945</v>
      </c>
    </row>
    <row r="99" spans="1:22" x14ac:dyDescent="0.3">
      <c r="A99" s="1">
        <v>42871</v>
      </c>
      <c r="B99" s="1">
        <v>42962</v>
      </c>
      <c r="C99">
        <v>295.99170756339998</v>
      </c>
      <c r="D99">
        <v>304.599999904632</v>
      </c>
      <c r="E99">
        <v>299.25</v>
      </c>
      <c r="F99">
        <v>-5.3499999046325604</v>
      </c>
      <c r="G99">
        <v>-3.2582924365997301</v>
      </c>
      <c r="H99">
        <v>5.3499999046325604</v>
      </c>
      <c r="J99" s="1">
        <v>42871</v>
      </c>
      <c r="K99">
        <v>304.599999904632</v>
      </c>
      <c r="L99">
        <v>295.99170756339998</v>
      </c>
      <c r="M99">
        <v>296.63043785095215</v>
      </c>
      <c r="N99">
        <f t="shared" si="10"/>
        <v>296.31107270717609</v>
      </c>
      <c r="P99">
        <f t="shared" si="11"/>
        <v>0</v>
      </c>
      <c r="Q99">
        <f t="shared" si="12"/>
        <v>0</v>
      </c>
      <c r="R99">
        <f t="shared" si="13"/>
        <v>0</v>
      </c>
      <c r="T99">
        <f t="shared" si="14"/>
        <v>74.102697032113781</v>
      </c>
      <c r="U99">
        <f t="shared" si="15"/>
        <v>63.513919327453813</v>
      </c>
      <c r="V99">
        <f t="shared" si="16"/>
        <v>68.706314084724212</v>
      </c>
    </row>
    <row r="100" spans="1:22" x14ac:dyDescent="0.3">
      <c r="A100" s="1">
        <v>42872</v>
      </c>
      <c r="B100" s="1">
        <v>42963</v>
      </c>
      <c r="C100">
        <v>290.61695289611799</v>
      </c>
      <c r="D100">
        <v>306.25</v>
      </c>
      <c r="E100">
        <v>299.5</v>
      </c>
      <c r="F100">
        <v>-6.75</v>
      </c>
      <c r="G100">
        <v>-8.8830471038818306</v>
      </c>
      <c r="H100">
        <v>6.75</v>
      </c>
      <c r="J100" s="1">
        <v>42872</v>
      </c>
      <c r="K100">
        <v>306.25</v>
      </c>
      <c r="L100">
        <v>290.61695289611799</v>
      </c>
      <c r="M100">
        <v>296.1195764541626</v>
      </c>
      <c r="N100">
        <f t="shared" si="10"/>
        <v>293.36826467514027</v>
      </c>
      <c r="P100">
        <f t="shared" si="11"/>
        <v>0</v>
      </c>
      <c r="Q100">
        <f t="shared" si="12"/>
        <v>0</v>
      </c>
      <c r="R100">
        <f t="shared" si="13"/>
        <v>0</v>
      </c>
      <c r="T100">
        <f t="shared" si="14"/>
        <v>244.3921617521936</v>
      </c>
      <c r="U100">
        <f t="shared" si="15"/>
        <v>102.62548121805685</v>
      </c>
      <c r="V100">
        <f t="shared" si="16"/>
        <v>165.93910497973908</v>
      </c>
    </row>
    <row r="101" spans="1:22" x14ac:dyDescent="0.3">
      <c r="A101" s="1">
        <v>42873</v>
      </c>
      <c r="B101" s="1">
        <v>42964</v>
      </c>
      <c r="C101">
        <v>287.41375293731602</v>
      </c>
      <c r="D101">
        <v>307.89999999999998</v>
      </c>
      <c r="E101">
        <v>298.64999999999998</v>
      </c>
      <c r="F101">
        <v>-9.25</v>
      </c>
      <c r="G101">
        <v>-11.2362470626831</v>
      </c>
      <c r="H101">
        <v>9.25</v>
      </c>
      <c r="J101" s="1">
        <v>42873</v>
      </c>
      <c r="K101">
        <v>307.89999999999998</v>
      </c>
      <c r="L101">
        <v>287.41375293731602</v>
      </c>
      <c r="M101">
        <v>297.78034087419508</v>
      </c>
      <c r="N101">
        <f t="shared" si="10"/>
        <v>292.59704690575552</v>
      </c>
      <c r="P101">
        <f t="shared" si="11"/>
        <v>0</v>
      </c>
      <c r="Q101">
        <f t="shared" si="12"/>
        <v>0</v>
      </c>
      <c r="R101">
        <f t="shared" si="13"/>
        <v>0</v>
      </c>
      <c r="T101">
        <f t="shared" si="14"/>
        <v>419.68631871332713</v>
      </c>
      <c r="U101">
        <f t="shared" si="15"/>
        <v>102.40750082248641</v>
      </c>
      <c r="V101">
        <f t="shared" si="16"/>
        <v>234.18037340464602</v>
      </c>
    </row>
    <row r="102" spans="1:22" x14ac:dyDescent="0.3">
      <c r="A102" s="1">
        <v>42874</v>
      </c>
      <c r="B102" s="1">
        <v>42965</v>
      </c>
      <c r="C102">
        <v>286.66799163818303</v>
      </c>
      <c r="D102">
        <v>307.75</v>
      </c>
      <c r="E102">
        <v>298.25</v>
      </c>
      <c r="F102">
        <v>-9.5</v>
      </c>
      <c r="G102">
        <v>-11.582008361816399</v>
      </c>
      <c r="H102">
        <v>9.5</v>
      </c>
      <c r="J102" s="1">
        <v>42874</v>
      </c>
      <c r="K102">
        <v>307.75</v>
      </c>
      <c r="L102">
        <v>286.66799163818303</v>
      </c>
      <c r="M102">
        <v>296.87509179115295</v>
      </c>
      <c r="N102">
        <f t="shared" si="10"/>
        <v>291.77154171466799</v>
      </c>
      <c r="P102">
        <f t="shared" si="11"/>
        <v>0</v>
      </c>
      <c r="Q102">
        <f t="shared" si="12"/>
        <v>0</v>
      </c>
      <c r="R102">
        <f t="shared" si="13"/>
        <v>0</v>
      </c>
      <c r="T102">
        <f t="shared" si="14"/>
        <v>444.45107656772086</v>
      </c>
      <c r="U102">
        <f t="shared" si="15"/>
        <v>118.26362855084886</v>
      </c>
      <c r="V102">
        <f t="shared" si="16"/>
        <v>255.31112917609516</v>
      </c>
    </row>
    <row r="103" spans="1:22" x14ac:dyDescent="0.3">
      <c r="A103" s="1">
        <v>42877</v>
      </c>
      <c r="B103" s="1">
        <v>42968</v>
      </c>
      <c r="C103">
        <v>288.05609188079802</v>
      </c>
      <c r="D103">
        <v>307.04999980926499</v>
      </c>
      <c r="E103">
        <v>300.60000000000002</v>
      </c>
      <c r="F103">
        <v>-6.4499998092651296</v>
      </c>
      <c r="G103">
        <v>-12.5439081192016</v>
      </c>
      <c r="H103">
        <v>6.4499998092651296</v>
      </c>
      <c r="J103" s="1">
        <v>42877</v>
      </c>
      <c r="K103">
        <v>307.04999980926499</v>
      </c>
      <c r="L103">
        <v>288.05609188079802</v>
      </c>
      <c r="M103">
        <v>303.72021541595461</v>
      </c>
      <c r="N103">
        <f t="shared" si="10"/>
        <v>295.88815364837632</v>
      </c>
      <c r="P103">
        <f t="shared" si="11"/>
        <v>0</v>
      </c>
      <c r="Q103">
        <f t="shared" si="12"/>
        <v>1</v>
      </c>
      <c r="R103">
        <f t="shared" si="13"/>
        <v>0</v>
      </c>
      <c r="T103">
        <f t="shared" si="14"/>
        <v>360.76853839508033</v>
      </c>
      <c r="U103">
        <f t="shared" si="15"/>
        <v>11.087464105933352</v>
      </c>
      <c r="V103">
        <f t="shared" si="16"/>
        <v>124.58680971934518</v>
      </c>
    </row>
    <row r="104" spans="1:22" x14ac:dyDescent="0.3">
      <c r="A104" s="1">
        <v>42878</v>
      </c>
      <c r="B104" s="1">
        <v>42969</v>
      </c>
      <c r="C104">
        <v>293.02053241729698</v>
      </c>
      <c r="D104">
        <v>308.70000009536699</v>
      </c>
      <c r="E104">
        <v>301.05</v>
      </c>
      <c r="F104">
        <v>-7.6500000953674299</v>
      </c>
      <c r="G104">
        <v>-8.0294675827026296</v>
      </c>
      <c r="H104">
        <v>7.6500000953674299</v>
      </c>
      <c r="J104" s="1">
        <v>42878</v>
      </c>
      <c r="K104">
        <v>308.70000009536699</v>
      </c>
      <c r="L104">
        <v>293.02053241729698</v>
      </c>
      <c r="M104">
        <v>304.68982272148133</v>
      </c>
      <c r="N104">
        <f t="shared" si="10"/>
        <v>298.85517756938918</v>
      </c>
      <c r="P104">
        <f t="shared" si="11"/>
        <v>0</v>
      </c>
      <c r="Q104">
        <f t="shared" si="12"/>
        <v>1</v>
      </c>
      <c r="R104">
        <f t="shared" si="13"/>
        <v>0</v>
      </c>
      <c r="T104">
        <f t="shared" si="14"/>
        <v>245.84570666764219</v>
      </c>
      <c r="U104">
        <f t="shared" si="15"/>
        <v>16.081522570024436</v>
      </c>
      <c r="V104">
        <f t="shared" si="16"/>
        <v>96.92053056799999</v>
      </c>
    </row>
    <row r="105" spans="1:22" x14ac:dyDescent="0.3">
      <c r="A105" s="1">
        <v>42879</v>
      </c>
      <c r="B105" s="1">
        <v>42970</v>
      </c>
      <c r="C105">
        <v>293.54370441436703</v>
      </c>
      <c r="D105">
        <v>308.599999809265</v>
      </c>
      <c r="E105">
        <v>301.89999999999998</v>
      </c>
      <c r="F105">
        <v>-6.6999998092651296</v>
      </c>
      <c r="G105">
        <v>-8.3562955856323207</v>
      </c>
      <c r="H105">
        <v>6.6999998092651296</v>
      </c>
      <c r="J105" s="1">
        <v>42879</v>
      </c>
      <c r="K105">
        <v>308.599999809265</v>
      </c>
      <c r="L105">
        <v>293.54370441436703</v>
      </c>
      <c r="M105">
        <v>298.78256144523618</v>
      </c>
      <c r="N105">
        <f t="shared" si="10"/>
        <v>296.16313292980158</v>
      </c>
      <c r="P105">
        <f t="shared" si="11"/>
        <v>0</v>
      </c>
      <c r="Q105">
        <f t="shared" si="12"/>
        <v>0</v>
      </c>
      <c r="R105">
        <f t="shared" si="13"/>
        <v>0</v>
      </c>
      <c r="T105">
        <f t="shared" si="14"/>
        <v>226.69203101842589</v>
      </c>
      <c r="U105">
        <f t="shared" si="15"/>
        <v>96.382096031504815</v>
      </c>
      <c r="V105">
        <f t="shared" si="16"/>
        <v>154.67565777749425</v>
      </c>
    </row>
    <row r="106" spans="1:22" x14ac:dyDescent="0.3">
      <c r="A106" s="1">
        <v>42880</v>
      </c>
      <c r="B106" s="1">
        <v>42971</v>
      </c>
      <c r="C106">
        <v>301.37152481079102</v>
      </c>
      <c r="D106">
        <v>310.099999904632</v>
      </c>
      <c r="E106">
        <v>305.5</v>
      </c>
      <c r="F106">
        <v>-4.5999999046325604</v>
      </c>
      <c r="G106">
        <v>-4.1284751892089799</v>
      </c>
      <c r="H106">
        <v>4.5999999046325604</v>
      </c>
      <c r="J106" s="1">
        <v>42880</v>
      </c>
      <c r="K106">
        <v>310.099999904632</v>
      </c>
      <c r="L106">
        <v>301.37152481079102</v>
      </c>
      <c r="M106">
        <v>304.90941143035889</v>
      </c>
      <c r="N106">
        <f t="shared" si="10"/>
        <v>303.14046812057495</v>
      </c>
      <c r="P106">
        <f t="shared" si="11"/>
        <v>0</v>
      </c>
      <c r="Q106">
        <f t="shared" si="12"/>
        <v>0</v>
      </c>
      <c r="R106">
        <f t="shared" si="13"/>
        <v>0</v>
      </c>
      <c r="T106">
        <f t="shared" si="14"/>
        <v>76.186277463802384</v>
      </c>
      <c r="U106">
        <f t="shared" si="15"/>
        <v>26.942208709256885</v>
      </c>
      <c r="V106">
        <f t="shared" si="16"/>
        <v>48.435082653300285</v>
      </c>
    </row>
    <row r="107" spans="1:22" x14ac:dyDescent="0.3">
      <c r="A107" s="1">
        <v>42881</v>
      </c>
      <c r="B107" s="1">
        <v>42972</v>
      </c>
      <c r="C107">
        <v>307.10528091192202</v>
      </c>
      <c r="D107">
        <v>310.250000095367</v>
      </c>
      <c r="E107">
        <v>307.35000000000002</v>
      </c>
      <c r="F107">
        <v>-2.9000000953674299</v>
      </c>
      <c r="G107">
        <v>-0.244719088077545</v>
      </c>
      <c r="H107">
        <v>2.9000000953674299</v>
      </c>
      <c r="J107" s="1">
        <v>42881</v>
      </c>
      <c r="K107">
        <v>310.250000095367</v>
      </c>
      <c r="L107">
        <v>307.10528091192202</v>
      </c>
      <c r="M107">
        <v>305.57084975242617</v>
      </c>
      <c r="N107">
        <f t="shared" si="10"/>
        <v>306.3380653321741</v>
      </c>
      <c r="P107">
        <f t="shared" si="11"/>
        <v>0</v>
      </c>
      <c r="Q107">
        <f t="shared" si="12"/>
        <v>0</v>
      </c>
      <c r="R107">
        <f t="shared" si="13"/>
        <v>0</v>
      </c>
      <c r="T107">
        <f t="shared" si="14"/>
        <v>9.8892587427268417</v>
      </c>
      <c r="U107">
        <f t="shared" si="15"/>
        <v>21.894447931843281</v>
      </c>
      <c r="V107">
        <f t="shared" si="16"/>
        <v>15.303233591477115</v>
      </c>
    </row>
    <row r="108" spans="1:22" x14ac:dyDescent="0.3">
      <c r="A108" s="1">
        <v>42884</v>
      </c>
      <c r="B108" s="1">
        <v>42975</v>
      </c>
      <c r="C108">
        <v>304.60512428283602</v>
      </c>
      <c r="D108">
        <v>308.19999997615798</v>
      </c>
      <c r="E108">
        <v>306.8</v>
      </c>
      <c r="F108">
        <v>-1.3999999761581401</v>
      </c>
      <c r="G108">
        <v>-2.1948757171630802</v>
      </c>
      <c r="H108">
        <v>1.3999999761581401</v>
      </c>
      <c r="J108" s="1">
        <v>42884</v>
      </c>
      <c r="K108">
        <v>308.19999997615798</v>
      </c>
      <c r="L108">
        <v>304.60512428283602</v>
      </c>
      <c r="M108">
        <v>307.44451873302461</v>
      </c>
      <c r="N108">
        <f t="shared" si="10"/>
        <v>306.02482150793031</v>
      </c>
      <c r="P108">
        <f t="shared" si="11"/>
        <v>0</v>
      </c>
      <c r="Q108">
        <f t="shared" si="12"/>
        <v>1</v>
      </c>
      <c r="R108">
        <f t="shared" si="13"/>
        <v>0</v>
      </c>
      <c r="T108">
        <f t="shared" si="14"/>
        <v>12.923131250437093</v>
      </c>
      <c r="U108">
        <f t="shared" si="15"/>
        <v>0.57075190872634873</v>
      </c>
      <c r="V108">
        <f t="shared" si="16"/>
        <v>4.7314013686412757</v>
      </c>
    </row>
    <row r="109" spans="1:22" x14ac:dyDescent="0.3">
      <c r="A109" s="1">
        <v>42885</v>
      </c>
      <c r="B109" s="1">
        <v>42976</v>
      </c>
      <c r="C109">
        <v>302.59981284141497</v>
      </c>
      <c r="D109">
        <v>307.14999995231602</v>
      </c>
      <c r="E109">
        <v>304.35000000000002</v>
      </c>
      <c r="F109">
        <v>-2.7999999523162802</v>
      </c>
      <c r="G109">
        <v>-1.7501871585845901</v>
      </c>
      <c r="H109">
        <v>2.7999999523162802</v>
      </c>
      <c r="J109" s="1">
        <v>42885</v>
      </c>
      <c r="K109">
        <v>307.14999995231602</v>
      </c>
      <c r="L109">
        <v>302.59981284141497</v>
      </c>
      <c r="M109">
        <v>303.85074115395548</v>
      </c>
      <c r="N109">
        <f t="shared" si="10"/>
        <v>303.22527699768523</v>
      </c>
      <c r="P109">
        <f t="shared" si="11"/>
        <v>0</v>
      </c>
      <c r="Q109">
        <f t="shared" si="12"/>
        <v>0</v>
      </c>
      <c r="R109">
        <f t="shared" si="13"/>
        <v>0</v>
      </c>
      <c r="T109">
        <f t="shared" si="14"/>
        <v>20.70420274421004</v>
      </c>
      <c r="U109">
        <f t="shared" si="15"/>
        <v>10.885108618559437</v>
      </c>
      <c r="V109">
        <f t="shared" si="16"/>
        <v>15.403450270605877</v>
      </c>
    </row>
    <row r="110" spans="1:22" x14ac:dyDescent="0.3">
      <c r="A110" s="1">
        <v>42886</v>
      </c>
      <c r="B110" s="1">
        <v>42977</v>
      </c>
      <c r="C110">
        <v>307.67024402618398</v>
      </c>
      <c r="D110">
        <v>309.00000004768299</v>
      </c>
      <c r="E110">
        <v>305.05</v>
      </c>
      <c r="F110">
        <v>3.95000004768371</v>
      </c>
      <c r="G110">
        <v>2.6202440261840798</v>
      </c>
      <c r="H110">
        <v>3.95000004768371</v>
      </c>
      <c r="J110" s="1">
        <v>42886</v>
      </c>
      <c r="K110">
        <v>309.00000004768299</v>
      </c>
      <c r="L110">
        <v>307.67024402618398</v>
      </c>
      <c r="M110">
        <v>301.331964302063</v>
      </c>
      <c r="N110">
        <f t="shared" si="10"/>
        <v>304.50110416412349</v>
      </c>
      <c r="P110">
        <f t="shared" si="11"/>
        <v>1</v>
      </c>
      <c r="Q110">
        <f t="shared" si="12"/>
        <v>0</v>
      </c>
      <c r="R110">
        <f t="shared" si="13"/>
        <v>0</v>
      </c>
      <c r="T110">
        <f t="shared" si="14"/>
        <v>1.7682510767128716</v>
      </c>
      <c r="U110">
        <f t="shared" si="15"/>
        <v>58.798772196105894</v>
      </c>
      <c r="V110">
        <f t="shared" si="16"/>
        <v>20.2400641711086</v>
      </c>
    </row>
    <row r="111" spans="1:22" x14ac:dyDescent="0.3">
      <c r="A111" s="1">
        <v>42887</v>
      </c>
      <c r="B111" s="1">
        <v>42978</v>
      </c>
      <c r="C111">
        <v>305.33982195854099</v>
      </c>
      <c r="D111">
        <v>306.64999999999998</v>
      </c>
      <c r="E111">
        <v>304.14999999999998</v>
      </c>
      <c r="F111">
        <v>2.5</v>
      </c>
      <c r="G111">
        <v>1.1898219585418699</v>
      </c>
      <c r="H111">
        <v>2.5</v>
      </c>
      <c r="J111" s="1">
        <v>42887</v>
      </c>
      <c r="K111">
        <v>306.64999999999998</v>
      </c>
      <c r="L111">
        <v>305.33982195854099</v>
      </c>
      <c r="M111">
        <v>304.80118330717085</v>
      </c>
      <c r="N111">
        <f t="shared" si="10"/>
        <v>305.07050263285589</v>
      </c>
      <c r="P111">
        <f t="shared" si="11"/>
        <v>1</v>
      </c>
      <c r="Q111">
        <f t="shared" si="12"/>
        <v>1</v>
      </c>
      <c r="R111">
        <f t="shared" si="13"/>
        <v>1</v>
      </c>
      <c r="T111">
        <f t="shared" si="14"/>
        <v>1.7165665003212953</v>
      </c>
      <c r="U111">
        <f t="shared" si="15"/>
        <v>3.4181231636836493</v>
      </c>
      <c r="V111">
        <f t="shared" si="16"/>
        <v>2.4948119328150988</v>
      </c>
    </row>
    <row r="112" spans="1:22" x14ac:dyDescent="0.3">
      <c r="A112" s="1">
        <v>42888</v>
      </c>
      <c r="B112" s="1">
        <v>42979</v>
      </c>
      <c r="C112">
        <v>308.99850416183398</v>
      </c>
      <c r="D112">
        <v>306.299999952316</v>
      </c>
      <c r="E112">
        <v>307.75</v>
      </c>
      <c r="F112">
        <v>-1.45000004768371</v>
      </c>
      <c r="G112">
        <v>1.2485041618347099</v>
      </c>
      <c r="H112">
        <v>-1.45000004768371</v>
      </c>
      <c r="J112" s="1">
        <v>42888</v>
      </c>
      <c r="K112">
        <v>306.299999952316</v>
      </c>
      <c r="L112">
        <v>308.99850416183398</v>
      </c>
      <c r="M112">
        <v>305.98133385181427</v>
      </c>
      <c r="N112">
        <f t="shared" si="10"/>
        <v>307.48991900682415</v>
      </c>
      <c r="P112">
        <f t="shared" si="11"/>
        <v>0</v>
      </c>
      <c r="Q112">
        <f t="shared" si="12"/>
        <v>1</v>
      </c>
      <c r="R112">
        <f t="shared" si="13"/>
        <v>1</v>
      </c>
      <c r="T112">
        <f t="shared" si="14"/>
        <v>7.2819249687862468</v>
      </c>
      <c r="U112">
        <f t="shared" si="15"/>
        <v>0.10154808360897864</v>
      </c>
      <c r="V112">
        <f t="shared" si="16"/>
        <v>1.4159073562815754</v>
      </c>
    </row>
    <row r="113" spans="1:22" x14ac:dyDescent="0.3">
      <c r="A113" s="1">
        <v>42891</v>
      </c>
      <c r="B113" s="1">
        <v>42982</v>
      </c>
      <c r="C113">
        <v>305.59272584915101</v>
      </c>
      <c r="D113">
        <v>303.500000095367</v>
      </c>
      <c r="E113">
        <v>307.60000000000002</v>
      </c>
      <c r="F113">
        <v>4.0999999046325604</v>
      </c>
      <c r="G113">
        <v>-2.0072741508483798</v>
      </c>
      <c r="H113">
        <v>-4.0999999046325604</v>
      </c>
      <c r="J113" s="1">
        <v>42891</v>
      </c>
      <c r="K113">
        <v>303.500000095367</v>
      </c>
      <c r="L113">
        <v>305.59272584915101</v>
      </c>
      <c r="M113">
        <v>308.70601925849917</v>
      </c>
      <c r="N113">
        <f t="shared" si="10"/>
        <v>307.14937255382506</v>
      </c>
      <c r="P113">
        <f t="shared" si="11"/>
        <v>1</v>
      </c>
      <c r="Q113">
        <f t="shared" si="12"/>
        <v>0</v>
      </c>
      <c r="R113">
        <f t="shared" si="13"/>
        <v>1</v>
      </c>
      <c r="T113">
        <f t="shared" si="14"/>
        <v>4.379501080550849</v>
      </c>
      <c r="U113">
        <f t="shared" si="15"/>
        <v>27.102635526899366</v>
      </c>
      <c r="V113">
        <f t="shared" si="16"/>
        <v>13.317919340552228</v>
      </c>
    </row>
    <row r="114" spans="1:22" x14ac:dyDescent="0.3">
      <c r="A114" s="1">
        <v>42892</v>
      </c>
      <c r="B114" s="1">
        <v>42983</v>
      </c>
      <c r="C114">
        <v>305.05347952842698</v>
      </c>
      <c r="D114">
        <v>302.69999990463202</v>
      </c>
      <c r="E114">
        <v>307.60000000000002</v>
      </c>
      <c r="F114">
        <v>4.9000000953674299</v>
      </c>
      <c r="G114">
        <v>-2.5465204715728702</v>
      </c>
      <c r="H114">
        <v>-4.9000000953674299</v>
      </c>
      <c r="J114" s="1">
        <v>42892</v>
      </c>
      <c r="K114">
        <v>302.69999990463202</v>
      </c>
      <c r="L114">
        <v>305.05347952842698</v>
      </c>
      <c r="M114">
        <v>308.07165840864184</v>
      </c>
      <c r="N114">
        <f t="shared" si="10"/>
        <v>306.56256896853438</v>
      </c>
      <c r="P114">
        <f t="shared" si="11"/>
        <v>1</v>
      </c>
      <c r="Q114">
        <f t="shared" si="12"/>
        <v>0</v>
      </c>
      <c r="R114">
        <f t="shared" si="13"/>
        <v>1</v>
      </c>
      <c r="T114">
        <f t="shared" si="14"/>
        <v>5.5388663396180364</v>
      </c>
      <c r="U114">
        <f t="shared" si="15"/>
        <v>28.854715083700967</v>
      </c>
      <c r="V114">
        <f t="shared" si="16"/>
        <v>14.919439773415522</v>
      </c>
    </row>
    <row r="115" spans="1:22" x14ac:dyDescent="0.3">
      <c r="A115" s="1">
        <v>42893</v>
      </c>
      <c r="B115" s="1">
        <v>42984</v>
      </c>
      <c r="C115">
        <v>306.59713687896698</v>
      </c>
      <c r="D115">
        <v>302.30000009536701</v>
      </c>
      <c r="E115">
        <v>305.39999999999998</v>
      </c>
      <c r="F115">
        <v>-3.0999999046325599</v>
      </c>
      <c r="G115">
        <v>1.19713687896728</v>
      </c>
      <c r="H115">
        <v>-3.0999999046325599</v>
      </c>
      <c r="J115" s="1">
        <v>42893</v>
      </c>
      <c r="K115">
        <v>302.30000009536701</v>
      </c>
      <c r="L115">
        <v>306.59713687896698</v>
      </c>
      <c r="M115">
        <v>305.40299420650115</v>
      </c>
      <c r="N115">
        <f t="shared" si="10"/>
        <v>306.00006554273409</v>
      </c>
      <c r="P115">
        <f t="shared" si="11"/>
        <v>0</v>
      </c>
      <c r="Q115">
        <f t="shared" si="12"/>
        <v>0</v>
      </c>
      <c r="R115">
        <f t="shared" si="13"/>
        <v>0</v>
      </c>
      <c r="T115">
        <f t="shared" si="14"/>
        <v>18.465384536967871</v>
      </c>
      <c r="U115">
        <f t="shared" si="15"/>
        <v>9.6285724537331348</v>
      </c>
      <c r="V115">
        <f t="shared" si="16"/>
        <v>13.690484314799754</v>
      </c>
    </row>
    <row r="116" spans="1:22" x14ac:dyDescent="0.3">
      <c r="A116" s="1">
        <v>42894</v>
      </c>
      <c r="B116" s="1">
        <v>42985</v>
      </c>
      <c r="C116">
        <v>308.43508162498398</v>
      </c>
      <c r="D116">
        <v>306.20000001192</v>
      </c>
      <c r="E116">
        <v>306.64999999999998</v>
      </c>
      <c r="F116">
        <v>-0.44999998807907099</v>
      </c>
      <c r="G116">
        <v>1.7850816249847401</v>
      </c>
      <c r="H116">
        <v>-0.44999998807907099</v>
      </c>
      <c r="J116" s="1">
        <v>42894</v>
      </c>
      <c r="K116">
        <v>306.20000001192</v>
      </c>
      <c r="L116">
        <v>308.43508162498398</v>
      </c>
      <c r="M116">
        <v>308.74858107566831</v>
      </c>
      <c r="N116">
        <f t="shared" si="10"/>
        <v>308.59183135032617</v>
      </c>
      <c r="P116">
        <f t="shared" si="11"/>
        <v>0</v>
      </c>
      <c r="Q116">
        <f t="shared" si="12"/>
        <v>0</v>
      </c>
      <c r="R116">
        <f t="shared" si="13"/>
        <v>0</v>
      </c>
      <c r="T116">
        <f t="shared" si="14"/>
        <v>4.995589817056695</v>
      </c>
      <c r="U116">
        <f t="shared" si="15"/>
        <v>6.495265438496495</v>
      </c>
      <c r="V116">
        <f t="shared" si="16"/>
        <v>5.7208571513818871</v>
      </c>
    </row>
    <row r="117" spans="1:22" x14ac:dyDescent="0.3">
      <c r="A117" s="1">
        <v>42895</v>
      </c>
      <c r="B117" s="1">
        <v>42986</v>
      </c>
      <c r="C117">
        <v>311.37889103889398</v>
      </c>
      <c r="D117">
        <v>306.25000004768299</v>
      </c>
      <c r="E117">
        <v>308.55</v>
      </c>
      <c r="F117">
        <v>-2.2999999523162802</v>
      </c>
      <c r="G117">
        <v>2.8288910388946502</v>
      </c>
      <c r="H117">
        <v>-2.2999999523162802</v>
      </c>
      <c r="J117" s="1">
        <v>42895</v>
      </c>
      <c r="K117">
        <v>306.25000004768299</v>
      </c>
      <c r="L117">
        <v>311.37889103889398</v>
      </c>
      <c r="M117">
        <v>307.88905851840974</v>
      </c>
      <c r="N117">
        <f t="shared" si="10"/>
        <v>309.63397477865186</v>
      </c>
      <c r="P117">
        <f t="shared" si="11"/>
        <v>0</v>
      </c>
      <c r="Q117">
        <f t="shared" si="12"/>
        <v>1</v>
      </c>
      <c r="R117">
        <f t="shared" si="13"/>
        <v>0</v>
      </c>
      <c r="T117">
        <f t="shared" si="14"/>
        <v>26.305522799725296</v>
      </c>
      <c r="U117">
        <f t="shared" si="15"/>
        <v>2.6865126704611195</v>
      </c>
      <c r="V117">
        <f t="shared" si="16"/>
        <v>11.451284979835858</v>
      </c>
    </row>
    <row r="118" spans="1:22" x14ac:dyDescent="0.3">
      <c r="A118" s="1">
        <v>42898</v>
      </c>
      <c r="B118" s="1">
        <v>42989</v>
      </c>
      <c r="C118">
        <v>311.92212514877298</v>
      </c>
      <c r="D118">
        <v>309.25000004768299</v>
      </c>
      <c r="E118">
        <v>305.3</v>
      </c>
      <c r="F118">
        <v>3.95000004768371</v>
      </c>
      <c r="G118">
        <v>6.6221251487731898</v>
      </c>
      <c r="H118">
        <v>3.95000004768371</v>
      </c>
      <c r="J118" s="1">
        <v>42898</v>
      </c>
      <c r="K118">
        <v>309.25000004768299</v>
      </c>
      <c r="L118">
        <v>311.92212514877298</v>
      </c>
      <c r="M118">
        <v>303.82030777931215</v>
      </c>
      <c r="N118">
        <f t="shared" si="10"/>
        <v>307.87121646404256</v>
      </c>
      <c r="P118">
        <f t="shared" si="11"/>
        <v>1</v>
      </c>
      <c r="Q118">
        <f t="shared" si="12"/>
        <v>0</v>
      </c>
      <c r="R118">
        <f t="shared" si="13"/>
        <v>1</v>
      </c>
      <c r="T118">
        <f t="shared" si="14"/>
        <v>7.1402525558751844</v>
      </c>
      <c r="U118">
        <f t="shared" si="15"/>
        <v>29.48155812920611</v>
      </c>
      <c r="V118">
        <f t="shared" si="16"/>
        <v>1.9010441705163383</v>
      </c>
    </row>
    <row r="119" spans="1:22" x14ac:dyDescent="0.3">
      <c r="A119" s="1">
        <v>42899</v>
      </c>
      <c r="B119" s="1">
        <v>42990</v>
      </c>
      <c r="C119">
        <v>309.34420828819202</v>
      </c>
      <c r="D119">
        <v>309.20000009536699</v>
      </c>
      <c r="E119">
        <v>307.05</v>
      </c>
      <c r="F119">
        <v>2.1500000953674299</v>
      </c>
      <c r="G119">
        <v>2.2942082881927401</v>
      </c>
      <c r="H119">
        <v>2.1500000953674299</v>
      </c>
      <c r="J119" s="1">
        <v>42899</v>
      </c>
      <c r="K119">
        <v>309.20000009536699</v>
      </c>
      <c r="L119">
        <v>309.34420828819202</v>
      </c>
      <c r="M119">
        <v>305.35177891254426</v>
      </c>
      <c r="N119">
        <f t="shared" si="10"/>
        <v>307.34799360036811</v>
      </c>
      <c r="P119">
        <f t="shared" si="11"/>
        <v>1</v>
      </c>
      <c r="Q119">
        <f t="shared" si="12"/>
        <v>0</v>
      </c>
      <c r="R119">
        <f t="shared" si="13"/>
        <v>1</v>
      </c>
      <c r="T119">
        <f t="shared" si="14"/>
        <v>2.0796002877861947E-2</v>
      </c>
      <c r="U119">
        <f t="shared" si="15"/>
        <v>14.808806271925544</v>
      </c>
      <c r="V119">
        <f t="shared" si="16"/>
        <v>3.4299280575180182</v>
      </c>
    </row>
    <row r="120" spans="1:22" x14ac:dyDescent="0.3">
      <c r="A120" s="1">
        <v>42900</v>
      </c>
      <c r="B120" s="1">
        <v>42991</v>
      </c>
      <c r="C120">
        <v>309.157355928421</v>
      </c>
      <c r="D120">
        <v>308.54999997615801</v>
      </c>
      <c r="E120">
        <v>307.39999999999998</v>
      </c>
      <c r="F120">
        <v>1.1499999761581401</v>
      </c>
      <c r="G120">
        <v>1.7573559284210201</v>
      </c>
      <c r="H120">
        <v>1.1499999761581401</v>
      </c>
      <c r="J120" s="1">
        <v>42900</v>
      </c>
      <c r="K120">
        <v>308.54999997615801</v>
      </c>
      <c r="L120">
        <v>309.157355928421</v>
      </c>
      <c r="M120">
        <v>305.30364313125608</v>
      </c>
      <c r="N120">
        <f t="shared" si="10"/>
        <v>307.23049952983854</v>
      </c>
      <c r="P120">
        <f t="shared" si="11"/>
        <v>1</v>
      </c>
      <c r="Q120">
        <f t="shared" si="12"/>
        <v>0</v>
      </c>
      <c r="R120">
        <f t="shared" si="13"/>
        <v>0</v>
      </c>
      <c r="T120">
        <f t="shared" si="14"/>
        <v>0.36888125274928596</v>
      </c>
      <c r="U120">
        <f t="shared" si="15"/>
        <v>10.53883276444158</v>
      </c>
      <c r="V120">
        <f t="shared" si="16"/>
        <v>1.741081427837271</v>
      </c>
    </row>
    <row r="121" spans="1:22" x14ac:dyDescent="0.3">
      <c r="A121" s="1">
        <v>42901</v>
      </c>
      <c r="B121" s="1">
        <v>42992</v>
      </c>
      <c r="C121">
        <v>302.67965307235698</v>
      </c>
      <c r="D121">
        <v>310.24999990463198</v>
      </c>
      <c r="E121">
        <v>305.64999999999998</v>
      </c>
      <c r="F121">
        <v>-4.5999999046325604</v>
      </c>
      <c r="G121">
        <v>-2.97034692764282</v>
      </c>
      <c r="H121">
        <v>4.5999999046325604</v>
      </c>
      <c r="J121" s="1">
        <v>42901</v>
      </c>
      <c r="K121">
        <v>310.24999990463198</v>
      </c>
      <c r="L121">
        <v>302.67965307235698</v>
      </c>
      <c r="M121">
        <v>310.44961585998533</v>
      </c>
      <c r="N121">
        <f t="shared" si="10"/>
        <v>306.56463446617113</v>
      </c>
      <c r="P121">
        <f t="shared" si="11"/>
        <v>0</v>
      </c>
      <c r="Q121">
        <f t="shared" si="12"/>
        <v>1</v>
      </c>
      <c r="R121">
        <f t="shared" si="13"/>
        <v>1</v>
      </c>
      <c r="T121">
        <f t="shared" si="14"/>
        <v>57.310151160936016</v>
      </c>
      <c r="U121">
        <f t="shared" si="15"/>
        <v>3.9846529631631274E-2</v>
      </c>
      <c r="V121">
        <f t="shared" si="16"/>
        <v>13.581918415001725</v>
      </c>
    </row>
    <row r="122" spans="1:22" x14ac:dyDescent="0.3">
      <c r="A122" s="1">
        <v>42902</v>
      </c>
      <c r="B122" s="1">
        <v>42993</v>
      </c>
      <c r="C122">
        <v>303.77945709228499</v>
      </c>
      <c r="D122">
        <v>311.19999980926502</v>
      </c>
      <c r="E122">
        <v>306</v>
      </c>
      <c r="F122">
        <v>-5.1999998092651296</v>
      </c>
      <c r="G122">
        <v>-2.2205429077148402</v>
      </c>
      <c r="H122">
        <v>5.1999998092651296</v>
      </c>
      <c r="J122" s="1">
        <v>42902</v>
      </c>
      <c r="K122">
        <v>311.19999980926502</v>
      </c>
      <c r="L122">
        <v>303.77945709228499</v>
      </c>
      <c r="M122">
        <v>304.15636277198792</v>
      </c>
      <c r="N122">
        <f t="shared" si="10"/>
        <v>303.96790993213642</v>
      </c>
      <c r="P122">
        <f t="shared" si="11"/>
        <v>0</v>
      </c>
      <c r="Q122">
        <f t="shared" si="12"/>
        <v>0</v>
      </c>
      <c r="R122">
        <f t="shared" si="13"/>
        <v>0</v>
      </c>
      <c r="T122">
        <f t="shared" si="14"/>
        <v>55.064454214525476</v>
      </c>
      <c r="U122">
        <f t="shared" si="15"/>
        <v>49.612822712901838</v>
      </c>
      <c r="V122">
        <f t="shared" si="16"/>
        <v>52.303123990865984</v>
      </c>
    </row>
    <row r="123" spans="1:22" x14ac:dyDescent="0.3">
      <c r="A123" s="1">
        <v>42905</v>
      </c>
      <c r="B123" s="1">
        <v>42996</v>
      </c>
      <c r="C123">
        <v>300.36376934051498</v>
      </c>
      <c r="D123">
        <v>316.69999961853</v>
      </c>
      <c r="E123">
        <v>307.8</v>
      </c>
      <c r="F123">
        <v>-8.8999996185302699</v>
      </c>
      <c r="G123">
        <v>-7.4362306594848597</v>
      </c>
      <c r="H123">
        <v>8.8999996185302699</v>
      </c>
      <c r="J123" s="1">
        <v>42905</v>
      </c>
      <c r="K123">
        <v>316.69999961853</v>
      </c>
      <c r="L123">
        <v>300.36376934051498</v>
      </c>
      <c r="M123">
        <v>305.26671533584596</v>
      </c>
      <c r="N123">
        <f t="shared" si="10"/>
        <v>302.8152423381805</v>
      </c>
      <c r="P123">
        <f t="shared" si="11"/>
        <v>0</v>
      </c>
      <c r="Q123">
        <f t="shared" si="12"/>
        <v>0</v>
      </c>
      <c r="R123">
        <f t="shared" si="13"/>
        <v>0</v>
      </c>
      <c r="T123">
        <f t="shared" si="14"/>
        <v>266.87241969633482</v>
      </c>
      <c r="U123">
        <f t="shared" si="15"/>
        <v>130.71998948866994</v>
      </c>
      <c r="V123">
        <f t="shared" si="16"/>
        <v>192.78648473421856</v>
      </c>
    </row>
    <row r="124" spans="1:22" x14ac:dyDescent="0.3">
      <c r="A124" s="1">
        <v>42906</v>
      </c>
      <c r="B124" s="1">
        <v>42997</v>
      </c>
      <c r="C124">
        <v>303.55453500747598</v>
      </c>
      <c r="D124">
        <v>316.04999980926499</v>
      </c>
      <c r="E124">
        <v>308.10000000000002</v>
      </c>
      <c r="F124">
        <v>-7.9499998092651296</v>
      </c>
      <c r="G124">
        <v>-4.5454649925231898</v>
      </c>
      <c r="H124">
        <v>7.9499998092651296</v>
      </c>
      <c r="J124" s="1">
        <v>42906</v>
      </c>
      <c r="K124">
        <v>316.04999980926499</v>
      </c>
      <c r="L124">
        <v>303.55453500747598</v>
      </c>
      <c r="M124">
        <v>306.90990457534792</v>
      </c>
      <c r="N124">
        <f t="shared" si="10"/>
        <v>305.23221979141192</v>
      </c>
      <c r="P124">
        <f t="shared" si="11"/>
        <v>0</v>
      </c>
      <c r="Q124">
        <f t="shared" si="12"/>
        <v>0</v>
      </c>
      <c r="R124">
        <f t="shared" si="13"/>
        <v>0</v>
      </c>
      <c r="T124">
        <f t="shared" si="14"/>
        <v>156.13664061274812</v>
      </c>
      <c r="U124">
        <f t="shared" si="15"/>
        <v>83.541340885073467</v>
      </c>
      <c r="V124">
        <f t="shared" si="16"/>
        <v>117.02436451466112</v>
      </c>
    </row>
    <row r="125" spans="1:22" x14ac:dyDescent="0.3">
      <c r="A125" s="1">
        <v>42907</v>
      </c>
      <c r="B125" s="1">
        <v>42998</v>
      </c>
      <c r="C125">
        <v>306.85068224668498</v>
      </c>
      <c r="D125">
        <v>315.8</v>
      </c>
      <c r="E125">
        <v>306.8</v>
      </c>
      <c r="F125">
        <v>9</v>
      </c>
      <c r="G125">
        <v>5.0682246685028E-2</v>
      </c>
      <c r="H125">
        <v>9</v>
      </c>
      <c r="J125" s="1">
        <v>42907</v>
      </c>
      <c r="K125">
        <v>315.8</v>
      </c>
      <c r="L125">
        <v>306.85068224668498</v>
      </c>
      <c r="M125">
        <v>305.80216245651246</v>
      </c>
      <c r="N125">
        <f t="shared" si="10"/>
        <v>306.32642235159869</v>
      </c>
      <c r="P125">
        <f t="shared" si="11"/>
        <v>1</v>
      </c>
      <c r="Q125">
        <f t="shared" si="12"/>
        <v>0</v>
      </c>
      <c r="R125">
        <f t="shared" si="13"/>
        <v>0</v>
      </c>
      <c r="T125">
        <f t="shared" si="14"/>
        <v>80.090288249799556</v>
      </c>
      <c r="U125">
        <f t="shared" si="15"/>
        <v>99.956755545969145</v>
      </c>
      <c r="V125">
        <f t="shared" si="16"/>
        <v>89.748673460289027</v>
      </c>
    </row>
    <row r="126" spans="1:22" x14ac:dyDescent="0.3">
      <c r="A126" s="1">
        <v>42908</v>
      </c>
      <c r="B126" s="1">
        <v>42999</v>
      </c>
      <c r="C126">
        <v>313.15750150680498</v>
      </c>
      <c r="D126">
        <v>316.05</v>
      </c>
      <c r="E126">
        <v>308.55</v>
      </c>
      <c r="F126">
        <v>7.5</v>
      </c>
      <c r="G126">
        <v>4.6075015068054199</v>
      </c>
      <c r="H126">
        <v>7.5</v>
      </c>
      <c r="J126" s="1">
        <v>42908</v>
      </c>
      <c r="K126">
        <v>316.05</v>
      </c>
      <c r="L126">
        <v>313.15750150680498</v>
      </c>
      <c r="M126">
        <v>309.12385981082917</v>
      </c>
      <c r="N126">
        <f t="shared" si="10"/>
        <v>311.14068065881708</v>
      </c>
      <c r="P126">
        <f t="shared" si="11"/>
        <v>1</v>
      </c>
      <c r="Q126">
        <f t="shared" si="12"/>
        <v>1</v>
      </c>
      <c r="R126">
        <f t="shared" si="13"/>
        <v>1</v>
      </c>
      <c r="T126">
        <f t="shared" si="14"/>
        <v>8.366547533135547</v>
      </c>
      <c r="U126">
        <f t="shared" si="15"/>
        <v>47.971417920047443</v>
      </c>
      <c r="V126">
        <f t="shared" si="16"/>
        <v>24.101416393712856</v>
      </c>
    </row>
    <row r="127" spans="1:22" x14ac:dyDescent="0.3">
      <c r="A127" s="1">
        <v>42909</v>
      </c>
      <c r="B127" s="1">
        <v>43000</v>
      </c>
      <c r="C127">
        <v>308.165869951248</v>
      </c>
      <c r="D127">
        <v>313.75</v>
      </c>
      <c r="E127">
        <v>309.25</v>
      </c>
      <c r="F127">
        <v>-4.5</v>
      </c>
      <c r="G127">
        <v>-1.0841300487518299</v>
      </c>
      <c r="H127">
        <v>4.5</v>
      </c>
      <c r="J127" s="1">
        <v>42909</v>
      </c>
      <c r="K127">
        <v>313.75</v>
      </c>
      <c r="L127">
        <v>308.165869951248</v>
      </c>
      <c r="M127">
        <v>306.42500472068787</v>
      </c>
      <c r="N127">
        <f t="shared" si="10"/>
        <v>307.2954373359679</v>
      </c>
      <c r="P127">
        <f t="shared" si="11"/>
        <v>0</v>
      </c>
      <c r="Q127">
        <f t="shared" si="12"/>
        <v>0</v>
      </c>
      <c r="R127">
        <f t="shared" si="13"/>
        <v>0</v>
      </c>
      <c r="T127">
        <f t="shared" si="14"/>
        <v>31.182508401375031</v>
      </c>
      <c r="U127">
        <f t="shared" si="15"/>
        <v>53.655555841945045</v>
      </c>
      <c r="V127">
        <f t="shared" si="16"/>
        <v>41.661379183917113</v>
      </c>
    </row>
    <row r="128" spans="1:22" x14ac:dyDescent="0.3">
      <c r="A128" s="1">
        <v>42912</v>
      </c>
      <c r="B128" s="1">
        <v>43003</v>
      </c>
      <c r="C128">
        <v>307.84185891151401</v>
      </c>
      <c r="D128">
        <v>313.8</v>
      </c>
      <c r="E128">
        <v>310.55</v>
      </c>
      <c r="F128">
        <v>-3.25</v>
      </c>
      <c r="G128">
        <v>-2.7081410884857098</v>
      </c>
      <c r="H128">
        <v>3.25</v>
      </c>
      <c r="J128" s="1">
        <v>42912</v>
      </c>
      <c r="K128">
        <v>313.8</v>
      </c>
      <c r="L128">
        <v>307.84185891151401</v>
      </c>
      <c r="M128">
        <v>306.41244535446168</v>
      </c>
      <c r="N128">
        <f t="shared" si="10"/>
        <v>307.12715213298782</v>
      </c>
      <c r="P128">
        <f t="shared" si="11"/>
        <v>0</v>
      </c>
      <c r="Q128">
        <f t="shared" si="12"/>
        <v>0</v>
      </c>
      <c r="R128">
        <f t="shared" si="13"/>
        <v>0</v>
      </c>
      <c r="T128">
        <f t="shared" si="14"/>
        <v>35.499445230305163</v>
      </c>
      <c r="U128">
        <f t="shared" si="15"/>
        <v>54.575963640814962</v>
      </c>
      <c r="V128">
        <f t="shared" si="16"/>
        <v>44.526898656289191</v>
      </c>
    </row>
    <row r="129" spans="1:22" x14ac:dyDescent="0.3">
      <c r="A129" s="1">
        <v>42913</v>
      </c>
      <c r="B129" s="1">
        <v>43004</v>
      </c>
      <c r="C129">
        <v>303.78443822860697</v>
      </c>
      <c r="D129">
        <v>311.79999998807898</v>
      </c>
      <c r="E129">
        <v>311.10000000000002</v>
      </c>
      <c r="F129">
        <v>-0.69999998807907104</v>
      </c>
      <c r="G129">
        <v>-7.3155617713928196</v>
      </c>
      <c r="H129">
        <v>0.69999998807907104</v>
      </c>
      <c r="J129" s="1">
        <v>42913</v>
      </c>
      <c r="K129">
        <v>311.79999998807898</v>
      </c>
      <c r="L129">
        <v>303.78443822860697</v>
      </c>
      <c r="M129">
        <v>306.13383970260622</v>
      </c>
      <c r="N129">
        <f t="shared" si="10"/>
        <v>304.9591389656066</v>
      </c>
      <c r="P129">
        <f t="shared" si="11"/>
        <v>0</v>
      </c>
      <c r="Q129">
        <f t="shared" si="12"/>
        <v>0</v>
      </c>
      <c r="R129">
        <f t="shared" si="13"/>
        <v>0</v>
      </c>
      <c r="T129">
        <f t="shared" si="14"/>
        <v>64.249230319909969</v>
      </c>
      <c r="U129">
        <f t="shared" si="15"/>
        <v>32.105372380668705</v>
      </c>
      <c r="V129">
        <f t="shared" si="16"/>
        <v>46.797379528781875</v>
      </c>
    </row>
    <row r="130" spans="1:22" x14ac:dyDescent="0.3">
      <c r="A130" s="1">
        <v>42914</v>
      </c>
      <c r="B130" s="1">
        <v>43005</v>
      </c>
      <c r="C130">
        <v>312.682776927948</v>
      </c>
      <c r="D130">
        <v>311.39999997615803</v>
      </c>
      <c r="E130">
        <v>310.25</v>
      </c>
      <c r="F130">
        <v>1.1499999761581401</v>
      </c>
      <c r="G130">
        <v>2.4327769279479901</v>
      </c>
      <c r="H130">
        <v>1.1499999761581401</v>
      </c>
      <c r="J130" s="1">
        <v>42914</v>
      </c>
      <c r="K130">
        <v>311.39999997615803</v>
      </c>
      <c r="L130">
        <v>312.682776927948</v>
      </c>
      <c r="M130">
        <v>304.3721137046814</v>
      </c>
      <c r="N130">
        <f t="shared" si="10"/>
        <v>308.5274453163147</v>
      </c>
      <c r="P130">
        <f t="shared" si="11"/>
        <v>1</v>
      </c>
      <c r="Q130">
        <f t="shared" si="12"/>
        <v>0</v>
      </c>
      <c r="R130">
        <f t="shared" si="13"/>
        <v>0</v>
      </c>
      <c r="T130">
        <f t="shared" si="14"/>
        <v>1.6455167080435662</v>
      </c>
      <c r="U130">
        <f t="shared" si="15"/>
        <v>49.391185444809715</v>
      </c>
      <c r="V130">
        <f t="shared" si="16"/>
        <v>8.2515702737876353</v>
      </c>
    </row>
    <row r="131" spans="1:22" x14ac:dyDescent="0.3">
      <c r="A131" s="1">
        <v>42915</v>
      </c>
      <c r="B131" s="1">
        <v>43006</v>
      </c>
      <c r="C131">
        <v>311.66481409072799</v>
      </c>
      <c r="D131">
        <v>311.60000000000002</v>
      </c>
      <c r="E131">
        <v>312.35000000000002</v>
      </c>
      <c r="F131">
        <v>0.75</v>
      </c>
      <c r="G131">
        <v>-0.68518590927124001</v>
      </c>
      <c r="H131">
        <v>-0.75</v>
      </c>
      <c r="J131" s="1">
        <v>42915</v>
      </c>
      <c r="K131">
        <v>311.60000000000002</v>
      </c>
      <c r="L131">
        <v>311.66481409072799</v>
      </c>
      <c r="M131">
        <v>310.72086379528048</v>
      </c>
      <c r="N131">
        <f t="shared" ref="N131:N194" si="17">AVERAGE(L131:M131)</f>
        <v>311.19283894300423</v>
      </c>
      <c r="P131">
        <f t="shared" ref="P131:P194" si="18">IF((E131-K131)*(E131-L131)&gt;0,1,0)</f>
        <v>1</v>
      </c>
      <c r="Q131">
        <f t="shared" ref="Q131:Q194" si="19">IF((E131-K131)*(E131-M131)&gt;0,1,0)</f>
        <v>1</v>
      </c>
      <c r="R131">
        <f t="shared" ref="R131:R194" si="20">IF((E131-K131)*(E131-N131)&gt;0,1,0)</f>
        <v>1</v>
      </c>
      <c r="T131">
        <f t="shared" si="14"/>
        <v>4.2008663568927438E-3</v>
      </c>
      <c r="U131">
        <f t="shared" si="15"/>
        <v>0.77288046644868302</v>
      </c>
      <c r="V131">
        <f t="shared" si="16"/>
        <v>0.16578012633392875</v>
      </c>
    </row>
    <row r="132" spans="1:22" x14ac:dyDescent="0.3">
      <c r="A132" s="1">
        <v>42916</v>
      </c>
      <c r="B132" s="1">
        <v>43007</v>
      </c>
      <c r="C132">
        <v>321.57873516082702</v>
      </c>
      <c r="D132">
        <v>314.3</v>
      </c>
      <c r="E132">
        <v>311.55</v>
      </c>
      <c r="F132">
        <v>2.75</v>
      </c>
      <c r="G132">
        <v>10.028735160827599</v>
      </c>
      <c r="H132">
        <v>2.75</v>
      </c>
      <c r="J132" s="1">
        <v>42916</v>
      </c>
      <c r="K132">
        <v>314.3</v>
      </c>
      <c r="L132">
        <v>321.57873516082702</v>
      </c>
      <c r="M132">
        <v>305.09674482345582</v>
      </c>
      <c r="N132">
        <f t="shared" si="17"/>
        <v>313.33773999214145</v>
      </c>
      <c r="P132">
        <f t="shared" si="18"/>
        <v>1</v>
      </c>
      <c r="Q132">
        <f t="shared" si="19"/>
        <v>0</v>
      </c>
      <c r="R132">
        <f t="shared" si="20"/>
        <v>1</v>
      </c>
      <c r="T132">
        <f t="shared" si="14"/>
        <v>52.979985541459421</v>
      </c>
      <c r="U132">
        <f t="shared" si="15"/>
        <v>84.69990584458742</v>
      </c>
      <c r="V132">
        <f t="shared" si="16"/>
        <v>0.9259443227239571</v>
      </c>
    </row>
    <row r="133" spans="1:22" x14ac:dyDescent="0.3">
      <c r="A133" s="1">
        <v>42919</v>
      </c>
      <c r="B133" s="1">
        <v>43010</v>
      </c>
      <c r="C133">
        <v>319.83855886459298</v>
      </c>
      <c r="D133">
        <v>314.29999990463199</v>
      </c>
      <c r="E133">
        <v>311.95</v>
      </c>
      <c r="F133">
        <v>2.3499999046325599</v>
      </c>
      <c r="G133">
        <v>7.8885588645934996</v>
      </c>
      <c r="H133">
        <v>2.3499999046325599</v>
      </c>
      <c r="J133" s="1">
        <v>42919</v>
      </c>
      <c r="K133">
        <v>314.29999990463199</v>
      </c>
      <c r="L133">
        <v>319.83855886459298</v>
      </c>
      <c r="M133">
        <v>306.32034463882445</v>
      </c>
      <c r="N133">
        <f t="shared" si="17"/>
        <v>313.07945175170869</v>
      </c>
      <c r="P133">
        <f t="shared" si="18"/>
        <v>1</v>
      </c>
      <c r="Q133">
        <f t="shared" si="19"/>
        <v>0</v>
      </c>
      <c r="R133">
        <f t="shared" si="20"/>
        <v>1</v>
      </c>
      <c r="T133">
        <f t="shared" si="14"/>
        <v>30.675635352964211</v>
      </c>
      <c r="U133">
        <f t="shared" si="15"/>
        <v>63.674898161129953</v>
      </c>
      <c r="V133">
        <f t="shared" si="16"/>
        <v>1.4897377936044787</v>
      </c>
    </row>
    <row r="134" spans="1:22" x14ac:dyDescent="0.3">
      <c r="A134" s="1">
        <v>42920</v>
      </c>
      <c r="B134" s="1">
        <v>43011</v>
      </c>
      <c r="C134">
        <v>314.618945026397</v>
      </c>
      <c r="D134">
        <v>314.30000009536701</v>
      </c>
      <c r="E134">
        <v>309.64999999999998</v>
      </c>
      <c r="F134">
        <v>4.6500000953674299</v>
      </c>
      <c r="G134">
        <v>4.9689450263976997</v>
      </c>
      <c r="H134">
        <v>4.6500000953674299</v>
      </c>
      <c r="J134" s="1">
        <v>42920</v>
      </c>
      <c r="K134">
        <v>314.30000009536701</v>
      </c>
      <c r="L134">
        <v>314.618945026397</v>
      </c>
      <c r="M134">
        <v>307.24362792968748</v>
      </c>
      <c r="N134">
        <f t="shared" si="17"/>
        <v>310.93128647804224</v>
      </c>
      <c r="P134">
        <f t="shared" si="18"/>
        <v>1</v>
      </c>
      <c r="Q134">
        <f t="shared" si="19"/>
        <v>0</v>
      </c>
      <c r="R134">
        <f t="shared" si="20"/>
        <v>1</v>
      </c>
      <c r="T134">
        <f t="shared" si="14"/>
        <v>0.10172586902972458</v>
      </c>
      <c r="U134">
        <f t="shared" si="15"/>
        <v>49.792388140576875</v>
      </c>
      <c r="V134">
        <f t="shared" si="16"/>
        <v>11.348231435549351</v>
      </c>
    </row>
    <row r="135" spans="1:22" x14ac:dyDescent="0.3">
      <c r="A135" s="1">
        <v>42921</v>
      </c>
      <c r="B135" s="1">
        <v>43012</v>
      </c>
      <c r="C135">
        <v>310.319961345195</v>
      </c>
      <c r="D135">
        <v>314.300000047683</v>
      </c>
      <c r="E135">
        <v>311.10000000000002</v>
      </c>
      <c r="F135">
        <v>-3.20000004768371</v>
      </c>
      <c r="G135">
        <v>-0.78003865480422896</v>
      </c>
      <c r="H135">
        <v>3.20000004768371</v>
      </c>
      <c r="J135" s="1">
        <v>42921</v>
      </c>
      <c r="K135">
        <v>314.300000047683</v>
      </c>
      <c r="L135">
        <v>310.319961345195</v>
      </c>
      <c r="M135">
        <v>309.52611277103426</v>
      </c>
      <c r="N135">
        <f t="shared" si="17"/>
        <v>309.92303705811463</v>
      </c>
      <c r="P135">
        <f t="shared" si="18"/>
        <v>0</v>
      </c>
      <c r="Q135">
        <f t="shared" si="19"/>
        <v>0</v>
      </c>
      <c r="R135">
        <f t="shared" si="20"/>
        <v>0</v>
      </c>
      <c r="T135">
        <f t="shared" si="14"/>
        <v>15.840708073302382</v>
      </c>
      <c r="U135">
        <f t="shared" si="15"/>
        <v>22.789999730148686</v>
      </c>
      <c r="V135">
        <f t="shared" si="16"/>
        <v>19.157805012051277</v>
      </c>
    </row>
    <row r="136" spans="1:22" x14ac:dyDescent="0.3">
      <c r="A136" s="1">
        <v>42922</v>
      </c>
      <c r="B136" s="1">
        <v>43013</v>
      </c>
      <c r="C136">
        <v>308.90290627479499</v>
      </c>
      <c r="D136">
        <v>314.300000047683</v>
      </c>
      <c r="E136">
        <v>311.10000000000002</v>
      </c>
      <c r="F136">
        <v>-3.20000004768371</v>
      </c>
      <c r="G136">
        <v>-2.1970937252044598</v>
      </c>
      <c r="H136">
        <v>3.20000004768371</v>
      </c>
      <c r="J136" s="1">
        <v>42922</v>
      </c>
      <c r="K136">
        <v>314.300000047683</v>
      </c>
      <c r="L136">
        <v>308.90290627479499</v>
      </c>
      <c r="M136">
        <v>309.97619388103487</v>
      </c>
      <c r="N136">
        <f t="shared" si="17"/>
        <v>309.43955007791493</v>
      </c>
      <c r="P136">
        <f t="shared" si="18"/>
        <v>0</v>
      </c>
      <c r="Q136">
        <f t="shared" si="19"/>
        <v>0</v>
      </c>
      <c r="R136">
        <f t="shared" si="20"/>
        <v>0</v>
      </c>
      <c r="T136">
        <f t="shared" si="14"/>
        <v>29.128621193346568</v>
      </c>
      <c r="U136">
        <f t="shared" si="15"/>
        <v>18.695299766744359</v>
      </c>
      <c r="V136">
        <f t="shared" si="16"/>
        <v>23.623973908618428</v>
      </c>
    </row>
    <row r="137" spans="1:22" x14ac:dyDescent="0.3">
      <c r="A137" s="1">
        <v>42923</v>
      </c>
      <c r="B137" s="1">
        <v>43014</v>
      </c>
      <c r="C137">
        <v>313.86922693252501</v>
      </c>
      <c r="D137">
        <v>314.30000019073401</v>
      </c>
      <c r="E137">
        <v>310.25</v>
      </c>
      <c r="F137">
        <v>4.0500001907348597</v>
      </c>
      <c r="G137">
        <v>3.6192269325256299</v>
      </c>
      <c r="H137">
        <v>4.0500001907348597</v>
      </c>
      <c r="J137" s="1">
        <v>42923</v>
      </c>
      <c r="K137">
        <v>314.30000019073401</v>
      </c>
      <c r="L137">
        <v>313.86922693252501</v>
      </c>
      <c r="M137">
        <v>308.48228478431702</v>
      </c>
      <c r="N137">
        <f t="shared" si="17"/>
        <v>311.17575585842098</v>
      </c>
      <c r="P137">
        <f t="shared" si="18"/>
        <v>1</v>
      </c>
      <c r="Q137">
        <f t="shared" si="19"/>
        <v>0</v>
      </c>
      <c r="R137">
        <f t="shared" si="20"/>
        <v>1</v>
      </c>
      <c r="T137">
        <f t="shared" si="14"/>
        <v>0.18556559998799876</v>
      </c>
      <c r="U137">
        <f t="shared" si="15"/>
        <v>33.845812550061652</v>
      </c>
      <c r="V137">
        <f t="shared" si="16"/>
        <v>9.7609026479900649</v>
      </c>
    </row>
    <row r="138" spans="1:22" x14ac:dyDescent="0.3">
      <c r="A138" s="1">
        <v>42926</v>
      </c>
      <c r="B138" s="1">
        <v>43017</v>
      </c>
      <c r="C138">
        <v>317.033307361602</v>
      </c>
      <c r="D138">
        <v>314.3</v>
      </c>
      <c r="E138">
        <v>310.8</v>
      </c>
      <c r="F138">
        <v>3.5</v>
      </c>
      <c r="G138">
        <v>6.2333073616027797</v>
      </c>
      <c r="H138">
        <v>3.5</v>
      </c>
      <c r="J138" s="1">
        <v>42926</v>
      </c>
      <c r="K138">
        <v>314.3</v>
      </c>
      <c r="L138">
        <v>317.033307361602</v>
      </c>
      <c r="M138">
        <v>311.88772110939027</v>
      </c>
      <c r="N138">
        <f t="shared" si="17"/>
        <v>314.46051423549613</v>
      </c>
      <c r="P138">
        <f t="shared" si="18"/>
        <v>1</v>
      </c>
      <c r="Q138">
        <f t="shared" si="19"/>
        <v>1</v>
      </c>
      <c r="R138">
        <f t="shared" si="20"/>
        <v>1</v>
      </c>
      <c r="T138">
        <f t="shared" si="14"/>
        <v>7.4709691329876176</v>
      </c>
      <c r="U138">
        <f t="shared" si="15"/>
        <v>5.8190894460813638</v>
      </c>
      <c r="V138">
        <f t="shared" si="16"/>
        <v>2.5764819796904863E-2</v>
      </c>
    </row>
    <row r="139" spans="1:22" x14ac:dyDescent="0.3">
      <c r="A139" s="1">
        <v>42927</v>
      </c>
      <c r="B139" s="1">
        <v>43018</v>
      </c>
      <c r="C139">
        <v>311.01720876693702</v>
      </c>
      <c r="D139">
        <v>320.14999980926501</v>
      </c>
      <c r="E139">
        <v>312.7</v>
      </c>
      <c r="F139">
        <v>-7.4499998092651296</v>
      </c>
      <c r="G139">
        <v>-1.6827912330627399</v>
      </c>
      <c r="H139">
        <v>7.4499998092651296</v>
      </c>
      <c r="J139" s="1">
        <v>42927</v>
      </c>
      <c r="K139">
        <v>320.14999980926501</v>
      </c>
      <c r="L139">
        <v>311.01720876693702</v>
      </c>
      <c r="M139">
        <v>312.87756435275077</v>
      </c>
      <c r="N139">
        <f t="shared" si="17"/>
        <v>311.94738655984389</v>
      </c>
      <c r="P139">
        <f t="shared" si="18"/>
        <v>0</v>
      </c>
      <c r="Q139">
        <f t="shared" si="19"/>
        <v>1</v>
      </c>
      <c r="R139">
        <f t="shared" si="20"/>
        <v>0</v>
      </c>
      <c r="T139">
        <f t="shared" si="14"/>
        <v>83.407872222826455</v>
      </c>
      <c r="U139">
        <f t="shared" si="15"/>
        <v>52.88831746916555</v>
      </c>
      <c r="V139">
        <f t="shared" si="16"/>
        <v>67.282864119578903</v>
      </c>
    </row>
    <row r="140" spans="1:22" x14ac:dyDescent="0.3">
      <c r="A140" s="1">
        <v>42928</v>
      </c>
      <c r="B140" s="1">
        <v>43019</v>
      </c>
      <c r="C140">
        <v>314.53277978897</v>
      </c>
      <c r="D140">
        <v>323.24999961853001</v>
      </c>
      <c r="E140">
        <v>312.60000000000002</v>
      </c>
      <c r="F140">
        <v>10.649999618530201</v>
      </c>
      <c r="G140">
        <v>1.9327797889709399</v>
      </c>
      <c r="H140">
        <v>10.649999618530201</v>
      </c>
      <c r="J140" s="1">
        <v>42928</v>
      </c>
      <c r="K140">
        <v>323.24999961853001</v>
      </c>
      <c r="L140">
        <v>314.53277978897</v>
      </c>
      <c r="M140">
        <v>313.72408924102785</v>
      </c>
      <c r="N140">
        <f t="shared" si="17"/>
        <v>314.12843451499896</v>
      </c>
      <c r="P140">
        <f t="shared" si="18"/>
        <v>1</v>
      </c>
      <c r="Q140">
        <f t="shared" si="19"/>
        <v>1</v>
      </c>
      <c r="R140">
        <f t="shared" si="20"/>
        <v>1</v>
      </c>
      <c r="T140">
        <f t="shared" si="14"/>
        <v>75.989921556874222</v>
      </c>
      <c r="U140">
        <f t="shared" si="15"/>
        <v>90.742968520203291</v>
      </c>
      <c r="V140">
        <f t="shared" si="16"/>
        <v>83.202949937955495</v>
      </c>
    </row>
    <row r="141" spans="1:22" x14ac:dyDescent="0.3">
      <c r="A141" s="1">
        <v>42929</v>
      </c>
      <c r="B141" s="1">
        <v>43020</v>
      </c>
      <c r="C141">
        <v>309.88449602127002</v>
      </c>
      <c r="D141">
        <v>325.650000381469</v>
      </c>
      <c r="E141">
        <v>316.55</v>
      </c>
      <c r="F141">
        <v>-9.1000003814697195</v>
      </c>
      <c r="G141">
        <v>-6.6655039787292401</v>
      </c>
      <c r="H141">
        <v>9.1000003814697195</v>
      </c>
      <c r="J141" s="1">
        <v>42929</v>
      </c>
      <c r="K141">
        <v>325.650000381469</v>
      </c>
      <c r="L141">
        <v>309.88449602127002</v>
      </c>
      <c r="M141">
        <v>317.8148836374283</v>
      </c>
      <c r="N141">
        <f t="shared" si="17"/>
        <v>313.84968982934913</v>
      </c>
      <c r="P141">
        <f t="shared" si="18"/>
        <v>0</v>
      </c>
      <c r="Q141">
        <f t="shared" si="19"/>
        <v>1</v>
      </c>
      <c r="R141">
        <f t="shared" si="20"/>
        <v>0</v>
      </c>
      <c r="T141">
        <f t="shared" si="14"/>
        <v>248.55112773145288</v>
      </c>
      <c r="U141">
        <f t="shared" si="15"/>
        <v>61.389054392746999</v>
      </c>
      <c r="V141">
        <f t="shared" si="16"/>
        <v>139.2473291264715</v>
      </c>
    </row>
    <row r="142" spans="1:22" x14ac:dyDescent="0.3">
      <c r="A142" s="1">
        <v>42930</v>
      </c>
      <c r="B142" s="1">
        <v>43021</v>
      </c>
      <c r="C142">
        <v>316.921058070659</v>
      </c>
      <c r="D142">
        <v>325.30000038146898</v>
      </c>
      <c r="E142">
        <v>316.7</v>
      </c>
      <c r="F142">
        <v>8.6000003814697195</v>
      </c>
      <c r="G142">
        <v>0.22105807065963701</v>
      </c>
      <c r="H142">
        <v>8.6000003814697195</v>
      </c>
      <c r="J142" s="1">
        <v>42930</v>
      </c>
      <c r="K142">
        <v>325.30000038146898</v>
      </c>
      <c r="L142">
        <v>316.921058070659</v>
      </c>
      <c r="M142">
        <v>315.14957780838012</v>
      </c>
      <c r="N142">
        <f t="shared" si="17"/>
        <v>316.03531793951959</v>
      </c>
      <c r="P142">
        <f t="shared" si="18"/>
        <v>1</v>
      </c>
      <c r="Q142">
        <f t="shared" si="19"/>
        <v>0</v>
      </c>
      <c r="R142">
        <f t="shared" si="20"/>
        <v>0</v>
      </c>
      <c r="T142">
        <f t="shared" si="14"/>
        <v>70.206674247881608</v>
      </c>
      <c r="U142">
        <f t="shared" si="15"/>
        <v>103.03107841227188</v>
      </c>
      <c r="V142">
        <f t="shared" si="16"/>
        <v>85.83434075016531</v>
      </c>
    </row>
    <row r="143" spans="1:22" x14ac:dyDescent="0.3">
      <c r="A143" s="1">
        <v>42933</v>
      </c>
      <c r="B143" s="1">
        <v>43024</v>
      </c>
      <c r="C143">
        <v>315.37506246566699</v>
      </c>
      <c r="D143">
        <v>325.5</v>
      </c>
      <c r="E143">
        <v>317.5</v>
      </c>
      <c r="F143">
        <v>-8</v>
      </c>
      <c r="G143">
        <v>-2.1249375343322701</v>
      </c>
      <c r="H143">
        <v>8</v>
      </c>
      <c r="J143" s="1">
        <v>42933</v>
      </c>
      <c r="K143">
        <v>325.5</v>
      </c>
      <c r="L143">
        <v>315.37506246566699</v>
      </c>
      <c r="M143">
        <v>315.13017177581787</v>
      </c>
      <c r="N143">
        <f t="shared" si="17"/>
        <v>315.25261712074246</v>
      </c>
      <c r="P143">
        <f t="shared" si="18"/>
        <v>0</v>
      </c>
      <c r="Q143">
        <f t="shared" si="19"/>
        <v>0</v>
      </c>
      <c r="R143">
        <f t="shared" si="20"/>
        <v>0</v>
      </c>
      <c r="T143">
        <f t="shared" si="14"/>
        <v>102.5143600741455</v>
      </c>
      <c r="U143">
        <f t="shared" si="15"/>
        <v>107.53333739904429</v>
      </c>
      <c r="V143">
        <f t="shared" si="16"/>
        <v>105.00885587410062</v>
      </c>
    </row>
    <row r="144" spans="1:22" x14ac:dyDescent="0.3">
      <c r="A144" s="1">
        <v>42934</v>
      </c>
      <c r="B144" s="1">
        <v>43025</v>
      </c>
      <c r="C144">
        <v>316.83378677368103</v>
      </c>
      <c r="D144">
        <v>325.8</v>
      </c>
      <c r="E144">
        <v>318.05</v>
      </c>
      <c r="F144">
        <v>-7.75</v>
      </c>
      <c r="G144">
        <v>-1.21621322631835</v>
      </c>
      <c r="H144">
        <v>7.75</v>
      </c>
      <c r="J144" s="1">
        <v>42934</v>
      </c>
      <c r="K144">
        <v>325.8</v>
      </c>
      <c r="L144">
        <v>316.83378677368103</v>
      </c>
      <c r="M144">
        <v>316.42312150001527</v>
      </c>
      <c r="N144">
        <f t="shared" si="17"/>
        <v>316.62845413684818</v>
      </c>
      <c r="P144">
        <f t="shared" si="18"/>
        <v>0</v>
      </c>
      <c r="Q144">
        <f t="shared" si="19"/>
        <v>0</v>
      </c>
      <c r="R144">
        <f t="shared" si="20"/>
        <v>0</v>
      </c>
      <c r="T144">
        <f t="shared" si="14"/>
        <v>80.392979619817496</v>
      </c>
      <c r="U144">
        <f t="shared" si="15"/>
        <v>87.92585040347609</v>
      </c>
      <c r="V144">
        <f t="shared" si="16"/>
        <v>84.117253519897531</v>
      </c>
    </row>
    <row r="145" spans="1:22" x14ac:dyDescent="0.3">
      <c r="A145" s="1">
        <v>42935</v>
      </c>
      <c r="B145" s="1">
        <v>43026</v>
      </c>
      <c r="C145">
        <v>312.59890623092599</v>
      </c>
      <c r="D145">
        <v>325.85000009536702</v>
      </c>
      <c r="E145">
        <v>318.7</v>
      </c>
      <c r="F145">
        <v>-7.1500000953674299</v>
      </c>
      <c r="G145">
        <v>-6.1010937690734801</v>
      </c>
      <c r="H145">
        <v>7.1500000953674299</v>
      </c>
      <c r="J145" s="1">
        <v>42935</v>
      </c>
      <c r="K145">
        <v>325.85000009536702</v>
      </c>
      <c r="L145">
        <v>312.59890623092599</v>
      </c>
      <c r="M145">
        <v>318.23356346487998</v>
      </c>
      <c r="N145">
        <f t="shared" si="17"/>
        <v>315.41623484790296</v>
      </c>
      <c r="P145">
        <f t="shared" si="18"/>
        <v>0</v>
      </c>
      <c r="Q145">
        <f t="shared" si="19"/>
        <v>0</v>
      </c>
      <c r="R145">
        <f t="shared" si="20"/>
        <v>0</v>
      </c>
      <c r="T145">
        <f t="shared" ref="T145:T208" si="21">POWER(K145-L145,2)</f>
        <v>175.59148860422675</v>
      </c>
      <c r="U145">
        <f t="shared" ref="U145:U208" si="22">POWER(K145-M145,2)</f>
        <v>58.010106946224838</v>
      </c>
      <c r="V145">
        <f t="shared" ref="V145:V208" si="23">POWER(K145-N145,2)</f>
        <v>108.86345723918889</v>
      </c>
    </row>
    <row r="146" spans="1:22" x14ac:dyDescent="0.3">
      <c r="A146" s="1">
        <v>42936</v>
      </c>
      <c r="B146" s="1">
        <v>43027</v>
      </c>
      <c r="C146">
        <v>313.45339117050099</v>
      </c>
      <c r="D146">
        <v>324.10000000000002</v>
      </c>
      <c r="E146">
        <v>319.60000000000002</v>
      </c>
      <c r="F146">
        <v>-4.5</v>
      </c>
      <c r="G146">
        <v>-6.1466088294982901</v>
      </c>
      <c r="H146">
        <v>4.5</v>
      </c>
      <c r="J146" s="1">
        <v>42936</v>
      </c>
      <c r="K146">
        <v>324.10000000000002</v>
      </c>
      <c r="L146">
        <v>313.45339117050099</v>
      </c>
      <c r="M146">
        <v>316.62416086196902</v>
      </c>
      <c r="N146">
        <f t="shared" si="17"/>
        <v>315.03877601623503</v>
      </c>
      <c r="P146">
        <f t="shared" si="18"/>
        <v>0</v>
      </c>
      <c r="Q146">
        <f t="shared" si="19"/>
        <v>0</v>
      </c>
      <c r="R146">
        <f t="shared" si="20"/>
        <v>0</v>
      </c>
      <c r="T146">
        <f t="shared" si="21"/>
        <v>113.3502795683667</v>
      </c>
      <c r="U146">
        <f t="shared" si="22"/>
        <v>55.888170817716173</v>
      </c>
      <c r="V146">
        <f t="shared" si="23"/>
        <v>82.105780083957868</v>
      </c>
    </row>
    <row r="147" spans="1:22" x14ac:dyDescent="0.3">
      <c r="A147" s="1">
        <v>42937</v>
      </c>
      <c r="B147" s="1">
        <v>43028</v>
      </c>
      <c r="C147">
        <v>320.13489106893502</v>
      </c>
      <c r="D147">
        <v>326.250000095367</v>
      </c>
      <c r="E147">
        <v>321.10000000000002</v>
      </c>
      <c r="F147">
        <v>-5.1500000953674299</v>
      </c>
      <c r="G147">
        <v>-0.96510893106460505</v>
      </c>
      <c r="H147">
        <v>5.1500000953674299</v>
      </c>
      <c r="J147" s="1">
        <v>42937</v>
      </c>
      <c r="K147">
        <v>326.250000095367</v>
      </c>
      <c r="L147">
        <v>320.13489106893502</v>
      </c>
      <c r="M147">
        <v>320.92136397063734</v>
      </c>
      <c r="N147">
        <f t="shared" si="17"/>
        <v>320.52812751978615</v>
      </c>
      <c r="P147">
        <f t="shared" si="18"/>
        <v>0</v>
      </c>
      <c r="Q147">
        <f t="shared" si="19"/>
        <v>0</v>
      </c>
      <c r="R147">
        <f t="shared" si="20"/>
        <v>0</v>
      </c>
      <c r="T147">
        <f t="shared" si="21"/>
        <v>37.394558405149887</v>
      </c>
      <c r="U147">
        <f t="shared" si="22"/>
        <v>28.394362949773878</v>
      </c>
      <c r="V147">
        <f t="shared" si="23"/>
        <v>32.739825771184186</v>
      </c>
    </row>
    <row r="148" spans="1:22" x14ac:dyDescent="0.3">
      <c r="A148" s="1">
        <v>42940</v>
      </c>
      <c r="B148" s="1">
        <v>43031</v>
      </c>
      <c r="C148">
        <v>317.49165987968399</v>
      </c>
      <c r="D148">
        <v>327.05000019073401</v>
      </c>
      <c r="E148">
        <v>321.25</v>
      </c>
      <c r="F148">
        <v>-5.8000001907348597</v>
      </c>
      <c r="G148">
        <v>-3.75834012031555</v>
      </c>
      <c r="H148">
        <v>5.8000001907348597</v>
      </c>
      <c r="J148" s="1">
        <v>42940</v>
      </c>
      <c r="K148">
        <v>327.05000019073401</v>
      </c>
      <c r="L148">
        <v>317.49165987968399</v>
      </c>
      <c r="M148">
        <v>323.0057487487793</v>
      </c>
      <c r="N148">
        <f t="shared" si="17"/>
        <v>320.24870431423165</v>
      </c>
      <c r="P148">
        <f t="shared" si="18"/>
        <v>0</v>
      </c>
      <c r="Q148">
        <f t="shared" si="19"/>
        <v>1</v>
      </c>
      <c r="R148">
        <f t="shared" si="20"/>
        <v>0</v>
      </c>
      <c r="T148">
        <f t="shared" si="21"/>
        <v>91.361869501843742</v>
      </c>
      <c r="U148">
        <f t="shared" si="22"/>
        <v>16.355969725752782</v>
      </c>
      <c r="V148">
        <f t="shared" si="23"/>
        <v>46.25762559972808</v>
      </c>
    </row>
    <row r="149" spans="1:22" x14ac:dyDescent="0.3">
      <c r="A149" s="1">
        <v>42941</v>
      </c>
      <c r="B149" s="1">
        <v>43032</v>
      </c>
      <c r="C149">
        <v>315.16936388015699</v>
      </c>
      <c r="D149">
        <v>326.55000009536701</v>
      </c>
      <c r="E149">
        <v>319.64999999999998</v>
      </c>
      <c r="F149">
        <v>-6.9000000953674299</v>
      </c>
      <c r="G149">
        <v>-4.4806361198425204</v>
      </c>
      <c r="H149">
        <v>6.9000000953674299</v>
      </c>
      <c r="J149" s="1">
        <v>42941</v>
      </c>
      <c r="K149">
        <v>326.55000009536701</v>
      </c>
      <c r="L149">
        <v>315.16936388015699</v>
      </c>
      <c r="M149">
        <v>318.85790833234785</v>
      </c>
      <c r="N149">
        <f t="shared" si="17"/>
        <v>317.01363610625242</v>
      </c>
      <c r="P149">
        <f t="shared" si="18"/>
        <v>0</v>
      </c>
      <c r="Q149">
        <f t="shared" si="19"/>
        <v>0</v>
      </c>
      <c r="R149">
        <f t="shared" si="20"/>
        <v>0</v>
      </c>
      <c r="T149">
        <f t="shared" si="21"/>
        <v>129.51888066294981</v>
      </c>
      <c r="U149">
        <f t="shared" si="22"/>
        <v>59.168275690707269</v>
      </c>
      <c r="V149">
        <f t="shared" si="23"/>
        <v>90.942238132881556</v>
      </c>
    </row>
    <row r="150" spans="1:22" x14ac:dyDescent="0.3">
      <c r="A150" s="1">
        <v>42942</v>
      </c>
      <c r="B150" s="1">
        <v>43033</v>
      </c>
      <c r="C150">
        <v>317.66533012390101</v>
      </c>
      <c r="D150">
        <v>326.750000190734</v>
      </c>
      <c r="E150">
        <v>318.95</v>
      </c>
      <c r="F150">
        <v>-7.8000001907348597</v>
      </c>
      <c r="G150">
        <v>-1.2846698760986299</v>
      </c>
      <c r="H150">
        <v>7.8000001907348597</v>
      </c>
      <c r="J150" s="1">
        <v>42942</v>
      </c>
      <c r="K150">
        <v>326.750000190734</v>
      </c>
      <c r="L150">
        <v>317.66533012390101</v>
      </c>
      <c r="M150">
        <v>322.24279470443724</v>
      </c>
      <c r="N150">
        <f t="shared" si="17"/>
        <v>319.95406241416913</v>
      </c>
      <c r="P150">
        <f t="shared" si="18"/>
        <v>0</v>
      </c>
      <c r="Q150">
        <f t="shared" si="19"/>
        <v>1</v>
      </c>
      <c r="R150">
        <f t="shared" si="20"/>
        <v>1</v>
      </c>
      <c r="T150">
        <f t="shared" si="21"/>
        <v>82.531230223211224</v>
      </c>
      <c r="U150">
        <f t="shared" si="22"/>
        <v>20.314901295703567</v>
      </c>
      <c r="V150">
        <f t="shared" si="23"/>
        <v>46.184770262941463</v>
      </c>
    </row>
    <row r="151" spans="1:22" x14ac:dyDescent="0.3">
      <c r="A151" s="1">
        <v>42943</v>
      </c>
      <c r="B151" s="1">
        <v>43034</v>
      </c>
      <c r="C151">
        <v>329.80622539520198</v>
      </c>
      <c r="D151">
        <v>323.750000095367</v>
      </c>
      <c r="E151">
        <v>319.85000000000002</v>
      </c>
      <c r="F151">
        <v>3.9000000953674299</v>
      </c>
      <c r="G151">
        <v>9.9562253952026296</v>
      </c>
      <c r="H151">
        <v>3.9000000953674299</v>
      </c>
      <c r="J151" s="1">
        <v>42943</v>
      </c>
      <c r="K151">
        <v>323.750000095367</v>
      </c>
      <c r="L151">
        <v>329.80622539520198</v>
      </c>
      <c r="M151">
        <v>327.47396860122683</v>
      </c>
      <c r="N151">
        <f t="shared" si="17"/>
        <v>328.6400969982144</v>
      </c>
      <c r="P151">
        <f t="shared" si="18"/>
        <v>1</v>
      </c>
      <c r="Q151">
        <f t="shared" si="19"/>
        <v>1</v>
      </c>
      <c r="R151">
        <f t="shared" si="20"/>
        <v>1</v>
      </c>
      <c r="T151">
        <f t="shared" si="21"/>
        <v>36.677864882361263</v>
      </c>
      <c r="U151">
        <f t="shared" si="22"/>
        <v>13.867941432635893</v>
      </c>
      <c r="V151">
        <f t="shared" si="23"/>
        <v>23.91304771923777</v>
      </c>
    </row>
    <row r="152" spans="1:22" x14ac:dyDescent="0.3">
      <c r="A152" s="1">
        <v>42944</v>
      </c>
      <c r="B152" s="1">
        <v>43035</v>
      </c>
      <c r="C152">
        <v>320.02269487380897</v>
      </c>
      <c r="D152">
        <v>326.85000019073402</v>
      </c>
      <c r="E152">
        <v>312.55</v>
      </c>
      <c r="F152">
        <v>14.300000190734799</v>
      </c>
      <c r="G152">
        <v>7.47269487380981</v>
      </c>
      <c r="H152">
        <v>14.300000190734799</v>
      </c>
      <c r="J152" s="1">
        <v>42944</v>
      </c>
      <c r="K152">
        <v>326.85000019073402</v>
      </c>
      <c r="L152">
        <v>320.02269487380897</v>
      </c>
      <c r="M152">
        <v>318.40479879379274</v>
      </c>
      <c r="N152">
        <f t="shared" si="17"/>
        <v>319.21374683380088</v>
      </c>
      <c r="P152">
        <f t="shared" si="18"/>
        <v>1</v>
      </c>
      <c r="Q152">
        <f t="shared" si="19"/>
        <v>1</v>
      </c>
      <c r="R152">
        <f t="shared" si="20"/>
        <v>1</v>
      </c>
      <c r="T152">
        <f t="shared" si="21"/>
        <v>46.612097890513041</v>
      </c>
      <c r="U152">
        <f t="shared" si="22"/>
        <v>71.321426634899055</v>
      </c>
      <c r="V152">
        <f t="shared" si="23"/>
        <v>58.312365331272638</v>
      </c>
    </row>
    <row r="153" spans="1:22" x14ac:dyDescent="0.3">
      <c r="A153" s="1">
        <v>42947</v>
      </c>
      <c r="B153" s="1">
        <v>43038</v>
      </c>
      <c r="C153">
        <v>316.486734437942</v>
      </c>
      <c r="D153">
        <v>327.44999961853</v>
      </c>
      <c r="E153">
        <v>313.55</v>
      </c>
      <c r="F153">
        <v>13.899999618530201</v>
      </c>
      <c r="G153">
        <v>2.9367344379425</v>
      </c>
      <c r="H153">
        <v>13.899999618530201</v>
      </c>
      <c r="J153" s="1">
        <v>42947</v>
      </c>
      <c r="K153">
        <v>327.44999961853</v>
      </c>
      <c r="L153">
        <v>316.486734437942</v>
      </c>
      <c r="M153">
        <v>318.50588779449464</v>
      </c>
      <c r="N153">
        <f t="shared" si="17"/>
        <v>317.49631111621829</v>
      </c>
      <c r="P153">
        <f t="shared" si="18"/>
        <v>1</v>
      </c>
      <c r="Q153">
        <f t="shared" si="19"/>
        <v>1</v>
      </c>
      <c r="R153">
        <f t="shared" si="20"/>
        <v>1</v>
      </c>
      <c r="T153">
        <f t="shared" si="21"/>
        <v>120.19318341989315</v>
      </c>
      <c r="U153">
        <f t="shared" si="22"/>
        <v>79.997136320849137</v>
      </c>
      <c r="V153">
        <f t="shared" si="23"/>
        <v>99.075914801052264</v>
      </c>
    </row>
    <row r="154" spans="1:22" x14ac:dyDescent="0.3">
      <c r="A154" s="1">
        <v>42948</v>
      </c>
      <c r="B154" s="1">
        <v>43039</v>
      </c>
      <c r="C154">
        <v>320.08748345375</v>
      </c>
      <c r="D154">
        <v>331.05</v>
      </c>
      <c r="E154">
        <v>316.55</v>
      </c>
      <c r="F154">
        <v>14.5</v>
      </c>
      <c r="G154">
        <v>3.5374834537506099</v>
      </c>
      <c r="H154">
        <v>14.5</v>
      </c>
      <c r="J154" s="1">
        <v>42948</v>
      </c>
      <c r="K154">
        <v>331.05</v>
      </c>
      <c r="L154">
        <v>320.08748345375</v>
      </c>
      <c r="M154">
        <v>319.47479062080384</v>
      </c>
      <c r="N154">
        <f t="shared" si="17"/>
        <v>319.78113703727695</v>
      </c>
      <c r="P154">
        <f t="shared" si="18"/>
        <v>1</v>
      </c>
      <c r="Q154">
        <f t="shared" si="19"/>
        <v>1</v>
      </c>
      <c r="R154">
        <f t="shared" si="20"/>
        <v>1</v>
      </c>
      <c r="T154">
        <f t="shared" si="21"/>
        <v>120.17676902680536</v>
      </c>
      <c r="U154">
        <f t="shared" si="22"/>
        <v>133.98547217223091</v>
      </c>
      <c r="V154">
        <f t="shared" si="23"/>
        <v>126.9872724726316</v>
      </c>
    </row>
    <row r="155" spans="1:22" x14ac:dyDescent="0.3">
      <c r="A155" s="1">
        <v>42949</v>
      </c>
      <c r="B155" s="1">
        <v>43040</v>
      </c>
      <c r="C155">
        <v>319.57497754096897</v>
      </c>
      <c r="D155">
        <v>336.54999961853002</v>
      </c>
      <c r="E155">
        <v>317.14999999999998</v>
      </c>
      <c r="F155">
        <v>19.399999618530199</v>
      </c>
      <c r="G155">
        <v>2.4249775409698402</v>
      </c>
      <c r="H155">
        <v>19.399999618530199</v>
      </c>
      <c r="J155" s="1">
        <v>42949</v>
      </c>
      <c r="K155">
        <v>336.54999961853002</v>
      </c>
      <c r="L155">
        <v>319.57497754096897</v>
      </c>
      <c r="M155">
        <v>321.19888772964475</v>
      </c>
      <c r="N155">
        <f t="shared" si="17"/>
        <v>320.38693263530683</v>
      </c>
      <c r="P155">
        <f t="shared" si="18"/>
        <v>1</v>
      </c>
      <c r="Q155">
        <f t="shared" si="19"/>
        <v>1</v>
      </c>
      <c r="R155">
        <f t="shared" si="20"/>
        <v>1</v>
      </c>
      <c r="T155">
        <f t="shared" si="21"/>
        <v>288.15137453368504</v>
      </c>
      <c r="U155">
        <f t="shared" si="22"/>
        <v>235.65663622507469</v>
      </c>
      <c r="V155">
        <f t="shared" si="23"/>
        <v>261.24473430415958</v>
      </c>
    </row>
    <row r="156" spans="1:22" x14ac:dyDescent="0.3">
      <c r="A156" s="1">
        <v>42950</v>
      </c>
      <c r="B156" s="1">
        <v>43041</v>
      </c>
      <c r="C156">
        <v>317.82506790161102</v>
      </c>
      <c r="D156">
        <v>335.04999961853002</v>
      </c>
      <c r="E156">
        <v>311.64999999999998</v>
      </c>
      <c r="F156">
        <v>23.399999618530199</v>
      </c>
      <c r="G156">
        <v>6.1750679016113201</v>
      </c>
      <c r="H156">
        <v>23.399999618530199</v>
      </c>
      <c r="J156" s="1">
        <v>42950</v>
      </c>
      <c r="K156">
        <v>335.04999961853002</v>
      </c>
      <c r="L156">
        <v>317.82506790161102</v>
      </c>
      <c r="M156">
        <v>317.75722589492796</v>
      </c>
      <c r="N156">
        <f t="shared" si="17"/>
        <v>317.79114689826952</v>
      </c>
      <c r="P156">
        <f t="shared" si="18"/>
        <v>1</v>
      </c>
      <c r="Q156">
        <f t="shared" si="19"/>
        <v>1</v>
      </c>
      <c r="R156">
        <f t="shared" si="20"/>
        <v>1</v>
      </c>
      <c r="T156">
        <f t="shared" si="21"/>
        <v>296.69827265252218</v>
      </c>
      <c r="U156">
        <f t="shared" si="22"/>
        <v>299.04002305570214</v>
      </c>
      <c r="V156">
        <f t="shared" si="23"/>
        <v>297.86799721964348</v>
      </c>
    </row>
    <row r="157" spans="1:22" x14ac:dyDescent="0.3">
      <c r="A157" s="1">
        <v>42951</v>
      </c>
      <c r="B157" s="1">
        <v>43042</v>
      </c>
      <c r="C157">
        <v>320.083924865722</v>
      </c>
      <c r="D157">
        <v>336.35</v>
      </c>
      <c r="E157">
        <v>312.85000000000002</v>
      </c>
      <c r="F157">
        <v>23.5</v>
      </c>
      <c r="G157">
        <v>7.23392486572265</v>
      </c>
      <c r="H157">
        <v>23.5</v>
      </c>
      <c r="J157" s="1">
        <v>42951</v>
      </c>
      <c r="K157">
        <v>336.35</v>
      </c>
      <c r="L157">
        <v>320.083924865722</v>
      </c>
      <c r="M157">
        <v>319.03321084976199</v>
      </c>
      <c r="N157">
        <f t="shared" si="17"/>
        <v>319.55856785774199</v>
      </c>
      <c r="P157">
        <f t="shared" si="18"/>
        <v>1</v>
      </c>
      <c r="Q157">
        <f t="shared" si="19"/>
        <v>1</v>
      </c>
      <c r="R157">
        <f t="shared" si="20"/>
        <v>1</v>
      </c>
      <c r="T157">
        <f t="shared" si="21"/>
        <v>264.58520027397788</v>
      </c>
      <c r="U157">
        <f t="shared" si="22"/>
        <v>299.8711864738018</v>
      </c>
      <c r="V157">
        <f t="shared" si="23"/>
        <v>281.95219338805612</v>
      </c>
    </row>
    <row r="158" spans="1:22" x14ac:dyDescent="0.3">
      <c r="A158" s="1">
        <v>42954</v>
      </c>
      <c r="B158" s="1">
        <v>43045</v>
      </c>
      <c r="C158">
        <v>318.55753316879202</v>
      </c>
      <c r="D158">
        <v>334.15</v>
      </c>
      <c r="E158">
        <v>312.89999999999998</v>
      </c>
      <c r="F158">
        <v>21.25</v>
      </c>
      <c r="G158">
        <v>5.6575331687927202</v>
      </c>
      <c r="H158">
        <v>21.25</v>
      </c>
      <c r="J158" s="1">
        <v>42954</v>
      </c>
      <c r="K158">
        <v>334.15</v>
      </c>
      <c r="L158">
        <v>318.55753316879202</v>
      </c>
      <c r="M158">
        <v>323.73236217498766</v>
      </c>
      <c r="N158">
        <f t="shared" si="17"/>
        <v>321.14494767188984</v>
      </c>
      <c r="P158">
        <f t="shared" si="18"/>
        <v>1</v>
      </c>
      <c r="Q158">
        <f t="shared" si="19"/>
        <v>1</v>
      </c>
      <c r="R158">
        <f t="shared" si="20"/>
        <v>1</v>
      </c>
      <c r="T158">
        <f t="shared" si="21"/>
        <v>243.12502188232031</v>
      </c>
      <c r="U158">
        <f t="shared" si="22"/>
        <v>108.52717785312744</v>
      </c>
      <c r="V158">
        <f t="shared" si="23"/>
        <v>169.13138605688295</v>
      </c>
    </row>
    <row r="159" spans="1:22" x14ac:dyDescent="0.3">
      <c r="A159" s="1">
        <v>42955</v>
      </c>
      <c r="B159" s="1">
        <v>43046</v>
      </c>
      <c r="C159">
        <v>318.73565206527701</v>
      </c>
      <c r="D159">
        <v>333.74999961853001</v>
      </c>
      <c r="E159">
        <v>312.85000000000002</v>
      </c>
      <c r="F159">
        <v>20.899999618530199</v>
      </c>
      <c r="G159">
        <v>5.8856520652770996</v>
      </c>
      <c r="H159">
        <v>20.899999618530199</v>
      </c>
      <c r="J159" s="1">
        <v>42955</v>
      </c>
      <c r="K159">
        <v>333.74999961853001</v>
      </c>
      <c r="L159">
        <v>318.73565206527701</v>
      </c>
      <c r="M159">
        <v>321.17780361175539</v>
      </c>
      <c r="N159">
        <f t="shared" si="17"/>
        <v>319.9567278385162</v>
      </c>
      <c r="P159">
        <f t="shared" si="18"/>
        <v>1</v>
      </c>
      <c r="Q159">
        <f t="shared" si="19"/>
        <v>1</v>
      </c>
      <c r="R159">
        <f t="shared" si="20"/>
        <v>1</v>
      </c>
      <c r="T159">
        <f t="shared" si="21"/>
        <v>225.43063244987445</v>
      </c>
      <c r="U159">
        <f t="shared" si="22"/>
        <v>158.06011243275967</v>
      </c>
      <c r="V159">
        <f t="shared" si="23"/>
        <v>190.25434639732535</v>
      </c>
    </row>
    <row r="160" spans="1:22" x14ac:dyDescent="0.3">
      <c r="A160" s="1">
        <v>42956</v>
      </c>
      <c r="B160" s="1">
        <v>43047</v>
      </c>
      <c r="C160">
        <v>317.65032138824398</v>
      </c>
      <c r="D160">
        <v>335.25000038146902</v>
      </c>
      <c r="E160">
        <v>308.64999999999998</v>
      </c>
      <c r="F160">
        <v>26.600000381469702</v>
      </c>
      <c r="G160">
        <v>9.00032138824462</v>
      </c>
      <c r="H160">
        <v>26.600000381469702</v>
      </c>
      <c r="J160" s="1">
        <v>42956</v>
      </c>
      <c r="K160">
        <v>335.25000038146902</v>
      </c>
      <c r="L160">
        <v>317.65032138824398</v>
      </c>
      <c r="M160">
        <v>321.52704658508299</v>
      </c>
      <c r="N160">
        <f t="shared" si="17"/>
        <v>319.58868398666345</v>
      </c>
      <c r="P160">
        <f t="shared" si="18"/>
        <v>1</v>
      </c>
      <c r="Q160">
        <f t="shared" si="19"/>
        <v>1</v>
      </c>
      <c r="R160">
        <f t="shared" si="20"/>
        <v>1</v>
      </c>
      <c r="T160">
        <f t="shared" si="21"/>
        <v>309.7487006645668</v>
      </c>
      <c r="U160">
        <f t="shared" si="22"/>
        <v>188.31946089774593</v>
      </c>
      <c r="V160">
        <f t="shared" si="23"/>
        <v>245.27683121820564</v>
      </c>
    </row>
    <row r="161" spans="1:22" x14ac:dyDescent="0.3">
      <c r="A161" s="1">
        <v>42957</v>
      </c>
      <c r="B161" s="1">
        <v>43048</v>
      </c>
      <c r="C161">
        <v>315.16593790054299</v>
      </c>
      <c r="D161">
        <v>333.64999961852999</v>
      </c>
      <c r="E161">
        <v>307.25</v>
      </c>
      <c r="F161">
        <v>26.399999618530199</v>
      </c>
      <c r="G161">
        <v>7.9159379005432102</v>
      </c>
      <c r="H161">
        <v>26.399999618530199</v>
      </c>
      <c r="J161" s="1">
        <v>42957</v>
      </c>
      <c r="K161">
        <v>333.64999961852999</v>
      </c>
      <c r="L161">
        <v>315.16593790054299</v>
      </c>
      <c r="M161">
        <v>320.28125476837153</v>
      </c>
      <c r="N161">
        <f t="shared" si="17"/>
        <v>317.72359633445728</v>
      </c>
      <c r="P161">
        <f t="shared" si="18"/>
        <v>1</v>
      </c>
      <c r="Q161">
        <f t="shared" si="19"/>
        <v>1</v>
      </c>
      <c r="R161">
        <f t="shared" si="20"/>
        <v>1</v>
      </c>
      <c r="T161">
        <f t="shared" si="21"/>
        <v>341.66053759435266</v>
      </c>
      <c r="U161">
        <f t="shared" si="22"/>
        <v>178.72333886863845</v>
      </c>
      <c r="V161">
        <f t="shared" si="23"/>
        <v>253.65032156692186</v>
      </c>
    </row>
    <row r="162" spans="1:22" x14ac:dyDescent="0.3">
      <c r="A162" s="1">
        <v>42958</v>
      </c>
      <c r="B162" s="1">
        <v>43049</v>
      </c>
      <c r="C162">
        <v>319.80630683898897</v>
      </c>
      <c r="D162">
        <v>332.89999961852999</v>
      </c>
      <c r="E162">
        <v>301.5</v>
      </c>
      <c r="F162">
        <v>31.399999618530199</v>
      </c>
      <c r="G162">
        <v>18.306306838989201</v>
      </c>
      <c r="H162">
        <v>31.399999618530199</v>
      </c>
      <c r="J162" s="1">
        <v>42958</v>
      </c>
      <c r="K162">
        <v>332.89999961852999</v>
      </c>
      <c r="L162">
        <v>319.80630683898897</v>
      </c>
      <c r="M162">
        <v>318.76936531066889</v>
      </c>
      <c r="N162">
        <f t="shared" si="17"/>
        <v>319.28783607482893</v>
      </c>
      <c r="P162">
        <f t="shared" si="18"/>
        <v>1</v>
      </c>
      <c r="Q162">
        <f t="shared" si="19"/>
        <v>1</v>
      </c>
      <c r="R162">
        <f t="shared" si="20"/>
        <v>1</v>
      </c>
      <c r="T162">
        <f t="shared" si="21"/>
        <v>171.44479060500453</v>
      </c>
      <c r="U162">
        <f t="shared" si="22"/>
        <v>199.67482594250117</v>
      </c>
      <c r="V162">
        <f t="shared" si="23"/>
        <v>185.29099634046415</v>
      </c>
    </row>
    <row r="163" spans="1:22" x14ac:dyDescent="0.3">
      <c r="A163" s="1">
        <v>42961</v>
      </c>
      <c r="B163" s="1">
        <v>43052</v>
      </c>
      <c r="C163">
        <v>321.47667465209901</v>
      </c>
      <c r="D163">
        <v>331.55000076293902</v>
      </c>
      <c r="E163">
        <v>304.60000000000002</v>
      </c>
      <c r="F163">
        <v>26.9500007629394</v>
      </c>
      <c r="G163">
        <v>16.876674652099599</v>
      </c>
      <c r="H163">
        <v>26.9500007629394</v>
      </c>
      <c r="J163" s="1">
        <v>42961</v>
      </c>
      <c r="K163">
        <v>331.55000076293902</v>
      </c>
      <c r="L163">
        <v>321.47667465209901</v>
      </c>
      <c r="M163">
        <v>319.9561658859252</v>
      </c>
      <c r="N163">
        <f t="shared" si="17"/>
        <v>320.71642026901213</v>
      </c>
      <c r="P163">
        <f t="shared" si="18"/>
        <v>1</v>
      </c>
      <c r="Q163">
        <f t="shared" si="19"/>
        <v>1</v>
      </c>
      <c r="R163">
        <f t="shared" si="20"/>
        <v>1</v>
      </c>
      <c r="T163">
        <f t="shared" si="21"/>
        <v>101.47189893533121</v>
      </c>
      <c r="U163">
        <f t="shared" si="22"/>
        <v>134.41700715546204</v>
      </c>
      <c r="V163">
        <f t="shared" si="23"/>
        <v>117.36646631839317</v>
      </c>
    </row>
    <row r="164" spans="1:22" x14ac:dyDescent="0.3">
      <c r="A164" s="1">
        <v>42962</v>
      </c>
      <c r="B164" s="1">
        <v>43053</v>
      </c>
      <c r="C164">
        <v>321.69029388427703</v>
      </c>
      <c r="D164">
        <v>331.30000076293902</v>
      </c>
      <c r="E164">
        <v>304.60000000000002</v>
      </c>
      <c r="F164">
        <v>26.7000007629394</v>
      </c>
      <c r="G164">
        <v>17.090293884277301</v>
      </c>
      <c r="H164">
        <v>26.7000007629394</v>
      </c>
      <c r="J164" s="1">
        <v>42962</v>
      </c>
      <c r="K164">
        <v>331.30000076293902</v>
      </c>
      <c r="L164">
        <v>321.69029388427703</v>
      </c>
      <c r="M164">
        <v>318.32672080993655</v>
      </c>
      <c r="N164">
        <f t="shared" si="17"/>
        <v>320.00850734710679</v>
      </c>
      <c r="P164">
        <f t="shared" si="18"/>
        <v>1</v>
      </c>
      <c r="Q164">
        <f t="shared" si="19"/>
        <v>1</v>
      </c>
      <c r="R164">
        <f t="shared" si="20"/>
        <v>1</v>
      </c>
      <c r="T164">
        <f t="shared" si="21"/>
        <v>92.346466293803672</v>
      </c>
      <c r="U164">
        <f t="shared" si="22"/>
        <v>168.3059927389759</v>
      </c>
      <c r="V164">
        <f t="shared" si="23"/>
        <v>127.49782355978272</v>
      </c>
    </row>
    <row r="165" spans="1:22" x14ac:dyDescent="0.3">
      <c r="A165" s="1">
        <v>42963</v>
      </c>
      <c r="B165" s="1">
        <v>43054</v>
      </c>
      <c r="C165">
        <v>315.89508152008</v>
      </c>
      <c r="D165">
        <v>329.14999961852999</v>
      </c>
      <c r="E165">
        <v>306.25</v>
      </c>
      <c r="F165">
        <v>22.899999618530199</v>
      </c>
      <c r="G165">
        <v>9.6450815200805593</v>
      </c>
      <c r="H165">
        <v>22.899999618530199</v>
      </c>
      <c r="J165" s="1">
        <v>42963</v>
      </c>
      <c r="K165">
        <v>329.14999961852999</v>
      </c>
      <c r="L165">
        <v>315.89508152008</v>
      </c>
      <c r="M165">
        <v>320.0364789962768</v>
      </c>
      <c r="N165">
        <f t="shared" si="17"/>
        <v>317.96578025817837</v>
      </c>
      <c r="P165">
        <f t="shared" si="18"/>
        <v>1</v>
      </c>
      <c r="Q165">
        <f t="shared" si="19"/>
        <v>1</v>
      </c>
      <c r="R165">
        <f t="shared" si="20"/>
        <v>1</v>
      </c>
      <c r="T165">
        <f t="shared" si="21"/>
        <v>175.69285379661713</v>
      </c>
      <c r="U165">
        <f t="shared" si="22"/>
        <v>83.056258132234177</v>
      </c>
      <c r="V165">
        <f t="shared" si="23"/>
        <v>125.08676270046398</v>
      </c>
    </row>
    <row r="166" spans="1:22" x14ac:dyDescent="0.3">
      <c r="A166" s="1">
        <v>42964</v>
      </c>
      <c r="B166" s="1">
        <v>43055</v>
      </c>
      <c r="C166">
        <v>320.48354854583698</v>
      </c>
      <c r="D166">
        <v>331.29999961853002</v>
      </c>
      <c r="E166">
        <v>307.89999999999998</v>
      </c>
      <c r="F166">
        <v>23.399999618530199</v>
      </c>
      <c r="G166">
        <v>12.583548545837401</v>
      </c>
      <c r="H166">
        <v>23.399999618530199</v>
      </c>
      <c r="J166" s="1">
        <v>42964</v>
      </c>
      <c r="K166">
        <v>331.29999961853002</v>
      </c>
      <c r="L166">
        <v>320.48354854583698</v>
      </c>
      <c r="M166">
        <v>314.51392068862913</v>
      </c>
      <c r="N166">
        <f t="shared" si="17"/>
        <v>317.49873461723303</v>
      </c>
      <c r="P166">
        <f t="shared" si="18"/>
        <v>1</v>
      </c>
      <c r="Q166">
        <f t="shared" si="19"/>
        <v>1</v>
      </c>
      <c r="R166">
        <f t="shared" si="20"/>
        <v>1</v>
      </c>
      <c r="T166">
        <f t="shared" si="21"/>
        <v>116.99561380796246</v>
      </c>
      <c r="U166">
        <f t="shared" si="22"/>
        <v>281.77244584086282</v>
      </c>
      <c r="V166">
        <f t="shared" si="23"/>
        <v>190.4749156360254</v>
      </c>
    </row>
    <row r="167" spans="1:22" x14ac:dyDescent="0.3">
      <c r="A167" s="1">
        <v>42965</v>
      </c>
      <c r="B167" s="1">
        <v>43056</v>
      </c>
      <c r="C167">
        <v>320.75408267974802</v>
      </c>
      <c r="D167">
        <v>330.950000762939</v>
      </c>
      <c r="E167">
        <v>307.75</v>
      </c>
      <c r="F167">
        <v>23.2000007629394</v>
      </c>
      <c r="G167">
        <v>13.0040826797485</v>
      </c>
      <c r="H167">
        <v>23.2000007629394</v>
      </c>
      <c r="J167" s="1">
        <v>42965</v>
      </c>
      <c r="K167">
        <v>330.950000762939</v>
      </c>
      <c r="L167">
        <v>320.75408267974802</v>
      </c>
      <c r="M167">
        <v>324.21621513366688</v>
      </c>
      <c r="N167">
        <f t="shared" si="17"/>
        <v>322.48514890670742</v>
      </c>
      <c r="P167">
        <f t="shared" si="18"/>
        <v>1</v>
      </c>
      <c r="Q167">
        <f t="shared" si="19"/>
        <v>1</v>
      </c>
      <c r="R167">
        <f t="shared" si="20"/>
        <v>1</v>
      </c>
      <c r="T167">
        <f t="shared" si="21"/>
        <v>103.95674555914073</v>
      </c>
      <c r="U167">
        <f t="shared" si="22"/>
        <v>45.343868900991723</v>
      </c>
      <c r="V167">
        <f t="shared" si="23"/>
        <v>71.65371694794716</v>
      </c>
    </row>
    <row r="168" spans="1:22" x14ac:dyDescent="0.3">
      <c r="A168" s="1">
        <v>42968</v>
      </c>
      <c r="B168" s="1">
        <v>43059</v>
      </c>
      <c r="C168">
        <v>318.34921722412099</v>
      </c>
      <c r="D168">
        <v>329.44999961853</v>
      </c>
      <c r="E168">
        <v>307.05</v>
      </c>
      <c r="F168">
        <v>22.399999618530199</v>
      </c>
      <c r="G168">
        <v>11.299217224121</v>
      </c>
      <c r="H168">
        <v>22.399999618530199</v>
      </c>
      <c r="J168" s="1">
        <v>42968</v>
      </c>
      <c r="K168">
        <v>329.44999961853</v>
      </c>
      <c r="L168">
        <v>318.34921722412099</v>
      </c>
      <c r="M168">
        <v>321.25178604125972</v>
      </c>
      <c r="N168">
        <f t="shared" si="17"/>
        <v>319.80050163269038</v>
      </c>
      <c r="P168">
        <f t="shared" si="18"/>
        <v>1</v>
      </c>
      <c r="Q168">
        <f t="shared" si="19"/>
        <v>1</v>
      </c>
      <c r="R168">
        <f t="shared" si="20"/>
        <v>1</v>
      </c>
      <c r="T168">
        <f t="shared" si="21"/>
        <v>123.22736976802102</v>
      </c>
      <c r="U168">
        <f t="shared" si="22"/>
        <v>67.210705858538773</v>
      </c>
      <c r="V168">
        <f t="shared" si="23"/>
        <v>93.11281137872281</v>
      </c>
    </row>
    <row r="169" spans="1:22" x14ac:dyDescent="0.3">
      <c r="A169" s="1">
        <v>42969</v>
      </c>
      <c r="B169" s="1">
        <v>43060</v>
      </c>
      <c r="C169">
        <v>317.64486904144201</v>
      </c>
      <c r="D169">
        <v>330.84999961852998</v>
      </c>
      <c r="E169">
        <v>308.7</v>
      </c>
      <c r="F169">
        <v>22.149999618530199</v>
      </c>
      <c r="G169">
        <v>8.9448690414428693</v>
      </c>
      <c r="H169">
        <v>22.149999618530199</v>
      </c>
      <c r="J169" s="1">
        <v>42969</v>
      </c>
      <c r="K169">
        <v>330.84999961852998</v>
      </c>
      <c r="L169">
        <v>317.64486904144201</v>
      </c>
      <c r="M169">
        <v>317.30131072998046</v>
      </c>
      <c r="N169">
        <f t="shared" si="17"/>
        <v>317.47308988571126</v>
      </c>
      <c r="P169">
        <f t="shared" si="18"/>
        <v>1</v>
      </c>
      <c r="Q169">
        <f t="shared" si="19"/>
        <v>1</v>
      </c>
      <c r="R169">
        <f t="shared" si="20"/>
        <v>1</v>
      </c>
      <c r="T169">
        <f t="shared" si="21"/>
        <v>174.37547355794368</v>
      </c>
      <c r="U169">
        <f t="shared" si="22"/>
        <v>183.56697059870524</v>
      </c>
      <c r="V169">
        <f t="shared" si="23"/>
        <v>178.94171399998012</v>
      </c>
    </row>
    <row r="170" spans="1:22" x14ac:dyDescent="0.3">
      <c r="A170" s="1">
        <v>42970</v>
      </c>
      <c r="B170" s="1">
        <v>43061</v>
      </c>
      <c r="C170">
        <v>314.48263940811103</v>
      </c>
      <c r="D170">
        <v>332.55000076293902</v>
      </c>
      <c r="E170">
        <v>308.60000000000002</v>
      </c>
      <c r="F170">
        <v>23.9500007629394</v>
      </c>
      <c r="G170">
        <v>5.8826394081115696</v>
      </c>
      <c r="H170">
        <v>23.9500007629394</v>
      </c>
      <c r="J170" s="1">
        <v>42970</v>
      </c>
      <c r="K170">
        <v>332.55000076293902</v>
      </c>
      <c r="L170">
        <v>314.48263940811103</v>
      </c>
      <c r="M170">
        <v>317.23041210174563</v>
      </c>
      <c r="N170">
        <f t="shared" si="17"/>
        <v>315.85652575492833</v>
      </c>
      <c r="P170">
        <f t="shared" si="18"/>
        <v>1</v>
      </c>
      <c r="Q170">
        <f t="shared" si="19"/>
        <v>1</v>
      </c>
      <c r="R170">
        <f t="shared" si="20"/>
        <v>1</v>
      </c>
      <c r="T170">
        <f t="shared" si="21"/>
        <v>326.42954632593205</v>
      </c>
      <c r="U170">
        <f t="shared" si="22"/>
        <v>234.68979674816518</v>
      </c>
      <c r="V170">
        <f t="shared" si="23"/>
        <v>278.67210784307764</v>
      </c>
    </row>
    <row r="171" spans="1:22" x14ac:dyDescent="0.3">
      <c r="A171" s="1">
        <v>42971</v>
      </c>
      <c r="B171" s="1">
        <v>43062</v>
      </c>
      <c r="C171">
        <v>325.103815650939</v>
      </c>
      <c r="D171">
        <v>331.45000038146901</v>
      </c>
      <c r="E171">
        <v>310.10000000000002</v>
      </c>
      <c r="F171">
        <v>21.350000381469702</v>
      </c>
      <c r="G171">
        <v>15.003815650939901</v>
      </c>
      <c r="H171">
        <v>21.350000381469702</v>
      </c>
      <c r="J171" s="1">
        <v>42971</v>
      </c>
      <c r="K171">
        <v>331.45000038146901</v>
      </c>
      <c r="L171">
        <v>325.103815650939</v>
      </c>
      <c r="M171">
        <v>316.42293415069582</v>
      </c>
      <c r="N171">
        <f t="shared" si="17"/>
        <v>320.76337490081744</v>
      </c>
      <c r="P171">
        <f t="shared" si="18"/>
        <v>1</v>
      </c>
      <c r="Q171">
        <f t="shared" si="19"/>
        <v>1</v>
      </c>
      <c r="R171">
        <f t="shared" si="20"/>
        <v>1</v>
      </c>
      <c r="T171">
        <f t="shared" si="21"/>
        <v>40.274060634012287</v>
      </c>
      <c r="U171">
        <f t="shared" si="22"/>
        <v>225.81271950404388</v>
      </c>
      <c r="V171">
        <f t="shared" si="23"/>
        <v>114.20396416371143</v>
      </c>
    </row>
    <row r="172" spans="1:22" x14ac:dyDescent="0.3">
      <c r="A172" s="1">
        <v>42972</v>
      </c>
      <c r="B172" s="1">
        <v>43063</v>
      </c>
      <c r="C172">
        <v>317.87155294418301</v>
      </c>
      <c r="D172">
        <v>332.25</v>
      </c>
      <c r="E172">
        <v>310.25</v>
      </c>
      <c r="F172">
        <v>22</v>
      </c>
      <c r="G172">
        <v>7.6215529441833496</v>
      </c>
      <c r="H172">
        <v>22</v>
      </c>
      <c r="J172" s="1">
        <v>42972</v>
      </c>
      <c r="K172">
        <v>332.25</v>
      </c>
      <c r="L172">
        <v>317.87155294418301</v>
      </c>
      <c r="M172">
        <v>318.8587474822998</v>
      </c>
      <c r="N172">
        <f t="shared" si="17"/>
        <v>318.36515021324141</v>
      </c>
      <c r="P172">
        <f t="shared" si="18"/>
        <v>1</v>
      </c>
      <c r="Q172">
        <f t="shared" si="19"/>
        <v>1</v>
      </c>
      <c r="R172">
        <f t="shared" si="20"/>
        <v>1</v>
      </c>
      <c r="T172">
        <f t="shared" si="21"/>
        <v>206.73973973693231</v>
      </c>
      <c r="U172">
        <f t="shared" si="22"/>
        <v>179.32564399281182</v>
      </c>
      <c r="V172">
        <f t="shared" si="23"/>
        <v>192.78905360085017</v>
      </c>
    </row>
    <row r="173" spans="1:22" x14ac:dyDescent="0.3">
      <c r="A173" s="1">
        <v>42975</v>
      </c>
      <c r="B173" s="1">
        <v>43066</v>
      </c>
      <c r="C173">
        <v>315.75298185348498</v>
      </c>
      <c r="D173">
        <v>325.90000076293899</v>
      </c>
      <c r="E173">
        <v>308.2</v>
      </c>
      <c r="F173">
        <v>17.7000007629394</v>
      </c>
      <c r="G173">
        <v>7.5529818534851003</v>
      </c>
      <c r="H173">
        <v>17.7000007629394</v>
      </c>
      <c r="J173" s="1">
        <v>42975</v>
      </c>
      <c r="K173">
        <v>325.90000076293899</v>
      </c>
      <c r="L173">
        <v>315.75298185348498</v>
      </c>
      <c r="M173">
        <v>311.79766125679015</v>
      </c>
      <c r="N173">
        <f t="shared" si="17"/>
        <v>313.77532155513757</v>
      </c>
      <c r="P173">
        <f t="shared" si="18"/>
        <v>1</v>
      </c>
      <c r="Q173">
        <f t="shared" si="19"/>
        <v>1</v>
      </c>
      <c r="R173">
        <f t="shared" si="20"/>
        <v>1</v>
      </c>
      <c r="T173">
        <f t="shared" si="21"/>
        <v>102.96199274881714</v>
      </c>
      <c r="U173">
        <f t="shared" si="22"/>
        <v>198.87597954668624</v>
      </c>
      <c r="V173">
        <f t="shared" si="23"/>
        <v>147.00784589209209</v>
      </c>
    </row>
    <row r="174" spans="1:22" x14ac:dyDescent="0.3">
      <c r="A174" s="1">
        <v>42976</v>
      </c>
      <c r="B174" s="1">
        <v>43067</v>
      </c>
      <c r="C174">
        <v>311.927845859527</v>
      </c>
      <c r="D174">
        <v>327.69999923706001</v>
      </c>
      <c r="E174">
        <v>307.14999999999998</v>
      </c>
      <c r="F174">
        <v>20.549999237060501</v>
      </c>
      <c r="G174">
        <v>4.7778458595275799</v>
      </c>
      <c r="H174">
        <v>20.549999237060501</v>
      </c>
      <c r="J174" s="1">
        <v>42976</v>
      </c>
      <c r="K174">
        <v>327.69999923706001</v>
      </c>
      <c r="L174">
        <v>311.927845859527</v>
      </c>
      <c r="M174">
        <v>312.8453430175781</v>
      </c>
      <c r="N174">
        <f t="shared" si="17"/>
        <v>312.38659443855255</v>
      </c>
      <c r="P174">
        <f t="shared" si="18"/>
        <v>1</v>
      </c>
      <c r="Q174">
        <f t="shared" si="19"/>
        <v>1</v>
      </c>
      <c r="R174">
        <f t="shared" si="20"/>
        <v>1</v>
      </c>
      <c r="T174">
        <f t="shared" si="21"/>
        <v>248.76082216442612</v>
      </c>
      <c r="U174">
        <f t="shared" si="22"/>
        <v>220.66081139899259</v>
      </c>
      <c r="V174">
        <f t="shared" si="23"/>
        <v>234.5003665229514</v>
      </c>
    </row>
    <row r="175" spans="1:22" x14ac:dyDescent="0.3">
      <c r="A175" s="1">
        <v>42977</v>
      </c>
      <c r="B175" s="1">
        <v>43068</v>
      </c>
      <c r="C175">
        <v>316.38620090484602</v>
      </c>
      <c r="D175">
        <v>327.700000762939</v>
      </c>
      <c r="E175">
        <v>309</v>
      </c>
      <c r="F175">
        <v>18.7000007629394</v>
      </c>
      <c r="G175">
        <v>7.3862009048461896</v>
      </c>
      <c r="H175">
        <v>18.7000007629394</v>
      </c>
      <c r="J175" s="1">
        <v>42977</v>
      </c>
      <c r="K175">
        <v>327.700000762939</v>
      </c>
      <c r="L175">
        <v>316.38620090484602</v>
      </c>
      <c r="M175">
        <v>317.28629302978516</v>
      </c>
      <c r="N175">
        <f t="shared" si="17"/>
        <v>316.83624696731556</v>
      </c>
      <c r="P175">
        <f t="shared" si="18"/>
        <v>1</v>
      </c>
      <c r="Q175">
        <f t="shared" si="19"/>
        <v>1</v>
      </c>
      <c r="R175">
        <f t="shared" si="20"/>
        <v>1</v>
      </c>
      <c r="T175">
        <f t="shared" si="21"/>
        <v>128.00206722898469</v>
      </c>
      <c r="U175">
        <f t="shared" si="22"/>
        <v>108.44530875154814</v>
      </c>
      <c r="V175">
        <f t="shared" si="23"/>
        <v>118.02114653192267</v>
      </c>
    </row>
    <row r="176" spans="1:22" x14ac:dyDescent="0.3">
      <c r="A176" s="1">
        <v>42978</v>
      </c>
      <c r="B176" s="1">
        <v>43069</v>
      </c>
      <c r="C176">
        <v>315.74883975982601</v>
      </c>
      <c r="D176">
        <v>322.25000038146902</v>
      </c>
      <c r="E176">
        <v>306.64999999999998</v>
      </c>
      <c r="F176">
        <v>15.6000003814697</v>
      </c>
      <c r="G176">
        <v>9.0988397598266602</v>
      </c>
      <c r="H176">
        <v>15.6000003814697</v>
      </c>
      <c r="J176" s="1">
        <v>42978</v>
      </c>
      <c r="K176">
        <v>322.25000038146902</v>
      </c>
      <c r="L176">
        <v>315.74883975982601</v>
      </c>
      <c r="M176">
        <v>312.8356641769409</v>
      </c>
      <c r="N176">
        <f t="shared" si="17"/>
        <v>314.29225196838343</v>
      </c>
      <c r="P176">
        <f t="shared" si="18"/>
        <v>1</v>
      </c>
      <c r="Q176">
        <f t="shared" si="19"/>
        <v>1</v>
      </c>
      <c r="R176">
        <f t="shared" si="20"/>
        <v>1</v>
      </c>
      <c r="T176">
        <f t="shared" si="21"/>
        <v>42.265089428401723</v>
      </c>
      <c r="U176">
        <f t="shared" si="22"/>
        <v>88.629726171889047</v>
      </c>
      <c r="V176">
        <f t="shared" si="23"/>
        <v>63.325759805966328</v>
      </c>
    </row>
    <row r="177" spans="1:22" x14ac:dyDescent="0.3">
      <c r="A177" s="1">
        <v>42979</v>
      </c>
      <c r="B177" s="1">
        <v>43070</v>
      </c>
      <c r="C177">
        <v>318.02532558441101</v>
      </c>
      <c r="D177">
        <v>321.85000019073402</v>
      </c>
      <c r="E177">
        <v>306.3</v>
      </c>
      <c r="F177">
        <v>15.550000190734799</v>
      </c>
      <c r="G177">
        <v>11.7253255844116</v>
      </c>
      <c r="H177">
        <v>15.550000190734799</v>
      </c>
      <c r="J177" s="1">
        <v>42979</v>
      </c>
      <c r="K177">
        <v>321.85000019073402</v>
      </c>
      <c r="L177">
        <v>318.02532558441101</v>
      </c>
      <c r="M177">
        <v>317.53623085021974</v>
      </c>
      <c r="N177">
        <f t="shared" si="17"/>
        <v>317.7807782173154</v>
      </c>
      <c r="P177">
        <f t="shared" si="18"/>
        <v>1</v>
      </c>
      <c r="Q177">
        <f t="shared" si="19"/>
        <v>1</v>
      </c>
      <c r="R177">
        <f t="shared" si="20"/>
        <v>1</v>
      </c>
      <c r="T177">
        <f t="shared" si="21"/>
        <v>14.628135844252109</v>
      </c>
      <c r="U177">
        <f t="shared" si="22"/>
        <v>18.60860592316104</v>
      </c>
      <c r="V177">
        <f t="shared" si="23"/>
        <v>16.558567468952937</v>
      </c>
    </row>
    <row r="178" spans="1:22" x14ac:dyDescent="0.3">
      <c r="A178" s="1">
        <v>42982</v>
      </c>
      <c r="B178" s="1">
        <v>43073</v>
      </c>
      <c r="C178">
        <v>317.71253681182799</v>
      </c>
      <c r="D178">
        <v>325</v>
      </c>
      <c r="E178">
        <v>303.5</v>
      </c>
      <c r="F178">
        <v>21.5</v>
      </c>
      <c r="G178">
        <v>14.212536811828601</v>
      </c>
      <c r="H178">
        <v>21.5</v>
      </c>
      <c r="J178" s="1">
        <v>42982</v>
      </c>
      <c r="K178">
        <v>325</v>
      </c>
      <c r="L178">
        <v>317.71253681182799</v>
      </c>
      <c r="M178">
        <v>317.13251495361322</v>
      </c>
      <c r="N178">
        <f t="shared" si="17"/>
        <v>317.42252588272061</v>
      </c>
      <c r="P178">
        <f t="shared" si="18"/>
        <v>1</v>
      </c>
      <c r="Q178">
        <f t="shared" si="19"/>
        <v>1</v>
      </c>
      <c r="R178">
        <f t="shared" si="20"/>
        <v>1</v>
      </c>
      <c r="T178">
        <f t="shared" si="21"/>
        <v>53.107119718962188</v>
      </c>
      <c r="U178">
        <f t="shared" si="22"/>
        <v>61.897320955119525</v>
      </c>
      <c r="V178">
        <f t="shared" si="23"/>
        <v>57.418113998039125</v>
      </c>
    </row>
    <row r="179" spans="1:22" x14ac:dyDescent="0.3">
      <c r="A179" s="1">
        <v>42983</v>
      </c>
      <c r="B179" s="1">
        <v>43074</v>
      </c>
      <c r="C179">
        <v>309.698248577117</v>
      </c>
      <c r="D179">
        <v>326.59999961852998</v>
      </c>
      <c r="E179">
        <v>302.7</v>
      </c>
      <c r="F179">
        <v>23.899999618530199</v>
      </c>
      <c r="G179">
        <v>6.9982485771179199</v>
      </c>
      <c r="H179">
        <v>23.899999618530199</v>
      </c>
      <c r="J179" s="1">
        <v>42983</v>
      </c>
      <c r="K179">
        <v>326.59999961852998</v>
      </c>
      <c r="L179">
        <v>309.698248577117</v>
      </c>
      <c r="M179">
        <v>313.31101531982421</v>
      </c>
      <c r="N179">
        <f t="shared" si="17"/>
        <v>311.5046319484706</v>
      </c>
      <c r="P179">
        <f t="shared" si="18"/>
        <v>1</v>
      </c>
      <c r="Q179">
        <f t="shared" si="19"/>
        <v>1</v>
      </c>
      <c r="R179">
        <f t="shared" si="20"/>
        <v>1</v>
      </c>
      <c r="T179">
        <f t="shared" si="21"/>
        <v>285.66918826590472</v>
      </c>
      <c r="U179">
        <f t="shared" si="22"/>
        <v>176.59710369124849</v>
      </c>
      <c r="V179">
        <f t="shared" si="23"/>
        <v>227.87012509427379</v>
      </c>
    </row>
    <row r="180" spans="1:22" x14ac:dyDescent="0.3">
      <c r="A180" s="1">
        <v>42984</v>
      </c>
      <c r="B180" s="1">
        <v>43075</v>
      </c>
      <c r="C180">
        <v>309.72704057693397</v>
      </c>
      <c r="D180">
        <v>321.650000381469</v>
      </c>
      <c r="E180">
        <v>302.3</v>
      </c>
      <c r="F180">
        <v>19.350000381469702</v>
      </c>
      <c r="G180">
        <v>7.42704057693481</v>
      </c>
      <c r="H180">
        <v>19.350000381469702</v>
      </c>
      <c r="J180" s="1">
        <v>42984</v>
      </c>
      <c r="K180">
        <v>321.650000381469</v>
      </c>
      <c r="L180">
        <v>309.72704057693397</v>
      </c>
      <c r="M180">
        <v>312.04142742156984</v>
      </c>
      <c r="N180">
        <f t="shared" si="17"/>
        <v>310.88423399925193</v>
      </c>
      <c r="P180">
        <f t="shared" si="18"/>
        <v>1</v>
      </c>
      <c r="Q180">
        <f t="shared" si="19"/>
        <v>1</v>
      </c>
      <c r="R180">
        <f t="shared" si="20"/>
        <v>1</v>
      </c>
      <c r="T180">
        <f t="shared" si="21"/>
        <v>142.15697050055789</v>
      </c>
      <c r="U180">
        <f t="shared" si="22"/>
        <v>92.324674325705374</v>
      </c>
      <c r="V180">
        <f t="shared" si="23"/>
        <v>115.90172579647513</v>
      </c>
    </row>
    <row r="181" spans="1:22" x14ac:dyDescent="0.3">
      <c r="A181" s="1">
        <v>42985</v>
      </c>
      <c r="B181" s="1">
        <v>43076</v>
      </c>
      <c r="C181">
        <v>312.50368709564202</v>
      </c>
      <c r="D181">
        <v>320.7</v>
      </c>
      <c r="E181">
        <v>306.2</v>
      </c>
      <c r="F181">
        <v>14.5</v>
      </c>
      <c r="G181">
        <v>6.3036870956420898</v>
      </c>
      <c r="H181">
        <v>14.5</v>
      </c>
      <c r="J181" s="1">
        <v>42985</v>
      </c>
      <c r="K181">
        <v>320.7</v>
      </c>
      <c r="L181">
        <v>312.50368709564202</v>
      </c>
      <c r="M181">
        <v>312.52530689239501</v>
      </c>
      <c r="N181">
        <f t="shared" si="17"/>
        <v>312.51449699401849</v>
      </c>
      <c r="P181">
        <f t="shared" si="18"/>
        <v>1</v>
      </c>
      <c r="Q181">
        <f t="shared" si="19"/>
        <v>1</v>
      </c>
      <c r="R181">
        <f t="shared" si="20"/>
        <v>1</v>
      </c>
      <c r="T181">
        <f t="shared" si="21"/>
        <v>67.179545226144938</v>
      </c>
      <c r="U181">
        <f t="shared" si="22"/>
        <v>66.825607403524373</v>
      </c>
      <c r="V181">
        <f t="shared" si="23"/>
        <v>67.002459460932201</v>
      </c>
    </row>
    <row r="182" spans="1:22" x14ac:dyDescent="0.3">
      <c r="A182" s="1">
        <v>42986</v>
      </c>
      <c r="B182" s="1">
        <v>43077</v>
      </c>
      <c r="C182">
        <v>322.70254707336397</v>
      </c>
      <c r="D182">
        <v>321.39999961852999</v>
      </c>
      <c r="E182">
        <v>306.25</v>
      </c>
      <c r="F182">
        <v>15.149999618530201</v>
      </c>
      <c r="G182">
        <v>16.452547073364201</v>
      </c>
      <c r="H182">
        <v>15.149999618530201</v>
      </c>
      <c r="J182" s="1">
        <v>42986</v>
      </c>
      <c r="K182">
        <v>321.39999961852999</v>
      </c>
      <c r="L182">
        <v>322.70254707336397</v>
      </c>
      <c r="M182">
        <v>317.95898342132563</v>
      </c>
      <c r="N182">
        <f t="shared" si="17"/>
        <v>320.3307652473448</v>
      </c>
      <c r="P182">
        <f t="shared" si="18"/>
        <v>1</v>
      </c>
      <c r="Q182">
        <f t="shared" si="19"/>
        <v>1</v>
      </c>
      <c r="R182">
        <f t="shared" si="20"/>
        <v>1</v>
      </c>
      <c r="T182">
        <f t="shared" si="21"/>
        <v>1.6966298720944906</v>
      </c>
      <c r="U182">
        <f t="shared" si="22"/>
        <v>11.840592469422772</v>
      </c>
      <c r="V182">
        <f t="shared" si="23"/>
        <v>1.1432621405237866</v>
      </c>
    </row>
    <row r="183" spans="1:22" x14ac:dyDescent="0.3">
      <c r="A183" s="1">
        <v>42989</v>
      </c>
      <c r="B183" s="1">
        <v>43080</v>
      </c>
      <c r="C183">
        <v>321.08736515045098</v>
      </c>
      <c r="D183">
        <v>321.5</v>
      </c>
      <c r="E183">
        <v>309.25</v>
      </c>
      <c r="F183">
        <v>12.25</v>
      </c>
      <c r="G183">
        <v>11.8373651504516</v>
      </c>
      <c r="H183">
        <v>12.25</v>
      </c>
      <c r="J183" s="1">
        <v>42989</v>
      </c>
      <c r="K183">
        <v>321.5</v>
      </c>
      <c r="L183">
        <v>321.08736515045098</v>
      </c>
      <c r="M183">
        <v>315.30315971374512</v>
      </c>
      <c r="N183">
        <f t="shared" si="17"/>
        <v>318.19526243209805</v>
      </c>
      <c r="P183">
        <f t="shared" si="18"/>
        <v>1</v>
      </c>
      <c r="Q183">
        <f t="shared" si="19"/>
        <v>1</v>
      </c>
      <c r="R183">
        <f t="shared" si="20"/>
        <v>1</v>
      </c>
      <c r="T183">
        <f t="shared" si="21"/>
        <v>0.170267519062344</v>
      </c>
      <c r="U183">
        <f t="shared" si="22"/>
        <v>38.400829533351498</v>
      </c>
      <c r="V183">
        <f t="shared" si="23"/>
        <v>10.921290392702511</v>
      </c>
    </row>
    <row r="184" spans="1:22" x14ac:dyDescent="0.3">
      <c r="A184" s="1">
        <v>42990</v>
      </c>
      <c r="B184" s="1">
        <v>43081</v>
      </c>
      <c r="C184">
        <v>313.40829534530599</v>
      </c>
      <c r="D184">
        <v>320.45</v>
      </c>
      <c r="E184">
        <v>309.2</v>
      </c>
      <c r="F184">
        <v>11.25</v>
      </c>
      <c r="G184">
        <v>4.2082953453063903</v>
      </c>
      <c r="H184">
        <v>11.25</v>
      </c>
      <c r="J184" s="1">
        <v>42990</v>
      </c>
      <c r="K184">
        <v>320.45</v>
      </c>
      <c r="L184">
        <v>313.40829534530599</v>
      </c>
      <c r="M184">
        <v>317.81943626403807</v>
      </c>
      <c r="N184">
        <f t="shared" si="17"/>
        <v>315.61386580467206</v>
      </c>
      <c r="P184">
        <f t="shared" si="18"/>
        <v>1</v>
      </c>
      <c r="Q184">
        <f t="shared" si="19"/>
        <v>1</v>
      </c>
      <c r="R184">
        <f t="shared" si="20"/>
        <v>1</v>
      </c>
      <c r="T184">
        <f t="shared" si="21"/>
        <v>49.585604443939168</v>
      </c>
      <c r="U184">
        <f t="shared" si="22"/>
        <v>6.9198655689579027</v>
      </c>
      <c r="V184">
        <f t="shared" si="23"/>
        <v>23.388193955220117</v>
      </c>
    </row>
    <row r="185" spans="1:22" x14ac:dyDescent="0.3">
      <c r="A185" s="1">
        <v>42991</v>
      </c>
      <c r="B185" s="1">
        <v>43082</v>
      </c>
      <c r="C185">
        <v>307.55535732507701</v>
      </c>
      <c r="D185">
        <v>322.85000019073402</v>
      </c>
      <c r="E185">
        <v>308.55</v>
      </c>
      <c r="F185">
        <v>-14.300000190734799</v>
      </c>
      <c r="G185">
        <v>-0.994642674922943</v>
      </c>
      <c r="H185">
        <v>14.300000190734799</v>
      </c>
      <c r="J185" s="1">
        <v>42991</v>
      </c>
      <c r="K185">
        <v>322.85000019073402</v>
      </c>
      <c r="L185">
        <v>307.55535732507701</v>
      </c>
      <c r="M185">
        <v>320.51548843383779</v>
      </c>
      <c r="N185">
        <f t="shared" si="17"/>
        <v>314.03542287945743</v>
      </c>
      <c r="P185">
        <f t="shared" si="18"/>
        <v>0</v>
      </c>
      <c r="Q185">
        <f t="shared" si="19"/>
        <v>1</v>
      </c>
      <c r="R185">
        <f t="shared" si="20"/>
        <v>1</v>
      </c>
      <c r="T185">
        <f t="shared" si="21"/>
        <v>233.9261003879929</v>
      </c>
      <c r="U185">
        <f t="shared" si="22"/>
        <v>5.4499451430867394</v>
      </c>
      <c r="V185">
        <f t="shared" si="23"/>
        <v>77.696773176472107</v>
      </c>
    </row>
    <row r="186" spans="1:22" x14ac:dyDescent="0.3">
      <c r="A186" s="1">
        <v>42992</v>
      </c>
      <c r="B186" s="1">
        <v>43083</v>
      </c>
      <c r="C186">
        <v>310.43703982234001</v>
      </c>
      <c r="D186">
        <v>324.30000019073401</v>
      </c>
      <c r="E186">
        <v>310.25</v>
      </c>
      <c r="F186">
        <v>14.050000190734799</v>
      </c>
      <c r="G186">
        <v>0.18703982234001101</v>
      </c>
      <c r="H186">
        <v>14.050000190734799</v>
      </c>
      <c r="J186" s="1">
        <v>42992</v>
      </c>
      <c r="K186">
        <v>324.30000019073401</v>
      </c>
      <c r="L186">
        <v>310.43703982234001</v>
      </c>
      <c r="M186">
        <v>318.1919732093811</v>
      </c>
      <c r="N186">
        <f t="shared" si="17"/>
        <v>314.31450651586056</v>
      </c>
      <c r="P186">
        <f t="shared" si="18"/>
        <v>1</v>
      </c>
      <c r="Q186">
        <f t="shared" si="19"/>
        <v>1</v>
      </c>
      <c r="R186">
        <f t="shared" si="20"/>
        <v>1</v>
      </c>
      <c r="T186">
        <f t="shared" si="21"/>
        <v>192.18167017566267</v>
      </c>
      <c r="U186">
        <f t="shared" si="22"/>
        <v>37.307993604935106</v>
      </c>
      <c r="V186">
        <f t="shared" si="23"/>
        <v>99.710083930937742</v>
      </c>
    </row>
    <row r="187" spans="1:22" x14ac:dyDescent="0.3">
      <c r="A187" s="1">
        <v>42993</v>
      </c>
      <c r="B187" s="1">
        <v>43084</v>
      </c>
      <c r="C187">
        <v>308.15076894760102</v>
      </c>
      <c r="D187">
        <v>322.750000190734</v>
      </c>
      <c r="E187">
        <v>311.2</v>
      </c>
      <c r="F187">
        <v>-11.550000190734799</v>
      </c>
      <c r="G187">
        <v>-3.0492310523986799</v>
      </c>
      <c r="H187">
        <v>11.550000190734799</v>
      </c>
      <c r="J187" s="1">
        <v>42993</v>
      </c>
      <c r="K187">
        <v>322.750000190734</v>
      </c>
      <c r="L187">
        <v>308.15076894760102</v>
      </c>
      <c r="M187">
        <v>321.8880331039428</v>
      </c>
      <c r="N187">
        <f t="shared" si="17"/>
        <v>315.01940102577191</v>
      </c>
      <c r="P187">
        <f t="shared" si="18"/>
        <v>0</v>
      </c>
      <c r="Q187">
        <f t="shared" si="19"/>
        <v>1</v>
      </c>
      <c r="R187">
        <f t="shared" si="20"/>
        <v>1</v>
      </c>
      <c r="T187">
        <f t="shared" si="21"/>
        <v>213.13755289047003</v>
      </c>
      <c r="U187">
        <f t="shared" si="22"/>
        <v>0.74298725871130189</v>
      </c>
      <c r="V187">
        <f t="shared" si="23"/>
        <v>59.76216344931251</v>
      </c>
    </row>
    <row r="188" spans="1:22" x14ac:dyDescent="0.3">
      <c r="A188" s="1">
        <v>42996</v>
      </c>
      <c r="B188" s="1">
        <v>43087</v>
      </c>
      <c r="C188">
        <v>310.09105272292999</v>
      </c>
      <c r="D188">
        <v>324.14999980926501</v>
      </c>
      <c r="E188">
        <v>316.7</v>
      </c>
      <c r="F188">
        <v>-7.4499998092651296</v>
      </c>
      <c r="G188">
        <v>-6.60894727706909</v>
      </c>
      <c r="H188">
        <v>7.4499998092651296</v>
      </c>
      <c r="J188" s="1">
        <v>42996</v>
      </c>
      <c r="K188">
        <v>324.14999980926501</v>
      </c>
      <c r="L188">
        <v>310.09105272292999</v>
      </c>
      <c r="M188">
        <v>326.83996410369866</v>
      </c>
      <c r="N188">
        <f t="shared" si="17"/>
        <v>318.4655084133143</v>
      </c>
      <c r="P188">
        <f t="shared" si="18"/>
        <v>0</v>
      </c>
      <c r="Q188">
        <f t="shared" si="19"/>
        <v>1</v>
      </c>
      <c r="R188">
        <f t="shared" si="20"/>
        <v>1</v>
      </c>
      <c r="T188">
        <f t="shared" si="21"/>
        <v>197.65399317636806</v>
      </c>
      <c r="U188">
        <f t="shared" si="22"/>
        <v>7.2359079053279274</v>
      </c>
      <c r="V188">
        <f t="shared" si="23"/>
        <v>32.313442430637714</v>
      </c>
    </row>
    <row r="189" spans="1:22" x14ac:dyDescent="0.3">
      <c r="A189" s="1">
        <v>42997</v>
      </c>
      <c r="B189" s="1">
        <v>43088</v>
      </c>
      <c r="C189">
        <v>309.778910446167</v>
      </c>
      <c r="D189">
        <v>323.85000019073402</v>
      </c>
      <c r="E189">
        <v>316.05</v>
      </c>
      <c r="F189">
        <v>-7.8000001907348597</v>
      </c>
      <c r="G189">
        <v>-6.2710895538329998</v>
      </c>
      <c r="H189">
        <v>7.8000001907348597</v>
      </c>
      <c r="J189" s="1">
        <v>42997</v>
      </c>
      <c r="K189">
        <v>323.85000019073402</v>
      </c>
      <c r="L189">
        <v>309.778910446167</v>
      </c>
      <c r="M189">
        <v>329.23220233917232</v>
      </c>
      <c r="N189">
        <f t="shared" si="17"/>
        <v>319.50555639266963</v>
      </c>
      <c r="P189">
        <f t="shared" si="18"/>
        <v>0</v>
      </c>
      <c r="Q189">
        <f t="shared" si="19"/>
        <v>1</v>
      </c>
      <c r="R189">
        <f t="shared" si="20"/>
        <v>1</v>
      </c>
      <c r="T189">
        <f t="shared" si="21"/>
        <v>197.99556659965913</v>
      </c>
      <c r="U189">
        <f t="shared" si="22"/>
        <v>28.968099966653806</v>
      </c>
      <c r="V189">
        <f t="shared" si="23"/>
        <v>18.874191914540141</v>
      </c>
    </row>
    <row r="190" spans="1:22" x14ac:dyDescent="0.3">
      <c r="A190" s="1">
        <v>42998</v>
      </c>
      <c r="B190" s="1">
        <v>43089</v>
      </c>
      <c r="C190">
        <v>301.39508609771701</v>
      </c>
      <c r="D190">
        <v>323.55</v>
      </c>
      <c r="E190">
        <v>315.8</v>
      </c>
      <c r="F190">
        <v>-7.75</v>
      </c>
      <c r="G190">
        <v>-14.404913902282701</v>
      </c>
      <c r="H190">
        <v>7.75</v>
      </c>
      <c r="J190" s="1">
        <v>42998</v>
      </c>
      <c r="K190">
        <v>323.55</v>
      </c>
      <c r="L190">
        <v>301.39508609771701</v>
      </c>
      <c r="M190">
        <v>326.0784624099731</v>
      </c>
      <c r="N190">
        <f t="shared" si="17"/>
        <v>313.73677425384506</v>
      </c>
      <c r="P190">
        <f t="shared" si="18"/>
        <v>0</v>
      </c>
      <c r="Q190">
        <f t="shared" si="19"/>
        <v>1</v>
      </c>
      <c r="R190">
        <f t="shared" si="20"/>
        <v>0</v>
      </c>
      <c r="T190">
        <f t="shared" si="21"/>
        <v>490.84021001757253</v>
      </c>
      <c r="U190">
        <f t="shared" si="22"/>
        <v>6.3931221586469142</v>
      </c>
      <c r="V190">
        <f t="shared" si="23"/>
        <v>96.299399544998494</v>
      </c>
    </row>
    <row r="191" spans="1:22" x14ac:dyDescent="0.3">
      <c r="A191" s="1">
        <v>42999</v>
      </c>
      <c r="B191" s="1">
        <v>43090</v>
      </c>
      <c r="C191">
        <v>314.92037730216902</v>
      </c>
      <c r="D191">
        <v>316.85000001191997</v>
      </c>
      <c r="E191">
        <v>316.05</v>
      </c>
      <c r="F191">
        <v>-0.80000001192092896</v>
      </c>
      <c r="G191">
        <v>-1.1296226978302</v>
      </c>
      <c r="H191">
        <v>0.80000001192092896</v>
      </c>
      <c r="J191" s="1">
        <v>42999</v>
      </c>
      <c r="K191">
        <v>316.85000001191997</v>
      </c>
      <c r="L191">
        <v>314.92037730216902</v>
      </c>
      <c r="M191">
        <v>326.74832992553712</v>
      </c>
      <c r="N191">
        <f t="shared" si="17"/>
        <v>320.83435361385307</v>
      </c>
      <c r="P191">
        <f t="shared" si="18"/>
        <v>0</v>
      </c>
      <c r="Q191">
        <f t="shared" si="19"/>
        <v>1</v>
      </c>
      <c r="R191">
        <f t="shared" si="20"/>
        <v>1</v>
      </c>
      <c r="T191">
        <f t="shared" si="21"/>
        <v>3.7234438019866323</v>
      </c>
      <c r="U191">
        <f t="shared" si="22"/>
        <v>97.976935078808026</v>
      </c>
      <c r="V191">
        <f t="shared" si="23"/>
        <v>15.875073625237221</v>
      </c>
    </row>
    <row r="192" spans="1:22" x14ac:dyDescent="0.3">
      <c r="A192" s="1">
        <v>43000</v>
      </c>
      <c r="B192" s="1">
        <v>43091</v>
      </c>
      <c r="C192">
        <v>314.77953505516001</v>
      </c>
      <c r="D192">
        <v>318.5</v>
      </c>
      <c r="E192">
        <v>313.75</v>
      </c>
      <c r="F192">
        <v>4.75</v>
      </c>
      <c r="G192">
        <v>1.02953505516052</v>
      </c>
      <c r="H192">
        <v>4.75</v>
      </c>
      <c r="J192" s="1">
        <v>43000</v>
      </c>
      <c r="K192">
        <v>318.5</v>
      </c>
      <c r="L192">
        <v>314.77953505516001</v>
      </c>
      <c r="M192">
        <v>329.35250568389893</v>
      </c>
      <c r="N192">
        <f t="shared" si="17"/>
        <v>322.0660203695295</v>
      </c>
      <c r="P192">
        <f t="shared" si="18"/>
        <v>1</v>
      </c>
      <c r="Q192">
        <f t="shared" si="19"/>
        <v>1</v>
      </c>
      <c r="R192">
        <f t="shared" si="20"/>
        <v>1</v>
      </c>
      <c r="T192">
        <f t="shared" si="21"/>
        <v>13.841859405783223</v>
      </c>
      <c r="U192">
        <f t="shared" si="22"/>
        <v>117.77687961905849</v>
      </c>
      <c r="V192">
        <f t="shared" si="23"/>
        <v>12.716501275899288</v>
      </c>
    </row>
    <row r="193" spans="1:22" x14ac:dyDescent="0.3">
      <c r="A193" s="1">
        <v>43003</v>
      </c>
      <c r="B193" s="1">
        <v>43094</v>
      </c>
      <c r="C193">
        <v>316.10554246902399</v>
      </c>
      <c r="D193">
        <v>318.49999980926498</v>
      </c>
      <c r="E193">
        <v>313.8</v>
      </c>
      <c r="F193">
        <v>4.6999998092651296</v>
      </c>
      <c r="G193">
        <v>2.3055424690246502</v>
      </c>
      <c r="H193">
        <v>4.6999998092651296</v>
      </c>
      <c r="J193" s="1">
        <v>43003</v>
      </c>
      <c r="K193">
        <v>318.49999980926498</v>
      </c>
      <c r="L193">
        <v>316.10554246902399</v>
      </c>
      <c r="M193">
        <v>325.20953063964839</v>
      </c>
      <c r="N193">
        <f t="shared" si="17"/>
        <v>320.65753655433616</v>
      </c>
      <c r="P193">
        <f t="shared" si="18"/>
        <v>1</v>
      </c>
      <c r="Q193">
        <f t="shared" si="19"/>
        <v>1</v>
      </c>
      <c r="R193">
        <f t="shared" si="20"/>
        <v>1</v>
      </c>
      <c r="T193">
        <f t="shared" si="21"/>
        <v>5.7334259542339563</v>
      </c>
      <c r="U193">
        <f t="shared" si="22"/>
        <v>45.017803963865553</v>
      </c>
      <c r="V193">
        <f t="shared" si="23"/>
        <v>4.6549648063323579</v>
      </c>
    </row>
    <row r="194" spans="1:22" x14ac:dyDescent="0.3">
      <c r="A194" s="1">
        <v>43004</v>
      </c>
      <c r="B194" s="1">
        <v>43095</v>
      </c>
      <c r="C194">
        <v>315.68227367401101</v>
      </c>
      <c r="D194">
        <v>317.45000009536699</v>
      </c>
      <c r="E194">
        <v>311.8</v>
      </c>
      <c r="F194">
        <v>5.6500000953674299</v>
      </c>
      <c r="G194">
        <v>3.88227367401123</v>
      </c>
      <c r="H194">
        <v>5.6500000953674299</v>
      </c>
      <c r="J194" s="1">
        <v>43004</v>
      </c>
      <c r="K194">
        <v>317.45000009536699</v>
      </c>
      <c r="L194">
        <v>315.68227367401101</v>
      </c>
      <c r="M194">
        <v>323.48674755096431</v>
      </c>
      <c r="N194">
        <f t="shared" si="17"/>
        <v>319.58451061248763</v>
      </c>
      <c r="P194">
        <f t="shared" si="18"/>
        <v>1</v>
      </c>
      <c r="Q194">
        <f t="shared" si="19"/>
        <v>1</v>
      </c>
      <c r="R194">
        <f t="shared" si="20"/>
        <v>1</v>
      </c>
      <c r="T194">
        <f t="shared" si="21"/>
        <v>3.1248567007599979</v>
      </c>
      <c r="U194">
        <f t="shared" si="22"/>
        <v>36.442319842660737</v>
      </c>
      <c r="V194">
        <f t="shared" si="23"/>
        <v>4.5561351476986456</v>
      </c>
    </row>
    <row r="195" spans="1:22" x14ac:dyDescent="0.3">
      <c r="A195" s="1">
        <v>43005</v>
      </c>
      <c r="B195" s="1">
        <v>43096</v>
      </c>
      <c r="C195">
        <v>319.78743114471399</v>
      </c>
      <c r="D195">
        <v>321.20000019073399</v>
      </c>
      <c r="E195">
        <v>311.39999999999998</v>
      </c>
      <c r="F195">
        <v>9.8000001907348597</v>
      </c>
      <c r="G195">
        <v>8.3874311447143501</v>
      </c>
      <c r="H195">
        <v>9.8000001907348597</v>
      </c>
      <c r="J195" s="1">
        <v>43005</v>
      </c>
      <c r="K195">
        <v>321.20000019073399</v>
      </c>
      <c r="L195">
        <v>319.78743114471399</v>
      </c>
      <c r="M195">
        <v>318.6921357154846</v>
      </c>
      <c r="N195">
        <f t="shared" ref="N195:N258" si="24">AVERAGE(L195:M195)</f>
        <v>319.23978343009929</v>
      </c>
      <c r="P195">
        <f t="shared" ref="P195:P258" si="25">IF((E195-K195)*(E195-L195)&gt;0,1,0)</f>
        <v>1</v>
      </c>
      <c r="Q195">
        <f t="shared" ref="Q195:Q258" si="26">IF((E195-K195)*(E195-M195)&gt;0,1,0)</f>
        <v>1</v>
      </c>
      <c r="R195">
        <f t="shared" ref="R195:R258" si="27">IF((E195-K195)*(E195-N195)&gt;0,1,0)</f>
        <v>1</v>
      </c>
      <c r="T195">
        <f t="shared" si="21"/>
        <v>1.9953513097738422</v>
      </c>
      <c r="U195">
        <f t="shared" si="22"/>
        <v>6.2893842262179058</v>
      </c>
      <c r="V195">
        <f t="shared" si="23"/>
        <v>3.8424497486731726</v>
      </c>
    </row>
    <row r="196" spans="1:22" x14ac:dyDescent="0.3">
      <c r="A196" s="1">
        <v>43006</v>
      </c>
      <c r="B196" s="1">
        <v>43097</v>
      </c>
      <c r="C196">
        <v>317.76482448577798</v>
      </c>
      <c r="D196">
        <v>325.65000019073398</v>
      </c>
      <c r="E196">
        <v>311.60000000000002</v>
      </c>
      <c r="F196">
        <v>14.050000190734799</v>
      </c>
      <c r="G196">
        <v>6.1648244857787997</v>
      </c>
      <c r="H196">
        <v>14.050000190734799</v>
      </c>
      <c r="J196" s="1">
        <v>43006</v>
      </c>
      <c r="K196">
        <v>325.65000019073398</v>
      </c>
      <c r="L196">
        <v>317.76482448577798</v>
      </c>
      <c r="M196">
        <v>319.88782367706301</v>
      </c>
      <c r="N196">
        <f t="shared" si="24"/>
        <v>318.82632408142047</v>
      </c>
      <c r="P196">
        <f t="shared" si="25"/>
        <v>1</v>
      </c>
      <c r="Q196">
        <f t="shared" si="26"/>
        <v>1</v>
      </c>
      <c r="R196">
        <f t="shared" si="27"/>
        <v>1</v>
      </c>
      <c r="T196">
        <f t="shared" si="21"/>
        <v>62.175995898028319</v>
      </c>
      <c r="U196">
        <f t="shared" si="22"/>
        <v>33.202678174701283</v>
      </c>
      <c r="V196">
        <f t="shared" si="23"/>
        <v>46.562555644815966</v>
      </c>
    </row>
    <row r="197" spans="1:22" x14ac:dyDescent="0.3">
      <c r="A197" s="1">
        <v>43007</v>
      </c>
      <c r="B197" s="1">
        <v>43098</v>
      </c>
      <c r="C197">
        <v>318.610149669647</v>
      </c>
      <c r="D197">
        <v>325.650000381469</v>
      </c>
      <c r="E197">
        <v>314.3</v>
      </c>
      <c r="F197">
        <v>11.3500003814697</v>
      </c>
      <c r="G197">
        <v>4.3101496696472097</v>
      </c>
      <c r="H197">
        <v>11.3500003814697</v>
      </c>
      <c r="J197" s="1">
        <v>43007</v>
      </c>
      <c r="K197">
        <v>325.650000381469</v>
      </c>
      <c r="L197">
        <v>318.610149669647</v>
      </c>
      <c r="M197">
        <v>320.63547639846803</v>
      </c>
      <c r="N197">
        <f t="shared" si="24"/>
        <v>319.62281303405751</v>
      </c>
      <c r="P197">
        <f t="shared" si="25"/>
        <v>1</v>
      </c>
      <c r="Q197">
        <f t="shared" si="26"/>
        <v>1</v>
      </c>
      <c r="R197">
        <f t="shared" si="27"/>
        <v>1</v>
      </c>
      <c r="T197">
        <f t="shared" si="21"/>
        <v>49.559498044740693</v>
      </c>
      <c r="U197">
        <f t="shared" si="22"/>
        <v>25.145450776091913</v>
      </c>
      <c r="V197">
        <f t="shared" si="23"/>
        <v>36.32698732079708</v>
      </c>
    </row>
    <row r="198" spans="1:22" x14ac:dyDescent="0.3">
      <c r="A198" s="1">
        <v>43010</v>
      </c>
      <c r="B198" s="1">
        <v>43101</v>
      </c>
      <c r="C198">
        <v>329.02349739074702</v>
      </c>
      <c r="D198">
        <v>325.650000381469</v>
      </c>
      <c r="E198">
        <v>314.3</v>
      </c>
      <c r="F198">
        <v>11.3500003814697</v>
      </c>
      <c r="G198">
        <v>14.723497390746999</v>
      </c>
      <c r="H198">
        <v>11.3500003814697</v>
      </c>
      <c r="J198" s="1">
        <v>43010</v>
      </c>
      <c r="K198">
        <v>325.650000381469</v>
      </c>
      <c r="L198">
        <v>329.02349739074702</v>
      </c>
      <c r="M198">
        <v>323.02280502319337</v>
      </c>
      <c r="N198">
        <f t="shared" si="24"/>
        <v>326.02315120697017</v>
      </c>
      <c r="P198">
        <f t="shared" si="25"/>
        <v>1</v>
      </c>
      <c r="Q198">
        <f t="shared" si="26"/>
        <v>1</v>
      </c>
      <c r="R198">
        <f t="shared" si="27"/>
        <v>1</v>
      </c>
      <c r="T198">
        <f t="shared" si="21"/>
        <v>11.380482071607785</v>
      </c>
      <c r="U198">
        <f t="shared" si="22"/>
        <v>6.9021554505450062</v>
      </c>
      <c r="V198">
        <f t="shared" si="23"/>
        <v>0.13924153857220492</v>
      </c>
    </row>
    <row r="199" spans="1:22" x14ac:dyDescent="0.3">
      <c r="A199" s="1">
        <v>43011</v>
      </c>
      <c r="B199" s="1">
        <v>43102</v>
      </c>
      <c r="C199">
        <v>324.186120796203</v>
      </c>
      <c r="D199">
        <v>326.49999980926498</v>
      </c>
      <c r="E199">
        <v>314.3</v>
      </c>
      <c r="F199">
        <v>12.199999809265099</v>
      </c>
      <c r="G199">
        <v>9.8861207962036097</v>
      </c>
      <c r="H199">
        <v>12.199999809265099</v>
      </c>
      <c r="J199" s="1">
        <v>43011</v>
      </c>
      <c r="K199">
        <v>326.49999980926498</v>
      </c>
      <c r="L199">
        <v>324.186120796203</v>
      </c>
      <c r="M199">
        <v>321.2875774383545</v>
      </c>
      <c r="N199">
        <f t="shared" si="24"/>
        <v>322.73684911727878</v>
      </c>
      <c r="P199">
        <f t="shared" si="25"/>
        <v>1</v>
      </c>
      <c r="Q199">
        <f t="shared" si="26"/>
        <v>1</v>
      </c>
      <c r="R199">
        <f t="shared" si="27"/>
        <v>1</v>
      </c>
      <c r="T199">
        <f t="shared" si="21"/>
        <v>5.3540360870886738</v>
      </c>
      <c r="U199">
        <f t="shared" si="22"/>
        <v>27.169346972767968</v>
      </c>
      <c r="V199">
        <f t="shared" si="23"/>
        <v>14.161303130596199</v>
      </c>
    </row>
    <row r="200" spans="1:22" x14ac:dyDescent="0.3">
      <c r="A200" s="1">
        <v>43012</v>
      </c>
      <c r="B200" s="1">
        <v>43103</v>
      </c>
      <c r="C200">
        <v>324.844246673584</v>
      </c>
      <c r="D200">
        <v>327.69999961853</v>
      </c>
      <c r="E200">
        <v>314.3</v>
      </c>
      <c r="F200">
        <v>13.399999618530201</v>
      </c>
      <c r="G200">
        <v>10.544246673583901</v>
      </c>
      <c r="H200">
        <v>13.399999618530201</v>
      </c>
      <c r="J200" s="1">
        <v>43012</v>
      </c>
      <c r="K200">
        <v>327.69999961853</v>
      </c>
      <c r="L200">
        <v>324.844246673584</v>
      </c>
      <c r="M200">
        <v>323.76074676513673</v>
      </c>
      <c r="N200">
        <f t="shared" si="24"/>
        <v>324.30249671936036</v>
      </c>
      <c r="P200">
        <f t="shared" si="25"/>
        <v>1</v>
      </c>
      <c r="Q200">
        <f t="shared" si="26"/>
        <v>1</v>
      </c>
      <c r="R200">
        <f t="shared" si="27"/>
        <v>1</v>
      </c>
      <c r="T200">
        <f t="shared" si="21"/>
        <v>8.1553248825677791</v>
      </c>
      <c r="U200">
        <f t="shared" si="22"/>
        <v>15.517713042967022</v>
      </c>
      <c r="V200">
        <f t="shared" si="23"/>
        <v>11.543025949866093</v>
      </c>
    </row>
    <row r="201" spans="1:22" x14ac:dyDescent="0.3">
      <c r="A201" s="1">
        <v>43013</v>
      </c>
      <c r="B201" s="1">
        <v>43104</v>
      </c>
      <c r="C201">
        <v>319.043345737457</v>
      </c>
      <c r="D201">
        <v>324.99999980926498</v>
      </c>
      <c r="E201">
        <v>314.3</v>
      </c>
      <c r="F201">
        <v>10.699999809265099</v>
      </c>
      <c r="G201">
        <v>4.7433457374572701</v>
      </c>
      <c r="H201">
        <v>10.699999809265099</v>
      </c>
      <c r="J201" s="1">
        <v>43013</v>
      </c>
      <c r="K201">
        <v>324.99999980926498</v>
      </c>
      <c r="L201">
        <v>319.043345737457</v>
      </c>
      <c r="M201">
        <v>323.36464481353761</v>
      </c>
      <c r="N201">
        <f t="shared" si="24"/>
        <v>321.20399527549728</v>
      </c>
      <c r="P201">
        <f t="shared" si="25"/>
        <v>1</v>
      </c>
      <c r="Q201">
        <f t="shared" si="26"/>
        <v>1</v>
      </c>
      <c r="R201">
        <f t="shared" si="27"/>
        <v>1</v>
      </c>
      <c r="T201">
        <f t="shared" si="21"/>
        <v>35.481727731186531</v>
      </c>
      <c r="U201">
        <f t="shared" si="22"/>
        <v>2.6743859620504615</v>
      </c>
      <c r="V201">
        <f t="shared" si="23"/>
        <v>14.409650420384935</v>
      </c>
    </row>
    <row r="202" spans="1:22" x14ac:dyDescent="0.3">
      <c r="A202" s="1">
        <v>43014</v>
      </c>
      <c r="B202" s="1">
        <v>43105</v>
      </c>
      <c r="C202">
        <v>322.317290115356</v>
      </c>
      <c r="D202">
        <v>328.94999961853</v>
      </c>
      <c r="E202">
        <v>314.3</v>
      </c>
      <c r="F202">
        <v>14.649999618530201</v>
      </c>
      <c r="G202">
        <v>8.01729011535644</v>
      </c>
      <c r="H202">
        <v>14.649999618530201</v>
      </c>
      <c r="J202" s="1">
        <v>43014</v>
      </c>
      <c r="K202">
        <v>328.94999961853</v>
      </c>
      <c r="L202">
        <v>322.317290115356</v>
      </c>
      <c r="M202">
        <v>323.27219467163087</v>
      </c>
      <c r="N202">
        <f t="shared" si="24"/>
        <v>322.79474239349344</v>
      </c>
      <c r="P202">
        <f t="shared" si="25"/>
        <v>1</v>
      </c>
      <c r="Q202">
        <f t="shared" si="26"/>
        <v>1</v>
      </c>
      <c r="R202">
        <f t="shared" si="27"/>
        <v>1</v>
      </c>
      <c r="T202">
        <f t="shared" si="21"/>
        <v>43.992835353494669</v>
      </c>
      <c r="U202">
        <f t="shared" si="22"/>
        <v>32.237469015032232</v>
      </c>
      <c r="V202">
        <f t="shared" si="23"/>
        <v>37.887191506364829</v>
      </c>
    </row>
    <row r="203" spans="1:22" x14ac:dyDescent="0.3">
      <c r="A203" s="1">
        <v>43017</v>
      </c>
      <c r="B203" s="1">
        <v>43108</v>
      </c>
      <c r="C203">
        <v>321.15544157028199</v>
      </c>
      <c r="D203">
        <v>331.25000076293901</v>
      </c>
      <c r="E203">
        <v>314.3</v>
      </c>
      <c r="F203">
        <v>16.9500007629394</v>
      </c>
      <c r="G203">
        <v>6.8554415702819798</v>
      </c>
      <c r="H203">
        <v>16.9500007629394</v>
      </c>
      <c r="J203" s="1">
        <v>43017</v>
      </c>
      <c r="K203">
        <v>331.25000076293901</v>
      </c>
      <c r="L203">
        <v>321.15544157028199</v>
      </c>
      <c r="M203">
        <v>321.20473842620851</v>
      </c>
      <c r="N203">
        <f t="shared" si="24"/>
        <v>321.18008999824525</v>
      </c>
      <c r="P203">
        <f t="shared" si="25"/>
        <v>1</v>
      </c>
      <c r="Q203">
        <f t="shared" si="26"/>
        <v>1</v>
      </c>
      <c r="R203">
        <f t="shared" si="27"/>
        <v>1</v>
      </c>
      <c r="T203">
        <f t="shared" si="21"/>
        <v>101.90012529405627</v>
      </c>
      <c r="U203">
        <f t="shared" si="22"/>
        <v>100.90729541373635</v>
      </c>
      <c r="V203">
        <f t="shared" si="23"/>
        <v>101.40310280889526</v>
      </c>
    </row>
    <row r="204" spans="1:22" x14ac:dyDescent="0.3">
      <c r="A204" s="1">
        <v>43018</v>
      </c>
      <c r="B204" s="1">
        <v>43109</v>
      </c>
      <c r="C204">
        <v>320.88588955402298</v>
      </c>
      <c r="D204">
        <v>330.45000019073399</v>
      </c>
      <c r="E204">
        <v>320.14999999999998</v>
      </c>
      <c r="F204">
        <v>10.300000190734799</v>
      </c>
      <c r="G204">
        <v>0.73588955402374201</v>
      </c>
      <c r="H204">
        <v>10.300000190734799</v>
      </c>
      <c r="J204" s="1">
        <v>43018</v>
      </c>
      <c r="K204">
        <v>330.45000019073399</v>
      </c>
      <c r="L204">
        <v>320.88588955402298</v>
      </c>
      <c r="M204">
        <v>323.60005846023557</v>
      </c>
      <c r="N204">
        <f t="shared" si="24"/>
        <v>322.24297400712931</v>
      </c>
      <c r="P204">
        <f t="shared" si="25"/>
        <v>1</v>
      </c>
      <c r="Q204">
        <f t="shared" si="26"/>
        <v>1</v>
      </c>
      <c r="R204">
        <f t="shared" si="27"/>
        <v>1</v>
      </c>
      <c r="T204">
        <f t="shared" si="21"/>
        <v>91.472212271248623</v>
      </c>
      <c r="U204">
        <f t="shared" si="22"/>
        <v>46.921701711223619</v>
      </c>
      <c r="V204">
        <f t="shared" si="23"/>
        <v>67.355278778372835</v>
      </c>
    </row>
    <row r="205" spans="1:22" x14ac:dyDescent="0.3">
      <c r="A205" s="1">
        <v>43019</v>
      </c>
      <c r="B205" s="1">
        <v>43110</v>
      </c>
      <c r="C205">
        <v>316.58534288406298</v>
      </c>
      <c r="D205">
        <v>327.849999904632</v>
      </c>
      <c r="E205">
        <v>323.25</v>
      </c>
      <c r="F205">
        <v>-4.5999999046325604</v>
      </c>
      <c r="G205">
        <v>-6.6646571159362704</v>
      </c>
      <c r="H205">
        <v>4.5999999046325604</v>
      </c>
      <c r="J205" s="1">
        <v>43019</v>
      </c>
      <c r="K205">
        <v>327.849999904632</v>
      </c>
      <c r="L205">
        <v>316.58534288406298</v>
      </c>
      <c r="M205">
        <v>325.92366409301758</v>
      </c>
      <c r="N205">
        <f t="shared" si="24"/>
        <v>321.25450348854031</v>
      </c>
      <c r="P205">
        <f t="shared" si="25"/>
        <v>0</v>
      </c>
      <c r="Q205">
        <f t="shared" si="26"/>
        <v>1</v>
      </c>
      <c r="R205">
        <f t="shared" si="27"/>
        <v>0</v>
      </c>
      <c r="T205">
        <f t="shared" si="21"/>
        <v>126.89249779105486</v>
      </c>
      <c r="U205">
        <f t="shared" si="22"/>
        <v>3.7107696591081933</v>
      </c>
      <c r="V205">
        <f t="shared" si="23"/>
        <v>43.500572974678349</v>
      </c>
    </row>
    <row r="206" spans="1:22" x14ac:dyDescent="0.3">
      <c r="A206" s="1">
        <v>43020</v>
      </c>
      <c r="B206" s="1">
        <v>43111</v>
      </c>
      <c r="C206">
        <v>320.55977144241302</v>
      </c>
      <c r="D206">
        <v>326.50000002384098</v>
      </c>
      <c r="E206">
        <v>325.64999999999998</v>
      </c>
      <c r="F206">
        <v>-0.85000002384185702</v>
      </c>
      <c r="G206">
        <v>-5.0902285575866699</v>
      </c>
      <c r="H206">
        <v>0.85000002384185702</v>
      </c>
      <c r="J206" s="1">
        <v>43020</v>
      </c>
      <c r="K206">
        <v>326.50000002384098</v>
      </c>
      <c r="L206">
        <v>320.55977144241302</v>
      </c>
      <c r="M206">
        <v>327.16546072959898</v>
      </c>
      <c r="N206">
        <f t="shared" si="24"/>
        <v>323.86261608600603</v>
      </c>
      <c r="P206">
        <f t="shared" si="25"/>
        <v>0</v>
      </c>
      <c r="Q206">
        <f t="shared" si="26"/>
        <v>1</v>
      </c>
      <c r="R206">
        <f t="shared" si="27"/>
        <v>0</v>
      </c>
      <c r="T206">
        <f t="shared" si="21"/>
        <v>35.28631559961363</v>
      </c>
      <c r="U206">
        <f t="shared" si="22"/>
        <v>0.44283795090792716</v>
      </c>
      <c r="V206">
        <f t="shared" si="23"/>
        <v>6.9557940355498102</v>
      </c>
    </row>
    <row r="207" spans="1:22" x14ac:dyDescent="0.3">
      <c r="A207" s="1">
        <v>43021</v>
      </c>
      <c r="B207" s="1">
        <v>43112</v>
      </c>
      <c r="C207">
        <v>316.28410701751699</v>
      </c>
      <c r="D207">
        <v>326.84999995231601</v>
      </c>
      <c r="E207">
        <v>325.3</v>
      </c>
      <c r="F207">
        <v>-1.54999995231628</v>
      </c>
      <c r="G207">
        <v>-9.0158929824829102</v>
      </c>
      <c r="H207">
        <v>1.54999995231628</v>
      </c>
      <c r="J207" s="1">
        <v>43021</v>
      </c>
      <c r="K207">
        <v>326.84999995231601</v>
      </c>
      <c r="L207">
        <v>316.28410701751699</v>
      </c>
      <c r="M207">
        <v>323.33515565395356</v>
      </c>
      <c r="N207">
        <f t="shared" si="24"/>
        <v>319.80963133573528</v>
      </c>
      <c r="P207">
        <f t="shared" si="25"/>
        <v>0</v>
      </c>
      <c r="Q207">
        <f t="shared" si="26"/>
        <v>0</v>
      </c>
      <c r="R207">
        <f t="shared" si="27"/>
        <v>0</v>
      </c>
      <c r="T207">
        <f t="shared" si="21"/>
        <v>111.63809350963592</v>
      </c>
      <c r="U207">
        <f t="shared" si="22"/>
        <v>12.354130441731007</v>
      </c>
      <c r="V207">
        <f t="shared" si="23"/>
        <v>49.566790257334944</v>
      </c>
    </row>
    <row r="208" spans="1:22" x14ac:dyDescent="0.3">
      <c r="A208" s="1">
        <v>43024</v>
      </c>
      <c r="B208" s="1">
        <v>43115</v>
      </c>
      <c r="C208">
        <v>317.00119876861498</v>
      </c>
      <c r="D208">
        <v>327.299999952316</v>
      </c>
      <c r="E208">
        <v>325.5</v>
      </c>
      <c r="F208">
        <v>-1.79999995231628</v>
      </c>
      <c r="G208">
        <v>-8.4988012313842702</v>
      </c>
      <c r="H208">
        <v>1.79999995231628</v>
      </c>
      <c r="J208" s="1">
        <v>43024</v>
      </c>
      <c r="K208">
        <v>327.299999952316</v>
      </c>
      <c r="L208">
        <v>317.00119876861498</v>
      </c>
      <c r="M208">
        <v>323.02193641662598</v>
      </c>
      <c r="N208">
        <f t="shared" si="24"/>
        <v>320.01156759262051</v>
      </c>
      <c r="P208">
        <f t="shared" si="25"/>
        <v>0</v>
      </c>
      <c r="Q208">
        <f t="shared" si="26"/>
        <v>0</v>
      </c>
      <c r="R208">
        <f t="shared" si="27"/>
        <v>0</v>
      </c>
      <c r="T208">
        <f t="shared" si="21"/>
        <v>106.06530582140145</v>
      </c>
      <c r="U208">
        <f t="shared" si="22"/>
        <v>18.301827615400626</v>
      </c>
      <c r="V208">
        <f t="shared" si="23"/>
        <v>53.121246261856392</v>
      </c>
    </row>
    <row r="209" spans="1:22" x14ac:dyDescent="0.3">
      <c r="A209" s="1">
        <v>43025</v>
      </c>
      <c r="B209" s="1">
        <v>43116</v>
      </c>
      <c r="C209">
        <v>318.16510276794401</v>
      </c>
      <c r="D209">
        <v>330.49999980926498</v>
      </c>
      <c r="E209">
        <v>325.8</v>
      </c>
      <c r="F209">
        <v>-4.6999998092651296</v>
      </c>
      <c r="G209">
        <v>-7.6348972320556596</v>
      </c>
      <c r="H209">
        <v>4.6999998092651296</v>
      </c>
      <c r="J209" s="1">
        <v>43025</v>
      </c>
      <c r="K209">
        <v>330.49999980926498</v>
      </c>
      <c r="L209">
        <v>318.16510276794401</v>
      </c>
      <c r="M209">
        <v>323.85385327339174</v>
      </c>
      <c r="N209">
        <f t="shared" si="24"/>
        <v>321.00947802066787</v>
      </c>
      <c r="P209">
        <f t="shared" si="25"/>
        <v>0</v>
      </c>
      <c r="Q209">
        <f t="shared" si="26"/>
        <v>0</v>
      </c>
      <c r="R209">
        <f t="shared" si="27"/>
        <v>0</v>
      </c>
      <c r="T209">
        <f t="shared" ref="T209:T272" si="28">POWER(K209-L209,2)</f>
        <v>152.14968501998885</v>
      </c>
      <c r="U209">
        <f t="shared" ref="U209:U272" si="29">POWER(K209-M209,2)</f>
        <v>44.171263776299902</v>
      </c>
      <c r="V209">
        <f t="shared" ref="V209:V272" si="30">POWER(K209-N209,2)</f>
        <v>90.07000381983643</v>
      </c>
    </row>
    <row r="210" spans="1:22" x14ac:dyDescent="0.3">
      <c r="A210" s="1">
        <v>43026</v>
      </c>
      <c r="B210" s="1">
        <v>43117</v>
      </c>
      <c r="C210">
        <v>316.53460369110098</v>
      </c>
      <c r="D210">
        <v>329.19999990463202</v>
      </c>
      <c r="E210">
        <v>325.85000000000002</v>
      </c>
      <c r="F210">
        <v>-3.3499999046325599</v>
      </c>
      <c r="G210">
        <v>-9.3153963088989205</v>
      </c>
      <c r="H210">
        <v>3.3499999046325599</v>
      </c>
      <c r="J210" s="1">
        <v>43026</v>
      </c>
      <c r="K210">
        <v>329.19999990463202</v>
      </c>
      <c r="L210">
        <v>316.53460369110098</v>
      </c>
      <c r="M210">
        <v>323.98542795181277</v>
      </c>
      <c r="N210">
        <f t="shared" si="24"/>
        <v>320.26001582145688</v>
      </c>
      <c r="P210">
        <f t="shared" si="25"/>
        <v>0</v>
      </c>
      <c r="Q210">
        <f t="shared" si="26"/>
        <v>0</v>
      </c>
      <c r="R210">
        <f t="shared" si="27"/>
        <v>0</v>
      </c>
      <c r="T210">
        <f t="shared" si="28"/>
        <v>160.4122612457264</v>
      </c>
      <c r="U210">
        <f t="shared" si="29"/>
        <v>27.191760651129226</v>
      </c>
      <c r="V210">
        <f t="shared" si="30"/>
        <v>79.92331540742498</v>
      </c>
    </row>
    <row r="211" spans="1:22" x14ac:dyDescent="0.3">
      <c r="A211" s="1">
        <v>43027</v>
      </c>
      <c r="B211" s="1">
        <v>43118</v>
      </c>
      <c r="C211">
        <v>320.13290700912398</v>
      </c>
      <c r="D211">
        <v>329.40000019073398</v>
      </c>
      <c r="E211">
        <v>324.10000000000002</v>
      </c>
      <c r="F211">
        <v>-5.3000001907348597</v>
      </c>
      <c r="G211">
        <v>-3.9670929908752401</v>
      </c>
      <c r="H211">
        <v>5.3000001907348597</v>
      </c>
      <c r="J211" s="1">
        <v>43027</v>
      </c>
      <c r="K211">
        <v>329.40000019073398</v>
      </c>
      <c r="L211">
        <v>320.13290700912398</v>
      </c>
      <c r="M211">
        <v>322.71314070224764</v>
      </c>
      <c r="N211">
        <f t="shared" si="24"/>
        <v>321.42302385568581</v>
      </c>
      <c r="P211">
        <f t="shared" si="25"/>
        <v>0</v>
      </c>
      <c r="Q211">
        <f t="shared" si="26"/>
        <v>0</v>
      </c>
      <c r="R211">
        <f t="shared" si="27"/>
        <v>0</v>
      </c>
      <c r="T211">
        <f t="shared" si="28"/>
        <v>85.87901603664244</v>
      </c>
      <c r="U211">
        <f t="shared" si="29"/>
        <v>44.714089818759717</v>
      </c>
      <c r="V211">
        <f t="shared" si="30"/>
        <v>63.632151449918439</v>
      </c>
    </row>
    <row r="212" spans="1:22" x14ac:dyDescent="0.3">
      <c r="A212" s="1">
        <v>43028</v>
      </c>
      <c r="B212" s="1">
        <v>43119</v>
      </c>
      <c r="C212">
        <v>324.63711237907398</v>
      </c>
      <c r="D212">
        <v>329.599999904632</v>
      </c>
      <c r="E212">
        <v>326.25</v>
      </c>
      <c r="F212">
        <v>-3.3499999046325599</v>
      </c>
      <c r="G212">
        <v>-1.6128876209259</v>
      </c>
      <c r="H212">
        <v>3.3499999046325599</v>
      </c>
      <c r="J212" s="1">
        <v>43028</v>
      </c>
      <c r="K212">
        <v>329.599999904632</v>
      </c>
      <c r="L212">
        <v>324.63711237907398</v>
      </c>
      <c r="M212">
        <v>320.79508113861084</v>
      </c>
      <c r="N212">
        <f t="shared" si="24"/>
        <v>322.71609675884241</v>
      </c>
      <c r="P212">
        <f t="shared" si="25"/>
        <v>0</v>
      </c>
      <c r="Q212">
        <f t="shared" si="26"/>
        <v>0</v>
      </c>
      <c r="R212">
        <f t="shared" si="27"/>
        <v>0</v>
      </c>
      <c r="T212">
        <f t="shared" si="28"/>
        <v>24.630252591339378</v>
      </c>
      <c r="U212">
        <f t="shared" si="29"/>
        <v>77.526594476231594</v>
      </c>
      <c r="V212">
        <f t="shared" si="30"/>
        <v>47.388122520611795</v>
      </c>
    </row>
    <row r="213" spans="1:22" x14ac:dyDescent="0.3">
      <c r="A213" s="1">
        <v>43031</v>
      </c>
      <c r="B213" s="1">
        <v>43122</v>
      </c>
      <c r="C213">
        <v>324.18498234748802</v>
      </c>
      <c r="D213">
        <v>326.24999998807903</v>
      </c>
      <c r="E213">
        <v>327.05</v>
      </c>
      <c r="F213">
        <v>0.80000001192092896</v>
      </c>
      <c r="G213">
        <v>-2.86501765251159</v>
      </c>
      <c r="H213">
        <v>-0.80000001192092896</v>
      </c>
      <c r="J213" s="1">
        <v>43031</v>
      </c>
      <c r="K213">
        <v>326.24999998807903</v>
      </c>
      <c r="L213">
        <v>324.18498234748802</v>
      </c>
      <c r="M213">
        <v>321.05062322616578</v>
      </c>
      <c r="N213">
        <f t="shared" si="24"/>
        <v>322.61780278682693</v>
      </c>
      <c r="P213">
        <f t="shared" si="25"/>
        <v>1</v>
      </c>
      <c r="Q213">
        <f t="shared" si="26"/>
        <v>1</v>
      </c>
      <c r="R213">
        <f t="shared" si="27"/>
        <v>1</v>
      </c>
      <c r="T213">
        <f t="shared" si="28"/>
        <v>4.2642978559520568</v>
      </c>
      <c r="U213">
        <f t="shared" si="29"/>
        <v>27.033518712323438</v>
      </c>
      <c r="V213">
        <f t="shared" si="30"/>
        <v>13.192856508783569</v>
      </c>
    </row>
    <row r="214" spans="1:22" x14ac:dyDescent="0.3">
      <c r="A214" s="1">
        <v>43032</v>
      </c>
      <c r="B214" s="1">
        <v>43123</v>
      </c>
      <c r="C214">
        <v>328.78485970497098</v>
      </c>
      <c r="D214">
        <v>331.24999980926498</v>
      </c>
      <c r="E214">
        <v>326.55</v>
      </c>
      <c r="F214">
        <v>4.6999998092651296</v>
      </c>
      <c r="G214">
        <v>2.2348597049713099</v>
      </c>
      <c r="H214">
        <v>4.6999998092651296</v>
      </c>
      <c r="J214" s="1">
        <v>43032</v>
      </c>
      <c r="K214">
        <v>331.24999980926498</v>
      </c>
      <c r="L214">
        <v>328.78485970497098</v>
      </c>
      <c r="M214">
        <v>321.00816183090211</v>
      </c>
      <c r="N214">
        <f t="shared" si="24"/>
        <v>324.89651076793655</v>
      </c>
      <c r="P214">
        <f t="shared" si="25"/>
        <v>1</v>
      </c>
      <c r="Q214">
        <f t="shared" si="26"/>
        <v>0</v>
      </c>
      <c r="R214">
        <f t="shared" si="27"/>
        <v>0</v>
      </c>
      <c r="T214">
        <f t="shared" si="28"/>
        <v>6.0769157337986028</v>
      </c>
      <c r="U214">
        <f t="shared" si="29"/>
        <v>104.89524517503597</v>
      </c>
      <c r="V214">
        <f t="shared" si="30"/>
        <v>40.366822998280455</v>
      </c>
    </row>
    <row r="215" spans="1:22" x14ac:dyDescent="0.3">
      <c r="A215" s="1">
        <v>43033</v>
      </c>
      <c r="B215" s="1">
        <v>43124</v>
      </c>
      <c r="C215">
        <v>327.70708650350502</v>
      </c>
      <c r="D215">
        <v>331.599999904632</v>
      </c>
      <c r="E215">
        <v>326.75</v>
      </c>
      <c r="F215">
        <v>4.8499999046325604</v>
      </c>
      <c r="G215">
        <v>0.95708650350570601</v>
      </c>
      <c r="H215">
        <v>4.8499999046325604</v>
      </c>
      <c r="J215" s="1">
        <v>43033</v>
      </c>
      <c r="K215">
        <v>331.599999904632</v>
      </c>
      <c r="L215">
        <v>327.70708650350502</v>
      </c>
      <c r="M215">
        <v>321.51046705245972</v>
      </c>
      <c r="N215">
        <f t="shared" si="24"/>
        <v>324.60877677798237</v>
      </c>
      <c r="P215">
        <f t="shared" si="25"/>
        <v>1</v>
      </c>
      <c r="Q215">
        <f t="shared" si="26"/>
        <v>0</v>
      </c>
      <c r="R215">
        <f t="shared" si="27"/>
        <v>0</v>
      </c>
      <c r="T215">
        <f t="shared" si="28"/>
        <v>15.154774748673994</v>
      </c>
      <c r="U215">
        <f t="shared" si="29"/>
        <v>101.79867317506377</v>
      </c>
      <c r="V215">
        <f t="shared" si="30"/>
        <v>48.877200806600619</v>
      </c>
    </row>
    <row r="216" spans="1:22" x14ac:dyDescent="0.3">
      <c r="A216" s="1">
        <v>43034</v>
      </c>
      <c r="B216" s="1">
        <v>43125</v>
      </c>
      <c r="C216">
        <v>324.284129440784</v>
      </c>
      <c r="D216">
        <v>334.30000019073401</v>
      </c>
      <c r="E216">
        <v>323.75</v>
      </c>
      <c r="F216">
        <v>10.550000190734799</v>
      </c>
      <c r="G216">
        <v>0.53412944078445401</v>
      </c>
      <c r="H216">
        <v>10.550000190734799</v>
      </c>
      <c r="J216" s="1">
        <v>43034</v>
      </c>
      <c r="K216">
        <v>334.30000019073401</v>
      </c>
      <c r="L216">
        <v>324.284129440784</v>
      </c>
      <c r="M216">
        <v>319.17356634140015</v>
      </c>
      <c r="N216">
        <f t="shared" si="24"/>
        <v>321.72884789109207</v>
      </c>
      <c r="P216">
        <f t="shared" si="25"/>
        <v>1</v>
      </c>
      <c r="Q216">
        <f t="shared" si="26"/>
        <v>0</v>
      </c>
      <c r="R216">
        <f t="shared" si="27"/>
        <v>0</v>
      </c>
      <c r="T216">
        <f t="shared" si="28"/>
        <v>100.31766687970419</v>
      </c>
      <c r="U216">
        <f t="shared" si="29"/>
        <v>228.80900099827329</v>
      </c>
      <c r="V216">
        <f t="shared" si="30"/>
        <v>158.03387014079277</v>
      </c>
    </row>
    <row r="217" spans="1:22" x14ac:dyDescent="0.3">
      <c r="A217" s="1">
        <v>43035</v>
      </c>
      <c r="B217" s="1">
        <v>43126</v>
      </c>
      <c r="C217">
        <v>330.06317005157399</v>
      </c>
      <c r="D217">
        <v>335.95000038146901</v>
      </c>
      <c r="E217">
        <v>326.85000000000002</v>
      </c>
      <c r="F217">
        <v>9.1000003814697195</v>
      </c>
      <c r="G217">
        <v>3.2131700515746999</v>
      </c>
      <c r="H217">
        <v>9.1000003814697195</v>
      </c>
      <c r="J217" s="1">
        <v>43035</v>
      </c>
      <c r="K217">
        <v>335.95000038146901</v>
      </c>
      <c r="L217">
        <v>330.06317005157399</v>
      </c>
      <c r="M217">
        <v>310.52767333984383</v>
      </c>
      <c r="N217">
        <f t="shared" si="24"/>
        <v>320.29542169570891</v>
      </c>
      <c r="P217">
        <f t="shared" si="25"/>
        <v>1</v>
      </c>
      <c r="Q217">
        <f t="shared" si="26"/>
        <v>0</v>
      </c>
      <c r="R217">
        <f t="shared" si="27"/>
        <v>0</v>
      </c>
      <c r="T217">
        <f t="shared" si="28"/>
        <v>34.654771332971904</v>
      </c>
      <c r="U217">
        <f t="shared" si="29"/>
        <v>646.2947122113469</v>
      </c>
      <c r="V217">
        <f t="shared" si="30"/>
        <v>245.06583382865443</v>
      </c>
    </row>
    <row r="218" spans="1:22" x14ac:dyDescent="0.3">
      <c r="A218" s="1">
        <v>43038</v>
      </c>
      <c r="B218" s="1">
        <v>43129</v>
      </c>
      <c r="C218">
        <v>321.57897777557298</v>
      </c>
      <c r="D218">
        <v>338.500000190734</v>
      </c>
      <c r="E218">
        <v>327.45</v>
      </c>
      <c r="F218">
        <v>-11.050000190734799</v>
      </c>
      <c r="G218">
        <v>-5.8710222244262598</v>
      </c>
      <c r="H218">
        <v>11.050000190734799</v>
      </c>
      <c r="J218" s="1">
        <v>43038</v>
      </c>
      <c r="K218">
        <v>338.500000190734</v>
      </c>
      <c r="L218">
        <v>321.57897777557298</v>
      </c>
      <c r="M218">
        <v>318.0447561264038</v>
      </c>
      <c r="N218">
        <f t="shared" si="24"/>
        <v>319.81186695098836</v>
      </c>
      <c r="P218">
        <f t="shared" si="25"/>
        <v>0</v>
      </c>
      <c r="Q218">
        <f t="shared" si="26"/>
        <v>0</v>
      </c>
      <c r="R218">
        <f t="shared" si="27"/>
        <v>0</v>
      </c>
      <c r="T218">
        <f t="shared" si="28"/>
        <v>286.32099957438163</v>
      </c>
      <c r="U218">
        <f t="shared" si="29"/>
        <v>418.41700973131594</v>
      </c>
      <c r="V218">
        <f t="shared" si="30"/>
        <v>349.24632398648583</v>
      </c>
    </row>
    <row r="219" spans="1:22" x14ac:dyDescent="0.3">
      <c r="A219" s="1">
        <v>43039</v>
      </c>
      <c r="B219" s="1">
        <v>43130</v>
      </c>
      <c r="C219">
        <v>330.85602210760101</v>
      </c>
      <c r="D219">
        <v>333.89999990463201</v>
      </c>
      <c r="E219">
        <v>331.05</v>
      </c>
      <c r="F219">
        <v>-2.8499999046325599</v>
      </c>
      <c r="G219">
        <v>-0.19397789239883401</v>
      </c>
      <c r="H219">
        <v>2.8499999046325599</v>
      </c>
      <c r="J219" s="1">
        <v>43039</v>
      </c>
      <c r="K219">
        <v>333.89999990463201</v>
      </c>
      <c r="L219">
        <v>330.85602210760101</v>
      </c>
      <c r="M219">
        <v>318.07023315429689</v>
      </c>
      <c r="N219">
        <f t="shared" si="24"/>
        <v>324.46312763094897</v>
      </c>
      <c r="P219">
        <f t="shared" si="25"/>
        <v>0</v>
      </c>
      <c r="Q219">
        <f t="shared" si="26"/>
        <v>0</v>
      </c>
      <c r="R219">
        <f t="shared" si="27"/>
        <v>0</v>
      </c>
      <c r="T219">
        <f t="shared" si="28"/>
        <v>9.2658008288177278</v>
      </c>
      <c r="U219">
        <f t="shared" si="29"/>
        <v>250.58151537001547</v>
      </c>
      <c r="V219">
        <f t="shared" si="30"/>
        <v>89.054558309807646</v>
      </c>
    </row>
    <row r="220" spans="1:22" x14ac:dyDescent="0.3">
      <c r="A220" s="1">
        <v>43040</v>
      </c>
      <c r="B220" s="1">
        <v>43131</v>
      </c>
      <c r="C220">
        <v>335.64775072336198</v>
      </c>
      <c r="D220">
        <v>334.45000009536699</v>
      </c>
      <c r="E220">
        <v>336.55</v>
      </c>
      <c r="F220">
        <v>2.0999999046325599</v>
      </c>
      <c r="G220">
        <v>-0.90224927663803101</v>
      </c>
      <c r="H220">
        <v>-2.0999999046325599</v>
      </c>
      <c r="J220" s="1">
        <v>43040</v>
      </c>
      <c r="K220">
        <v>334.45000009536699</v>
      </c>
      <c r="L220">
        <v>335.64775072336198</v>
      </c>
      <c r="M220">
        <v>319.86672668457044</v>
      </c>
      <c r="N220">
        <f t="shared" si="24"/>
        <v>327.75723870396621</v>
      </c>
      <c r="P220">
        <f t="shared" si="25"/>
        <v>1</v>
      </c>
      <c r="Q220">
        <f t="shared" si="26"/>
        <v>1</v>
      </c>
      <c r="R220">
        <f t="shared" si="27"/>
        <v>1</v>
      </c>
      <c r="T220">
        <f t="shared" si="28"/>
        <v>1.434606566862398</v>
      </c>
      <c r="U220">
        <f t="shared" si="29"/>
        <v>212.67186337404567</v>
      </c>
      <c r="V220">
        <f t="shared" si="30"/>
        <v>44.793055042224893</v>
      </c>
    </row>
    <row r="221" spans="1:22" x14ac:dyDescent="0.3">
      <c r="A221" s="1">
        <v>43041</v>
      </c>
      <c r="B221" s="1">
        <v>43132</v>
      </c>
      <c r="C221">
        <v>330.35779027938798</v>
      </c>
      <c r="D221">
        <v>333.65000002384102</v>
      </c>
      <c r="E221">
        <v>335.05</v>
      </c>
      <c r="F221">
        <v>1.3999999761581401</v>
      </c>
      <c r="G221">
        <v>-4.6922097206115696</v>
      </c>
      <c r="H221">
        <v>-1.3999999761581401</v>
      </c>
      <c r="J221" s="1">
        <v>43041</v>
      </c>
      <c r="K221">
        <v>333.65000002384102</v>
      </c>
      <c r="L221">
        <v>330.35779027938798</v>
      </c>
      <c r="M221">
        <v>319.07554035186769</v>
      </c>
      <c r="N221">
        <f t="shared" si="24"/>
        <v>324.71666531562784</v>
      </c>
      <c r="P221">
        <f t="shared" si="25"/>
        <v>1</v>
      </c>
      <c r="Q221">
        <f t="shared" si="26"/>
        <v>1</v>
      </c>
      <c r="R221">
        <f t="shared" si="27"/>
        <v>1</v>
      </c>
      <c r="T221">
        <f t="shared" si="28"/>
        <v>10.8386450014715</v>
      </c>
      <c r="U221">
        <f t="shared" si="29"/>
        <v>212.41487472997693</v>
      </c>
      <c r="V221">
        <f t="shared" si="30"/>
        <v>79.804469008966279</v>
      </c>
    </row>
    <row r="222" spans="1:22" x14ac:dyDescent="0.3">
      <c r="A222" s="1">
        <v>43042</v>
      </c>
      <c r="B222" s="1">
        <v>43133</v>
      </c>
      <c r="C222">
        <v>327.40801200866701</v>
      </c>
      <c r="D222">
        <v>327.40000019073398</v>
      </c>
      <c r="E222">
        <v>336.35</v>
      </c>
      <c r="F222">
        <v>8.9499998092651296</v>
      </c>
      <c r="G222">
        <v>-8.9419879913330007</v>
      </c>
      <c r="H222">
        <v>-8.9499998092651296</v>
      </c>
      <c r="J222" s="1">
        <v>43042</v>
      </c>
      <c r="K222">
        <v>327.40000019073398</v>
      </c>
      <c r="L222">
        <v>327.40801200866701</v>
      </c>
      <c r="M222">
        <v>327.76281223297121</v>
      </c>
      <c r="N222">
        <f t="shared" si="24"/>
        <v>327.58541212081911</v>
      </c>
      <c r="P222">
        <f t="shared" si="25"/>
        <v>1</v>
      </c>
      <c r="Q222">
        <f t="shared" si="26"/>
        <v>1</v>
      </c>
      <c r="R222">
        <f t="shared" si="27"/>
        <v>1</v>
      </c>
      <c r="T222">
        <f t="shared" si="28"/>
        <v>6.4189226592155715E-5</v>
      </c>
      <c r="U222">
        <f t="shared" si="29"/>
        <v>0.13163257799235509</v>
      </c>
      <c r="V222">
        <f t="shared" si="30"/>
        <v>3.4377583817896108E-2</v>
      </c>
    </row>
    <row r="223" spans="1:22" x14ac:dyDescent="0.3">
      <c r="A223" s="1">
        <v>43045</v>
      </c>
      <c r="B223" s="1">
        <v>43136</v>
      </c>
      <c r="C223">
        <v>333.07142558097797</v>
      </c>
      <c r="D223">
        <v>323.00000038146902</v>
      </c>
      <c r="E223">
        <v>334.15</v>
      </c>
      <c r="F223">
        <v>11.149999618530201</v>
      </c>
      <c r="G223">
        <v>-1.0785744190216</v>
      </c>
      <c r="H223">
        <v>-11.149999618530201</v>
      </c>
      <c r="J223" s="1">
        <v>43045</v>
      </c>
      <c r="K223">
        <v>323.00000038146902</v>
      </c>
      <c r="L223">
        <v>333.07142558097797</v>
      </c>
      <c r="M223">
        <v>319.54456844329837</v>
      </c>
      <c r="N223">
        <f t="shared" si="24"/>
        <v>326.30799701213817</v>
      </c>
      <c r="P223">
        <f t="shared" si="25"/>
        <v>1</v>
      </c>
      <c r="Q223">
        <f t="shared" si="26"/>
        <v>1</v>
      </c>
      <c r="R223">
        <f t="shared" si="27"/>
        <v>1</v>
      </c>
      <c r="T223">
        <f t="shared" si="28"/>
        <v>101.43360554930392</v>
      </c>
      <c r="U223">
        <f t="shared" si="29"/>
        <v>11.940009879329759</v>
      </c>
      <c r="V223">
        <f t="shared" si="30"/>
        <v>10.942841708518459</v>
      </c>
    </row>
    <row r="224" spans="1:22" x14ac:dyDescent="0.3">
      <c r="A224" s="1">
        <v>43046</v>
      </c>
      <c r="B224" s="1">
        <v>43137</v>
      </c>
      <c r="C224">
        <v>329.68304204940699</v>
      </c>
      <c r="D224">
        <v>317.64999961852999</v>
      </c>
      <c r="E224">
        <v>333.75</v>
      </c>
      <c r="F224">
        <v>16.100000381469702</v>
      </c>
      <c r="G224">
        <v>-4.0669579505920401</v>
      </c>
      <c r="H224">
        <v>-16.100000381469702</v>
      </c>
      <c r="J224" s="1">
        <v>43046</v>
      </c>
      <c r="K224">
        <v>317.64999961852999</v>
      </c>
      <c r="L224">
        <v>329.68304204940699</v>
      </c>
      <c r="M224">
        <v>314.9152946472168</v>
      </c>
      <c r="N224">
        <f t="shared" si="24"/>
        <v>322.29916834831192</v>
      </c>
      <c r="P224">
        <f t="shared" si="25"/>
        <v>1</v>
      </c>
      <c r="Q224">
        <f t="shared" si="26"/>
        <v>1</v>
      </c>
      <c r="R224">
        <f t="shared" si="27"/>
        <v>1</v>
      </c>
      <c r="T224">
        <f t="shared" si="28"/>
        <v>144.79411014328633</v>
      </c>
      <c r="U224">
        <f t="shared" si="29"/>
        <v>7.4786112801250884</v>
      </c>
      <c r="V224">
        <f t="shared" si="30"/>
        <v>21.614769877982162</v>
      </c>
    </row>
    <row r="225" spans="1:22" x14ac:dyDescent="0.3">
      <c r="A225" s="1">
        <v>43047</v>
      </c>
      <c r="B225" s="1">
        <v>43138</v>
      </c>
      <c r="C225">
        <v>325.57569980621298</v>
      </c>
      <c r="D225">
        <v>309.5</v>
      </c>
      <c r="E225">
        <v>335.25</v>
      </c>
      <c r="F225">
        <v>25.75</v>
      </c>
      <c r="G225">
        <v>-9.6743001937866193</v>
      </c>
      <c r="H225">
        <v>-25.75</v>
      </c>
      <c r="J225" s="1">
        <v>43047</v>
      </c>
      <c r="K225">
        <v>309.5</v>
      </c>
      <c r="L225">
        <v>325.57569980621298</v>
      </c>
      <c r="M225">
        <v>314.36603736877453</v>
      </c>
      <c r="N225">
        <f t="shared" si="24"/>
        <v>319.97086858749378</v>
      </c>
      <c r="P225">
        <f t="shared" si="25"/>
        <v>1</v>
      </c>
      <c r="Q225">
        <f t="shared" si="26"/>
        <v>1</v>
      </c>
      <c r="R225">
        <f t="shared" si="27"/>
        <v>1</v>
      </c>
      <c r="T225">
        <f t="shared" si="28"/>
        <v>258.42812425947608</v>
      </c>
      <c r="U225">
        <f t="shared" si="29"/>
        <v>23.678319674310128</v>
      </c>
      <c r="V225">
        <f t="shared" si="30"/>
        <v>109.63908897656404</v>
      </c>
    </row>
    <row r="226" spans="1:22" x14ac:dyDescent="0.3">
      <c r="A226" s="1">
        <v>43048</v>
      </c>
      <c r="B226" s="1">
        <v>43139</v>
      </c>
      <c r="C226">
        <v>324.08157100677403</v>
      </c>
      <c r="D226">
        <v>312.50000038146902</v>
      </c>
      <c r="E226">
        <v>333.65</v>
      </c>
      <c r="F226">
        <v>21.149999618530199</v>
      </c>
      <c r="G226">
        <v>-9.5684289932250906</v>
      </c>
      <c r="H226">
        <v>-21.149999618530199</v>
      </c>
      <c r="J226" s="1">
        <v>43048</v>
      </c>
      <c r="K226">
        <v>312.50000038146902</v>
      </c>
      <c r="L226">
        <v>324.08157100677403</v>
      </c>
      <c r="M226">
        <v>313.92020072937015</v>
      </c>
      <c r="N226">
        <f t="shared" si="24"/>
        <v>319.00088586807209</v>
      </c>
      <c r="P226">
        <f t="shared" si="25"/>
        <v>1</v>
      </c>
      <c r="Q226">
        <f t="shared" si="26"/>
        <v>1</v>
      </c>
      <c r="R226">
        <f t="shared" si="27"/>
        <v>1</v>
      </c>
      <c r="T226">
        <f t="shared" si="28"/>
        <v>134.13277814892777</v>
      </c>
      <c r="U226">
        <f t="shared" si="29"/>
        <v>2.0169690281784893</v>
      </c>
      <c r="V226">
        <f t="shared" si="30"/>
        <v>42.2615121099264</v>
      </c>
    </row>
    <row r="227" spans="1:22" x14ac:dyDescent="0.3">
      <c r="A227" s="1">
        <v>43049</v>
      </c>
      <c r="B227" s="1">
        <v>43140</v>
      </c>
      <c r="C227">
        <v>323.84955730438202</v>
      </c>
      <c r="D227">
        <v>303.85000076293898</v>
      </c>
      <c r="E227">
        <v>332.9</v>
      </c>
      <c r="F227">
        <v>29.049999237060501</v>
      </c>
      <c r="G227">
        <v>-9.0504426956176705</v>
      </c>
      <c r="H227">
        <v>-29.049999237060501</v>
      </c>
      <c r="J227" s="1">
        <v>43049</v>
      </c>
      <c r="K227">
        <v>303.85000076293898</v>
      </c>
      <c r="L227">
        <v>323.84955730438202</v>
      </c>
      <c r="M227">
        <v>320.48363151550296</v>
      </c>
      <c r="N227">
        <f t="shared" si="24"/>
        <v>322.16659440994249</v>
      </c>
      <c r="P227">
        <f t="shared" si="25"/>
        <v>1</v>
      </c>
      <c r="Q227">
        <f t="shared" si="26"/>
        <v>1</v>
      </c>
      <c r="R227">
        <f t="shared" si="27"/>
        <v>1</v>
      </c>
      <c r="T227">
        <f t="shared" si="28"/>
        <v>399.98226185437716</v>
      </c>
      <c r="U227">
        <f t="shared" si="29"/>
        <v>276.6776720126424</v>
      </c>
      <c r="V227">
        <f t="shared" si="30"/>
        <v>335.49760282944953</v>
      </c>
    </row>
    <row r="228" spans="1:22" x14ac:dyDescent="0.3">
      <c r="A228" s="1">
        <v>43052</v>
      </c>
      <c r="B228" s="1">
        <v>43143</v>
      </c>
      <c r="C228">
        <v>315.46582679748502</v>
      </c>
      <c r="D228">
        <v>308.09999923705999</v>
      </c>
      <c r="E228">
        <v>331.55</v>
      </c>
      <c r="F228">
        <v>23.4500007629394</v>
      </c>
      <c r="G228">
        <v>-16.084173202514599</v>
      </c>
      <c r="H228">
        <v>-23.4500007629394</v>
      </c>
      <c r="J228" s="1">
        <v>43052</v>
      </c>
      <c r="K228">
        <v>308.09999923705999</v>
      </c>
      <c r="L228">
        <v>315.46582679748502</v>
      </c>
      <c r="M228">
        <v>314.34825973510749</v>
      </c>
      <c r="N228">
        <f t="shared" si="24"/>
        <v>314.90704326629623</v>
      </c>
      <c r="P228">
        <f t="shared" si="25"/>
        <v>1</v>
      </c>
      <c r="Q228">
        <f t="shared" si="26"/>
        <v>1</v>
      </c>
      <c r="R228">
        <f t="shared" si="27"/>
        <v>1</v>
      </c>
      <c r="T228">
        <f t="shared" si="28"/>
        <v>54.255415649916976</v>
      </c>
      <c r="U228">
        <f t="shared" si="29"/>
        <v>39.040759251460798</v>
      </c>
      <c r="V228">
        <f t="shared" si="30"/>
        <v>46.335848415960712</v>
      </c>
    </row>
    <row r="229" spans="1:22" x14ac:dyDescent="0.3">
      <c r="A229" s="1">
        <v>43053</v>
      </c>
      <c r="B229" s="1">
        <v>43144</v>
      </c>
      <c r="C229">
        <v>318.20787982940601</v>
      </c>
      <c r="D229">
        <v>311.400000381469</v>
      </c>
      <c r="E229">
        <v>331.3</v>
      </c>
      <c r="F229">
        <v>19.899999618530199</v>
      </c>
      <c r="G229">
        <v>-13.0921201705932</v>
      </c>
      <c r="H229">
        <v>-19.899999618530199</v>
      </c>
      <c r="J229" s="1">
        <v>43053</v>
      </c>
      <c r="K229">
        <v>311.400000381469</v>
      </c>
      <c r="L229">
        <v>318.20787982940601</v>
      </c>
      <c r="M229">
        <v>310.24863510131843</v>
      </c>
      <c r="N229">
        <f t="shared" si="24"/>
        <v>314.22825746536222</v>
      </c>
      <c r="P229">
        <f t="shared" si="25"/>
        <v>1</v>
      </c>
      <c r="Q229">
        <f t="shared" si="26"/>
        <v>1</v>
      </c>
      <c r="R229">
        <f t="shared" si="27"/>
        <v>1</v>
      </c>
      <c r="T229">
        <f t="shared" si="28"/>
        <v>46.347222577643151</v>
      </c>
      <c r="U229">
        <f t="shared" si="29"/>
        <v>1.3256420083362037</v>
      </c>
      <c r="V229">
        <f t="shared" si="30"/>
        <v>7.9990381325921813</v>
      </c>
    </row>
    <row r="230" spans="1:22" x14ac:dyDescent="0.3">
      <c r="A230" s="1">
        <v>43054</v>
      </c>
      <c r="B230" s="1">
        <v>43145</v>
      </c>
      <c r="C230">
        <v>314.94062366485502</v>
      </c>
      <c r="D230">
        <v>314.29999961853002</v>
      </c>
      <c r="E230">
        <v>329.15</v>
      </c>
      <c r="F230">
        <v>14.8500003814697</v>
      </c>
      <c r="G230">
        <v>-14.209376335144</v>
      </c>
      <c r="H230">
        <v>-14.8500003814697</v>
      </c>
      <c r="J230" s="1">
        <v>43054</v>
      </c>
      <c r="K230">
        <v>314.29999961853002</v>
      </c>
      <c r="L230">
        <v>314.94062366485502</v>
      </c>
      <c r="M230">
        <v>311.21934738159177</v>
      </c>
      <c r="N230">
        <f t="shared" si="24"/>
        <v>313.0799855232234</v>
      </c>
      <c r="P230">
        <f t="shared" si="25"/>
        <v>1</v>
      </c>
      <c r="Q230">
        <f t="shared" si="26"/>
        <v>1</v>
      </c>
      <c r="R230">
        <f t="shared" si="27"/>
        <v>1</v>
      </c>
      <c r="T230">
        <f t="shared" si="28"/>
        <v>0.41039916872981763</v>
      </c>
      <c r="U230">
        <f t="shared" si="29"/>
        <v>9.490418204952638</v>
      </c>
      <c r="V230">
        <f t="shared" si="30"/>
        <v>1.48843439274684</v>
      </c>
    </row>
    <row r="231" spans="1:22" x14ac:dyDescent="0.3">
      <c r="A231" s="1">
        <v>43055</v>
      </c>
      <c r="B231" s="1">
        <v>43146</v>
      </c>
      <c r="C231">
        <v>314.20072441101001</v>
      </c>
      <c r="D231">
        <v>314.3</v>
      </c>
      <c r="E231">
        <v>331.3</v>
      </c>
      <c r="F231">
        <v>17</v>
      </c>
      <c r="G231">
        <v>-17.099275588989201</v>
      </c>
      <c r="H231">
        <v>-17</v>
      </c>
      <c r="J231" s="1">
        <v>43055</v>
      </c>
      <c r="K231">
        <v>314.3</v>
      </c>
      <c r="L231">
        <v>314.20072441101001</v>
      </c>
      <c r="M231">
        <v>312.01042442321778</v>
      </c>
      <c r="N231">
        <f t="shared" si="24"/>
        <v>313.10557441711387</v>
      </c>
      <c r="P231">
        <f t="shared" si="25"/>
        <v>1</v>
      </c>
      <c r="Q231">
        <f t="shared" si="26"/>
        <v>1</v>
      </c>
      <c r="R231">
        <f t="shared" si="27"/>
        <v>1</v>
      </c>
      <c r="T231">
        <f t="shared" si="28"/>
        <v>9.8556425693107699E-3</v>
      </c>
      <c r="U231">
        <f t="shared" si="29"/>
        <v>5.2421563217976654</v>
      </c>
      <c r="V231">
        <f t="shared" si="30"/>
        <v>1.4266524730528956</v>
      </c>
    </row>
    <row r="232" spans="1:22" x14ac:dyDescent="0.3">
      <c r="A232" s="1">
        <v>43056</v>
      </c>
      <c r="B232" s="1">
        <v>43147</v>
      </c>
      <c r="C232">
        <v>322.610764694213</v>
      </c>
      <c r="D232">
        <v>314.30000038146898</v>
      </c>
      <c r="E232">
        <v>330.95</v>
      </c>
      <c r="F232">
        <v>16.649999618530199</v>
      </c>
      <c r="G232">
        <v>-8.3392353057861293</v>
      </c>
      <c r="H232">
        <v>-16.649999618530199</v>
      </c>
      <c r="J232" s="1">
        <v>43056</v>
      </c>
      <c r="K232">
        <v>314.30000038146898</v>
      </c>
      <c r="L232">
        <v>322.610764694213</v>
      </c>
      <c r="M232">
        <v>320.04088325500487</v>
      </c>
      <c r="N232">
        <f t="shared" si="24"/>
        <v>321.32582397460897</v>
      </c>
      <c r="P232">
        <f t="shared" si="25"/>
        <v>1</v>
      </c>
      <c r="Q232">
        <f t="shared" si="26"/>
        <v>1</v>
      </c>
      <c r="R232">
        <f t="shared" si="27"/>
        <v>1</v>
      </c>
      <c r="T232">
        <f t="shared" si="28"/>
        <v>69.068803461979698</v>
      </c>
      <c r="U232">
        <f t="shared" si="29"/>
        <v>32.957736167657757</v>
      </c>
      <c r="V232">
        <f t="shared" si="30"/>
        <v>49.362197161922509</v>
      </c>
    </row>
    <row r="233" spans="1:22" x14ac:dyDescent="0.3">
      <c r="A233" s="1">
        <v>43059</v>
      </c>
      <c r="B233" s="1">
        <v>43150</v>
      </c>
      <c r="C233">
        <v>319.696984481811</v>
      </c>
      <c r="D233">
        <v>316.250000190734</v>
      </c>
      <c r="E233">
        <v>329.45</v>
      </c>
      <c r="F233">
        <v>13.199999809265099</v>
      </c>
      <c r="G233">
        <v>-9.7530155181884695</v>
      </c>
      <c r="H233">
        <v>-13.199999809265099</v>
      </c>
      <c r="J233" s="1">
        <v>43059</v>
      </c>
      <c r="K233">
        <v>316.250000190734</v>
      </c>
      <c r="L233">
        <v>319.696984481811</v>
      </c>
      <c r="M233">
        <v>311.86463470458989</v>
      </c>
      <c r="N233">
        <f t="shared" si="24"/>
        <v>315.78080959320044</v>
      </c>
      <c r="P233">
        <f t="shared" si="25"/>
        <v>1</v>
      </c>
      <c r="Q233">
        <f t="shared" si="26"/>
        <v>1</v>
      </c>
      <c r="R233">
        <f t="shared" si="27"/>
        <v>1</v>
      </c>
      <c r="T233">
        <f t="shared" si="28"/>
        <v>11.881700702931617</v>
      </c>
      <c r="U233">
        <f t="shared" si="29"/>
        <v>19.231430447063968</v>
      </c>
      <c r="V233">
        <f t="shared" si="30"/>
        <v>0.22013981681389383</v>
      </c>
    </row>
    <row r="234" spans="1:22" x14ac:dyDescent="0.3">
      <c r="A234" s="1">
        <v>43060</v>
      </c>
      <c r="B234" s="1">
        <v>43151</v>
      </c>
      <c r="C234">
        <v>328.79856858253402</v>
      </c>
      <c r="D234">
        <v>311.99999961853001</v>
      </c>
      <c r="E234">
        <v>330.85</v>
      </c>
      <c r="F234">
        <v>18.850000381469702</v>
      </c>
      <c r="G234">
        <v>-2.05143141746521</v>
      </c>
      <c r="H234">
        <v>-18.850000381469702</v>
      </c>
      <c r="J234" s="1">
        <v>43060</v>
      </c>
      <c r="K234">
        <v>311.99999961853001</v>
      </c>
      <c r="L234">
        <v>328.79856858253402</v>
      </c>
      <c r="M234">
        <v>313.40551338195814</v>
      </c>
      <c r="N234">
        <f t="shared" si="24"/>
        <v>321.10204098224608</v>
      </c>
      <c r="P234">
        <f t="shared" si="25"/>
        <v>1</v>
      </c>
      <c r="Q234">
        <f t="shared" si="26"/>
        <v>1</v>
      </c>
      <c r="R234">
        <f t="shared" si="27"/>
        <v>1</v>
      </c>
      <c r="T234">
        <f t="shared" si="28"/>
        <v>282.19191923839861</v>
      </c>
      <c r="U234">
        <f t="shared" si="29"/>
        <v>1.9754689391859117</v>
      </c>
      <c r="V234">
        <f t="shared" si="30"/>
        <v>82.847156986798268</v>
      </c>
    </row>
    <row r="235" spans="1:22" x14ac:dyDescent="0.3">
      <c r="A235" s="1">
        <v>43061</v>
      </c>
      <c r="B235" s="1">
        <v>43152</v>
      </c>
      <c r="C235">
        <v>327.48184614181503</v>
      </c>
      <c r="D235">
        <v>314.05</v>
      </c>
      <c r="E235">
        <v>332.55</v>
      </c>
      <c r="F235">
        <v>18.5</v>
      </c>
      <c r="G235">
        <v>-5.06815385818481</v>
      </c>
      <c r="H235">
        <v>-18.5</v>
      </c>
      <c r="J235" s="1">
        <v>43061</v>
      </c>
      <c r="K235">
        <v>314.05</v>
      </c>
      <c r="L235">
        <v>327.48184614181503</v>
      </c>
      <c r="M235">
        <v>315.80381660461433</v>
      </c>
      <c r="N235">
        <f t="shared" si="24"/>
        <v>321.64283137321468</v>
      </c>
      <c r="P235">
        <f t="shared" si="25"/>
        <v>1</v>
      </c>
      <c r="Q235">
        <f t="shared" si="26"/>
        <v>1</v>
      </c>
      <c r="R235">
        <f t="shared" si="27"/>
        <v>1</v>
      </c>
      <c r="T235">
        <f t="shared" si="28"/>
        <v>180.41449077739091</v>
      </c>
      <c r="U235">
        <f t="shared" si="29"/>
        <v>3.0758726826208833</v>
      </c>
      <c r="V235">
        <f t="shared" si="30"/>
        <v>57.651088262072896</v>
      </c>
    </row>
    <row r="236" spans="1:22" x14ac:dyDescent="0.3">
      <c r="A236" s="1">
        <v>43062</v>
      </c>
      <c r="B236" s="1">
        <v>43153</v>
      </c>
      <c r="C236">
        <v>332.10332573652198</v>
      </c>
      <c r="D236">
        <v>311.84999961852998</v>
      </c>
      <c r="E236">
        <v>331.45</v>
      </c>
      <c r="F236">
        <v>-19.600000381469702</v>
      </c>
      <c r="G236">
        <v>0.65332573652267401</v>
      </c>
      <c r="H236">
        <v>-19.600000381469702</v>
      </c>
      <c r="J236" s="1">
        <v>43062</v>
      </c>
      <c r="K236">
        <v>311.84999961852998</v>
      </c>
      <c r="L236">
        <v>332.10332573652198</v>
      </c>
      <c r="M236">
        <v>316.56286067962651</v>
      </c>
      <c r="N236">
        <f t="shared" si="24"/>
        <v>324.33309320807427</v>
      </c>
      <c r="P236">
        <f t="shared" si="25"/>
        <v>0</v>
      </c>
      <c r="Q236">
        <f t="shared" si="26"/>
        <v>1</v>
      </c>
      <c r="R236">
        <f t="shared" si="27"/>
        <v>1</v>
      </c>
      <c r="T236">
        <f t="shared" si="28"/>
        <v>410.19721884173703</v>
      </c>
      <c r="U236">
        <f t="shared" si="29"/>
        <v>22.211059381199934</v>
      </c>
      <c r="V236">
        <f t="shared" si="30"/>
        <v>155.82762556532191</v>
      </c>
    </row>
    <row r="237" spans="1:22" x14ac:dyDescent="0.3">
      <c r="A237" s="1">
        <v>43063</v>
      </c>
      <c r="B237" s="1">
        <v>43154</v>
      </c>
      <c r="C237">
        <v>334.43523550033501</v>
      </c>
      <c r="D237">
        <v>316.94999980926502</v>
      </c>
      <c r="E237">
        <v>332.25</v>
      </c>
      <c r="F237">
        <v>-15.300000190734799</v>
      </c>
      <c r="G237">
        <v>2.1852355003356898</v>
      </c>
      <c r="H237">
        <v>-15.300000190734799</v>
      </c>
      <c r="J237" s="1">
        <v>43063</v>
      </c>
      <c r="K237">
        <v>316.94999980926502</v>
      </c>
      <c r="L237">
        <v>334.43523550033501</v>
      </c>
      <c r="M237">
        <v>322.2775411605835</v>
      </c>
      <c r="N237">
        <f t="shared" si="24"/>
        <v>328.35638833045925</v>
      </c>
      <c r="P237">
        <f t="shared" si="25"/>
        <v>0</v>
      </c>
      <c r="Q237">
        <f t="shared" si="26"/>
        <v>1</v>
      </c>
      <c r="R237">
        <f t="shared" si="27"/>
        <v>1</v>
      </c>
      <c r="T237">
        <f t="shared" si="28"/>
        <v>305.73346717226775</v>
      </c>
      <c r="U237">
        <f t="shared" si="29"/>
        <v>28.382696850008262</v>
      </c>
      <c r="V237">
        <f t="shared" si="30"/>
        <v>130.10569909643149</v>
      </c>
    </row>
    <row r="238" spans="1:22" x14ac:dyDescent="0.3">
      <c r="A238" s="1">
        <v>43066</v>
      </c>
      <c r="B238" s="1">
        <v>43157</v>
      </c>
      <c r="C238">
        <v>328.76705207824699</v>
      </c>
      <c r="D238">
        <v>317.099999809265</v>
      </c>
      <c r="E238">
        <v>325.89999999999998</v>
      </c>
      <c r="F238">
        <v>-8.8000001907348597</v>
      </c>
      <c r="G238">
        <v>2.8670520782470699</v>
      </c>
      <c r="H238">
        <v>-8.8000001907348597</v>
      </c>
      <c r="J238" s="1">
        <v>43066</v>
      </c>
      <c r="K238">
        <v>317.099999809265</v>
      </c>
      <c r="L238">
        <v>328.76705207824699</v>
      </c>
      <c r="M238">
        <v>312.18048992156986</v>
      </c>
      <c r="N238">
        <f t="shared" si="24"/>
        <v>320.47377099990842</v>
      </c>
      <c r="P238">
        <f t="shared" si="25"/>
        <v>0</v>
      </c>
      <c r="Q238">
        <f t="shared" si="26"/>
        <v>1</v>
      </c>
      <c r="R238">
        <f t="shared" si="27"/>
        <v>1</v>
      </c>
      <c r="T238">
        <f t="shared" si="28"/>
        <v>136.12010864715782</v>
      </c>
      <c r="U238">
        <f t="shared" si="29"/>
        <v>24.201577535130269</v>
      </c>
      <c r="V238">
        <f t="shared" si="30"/>
        <v>11.382332046815549</v>
      </c>
    </row>
    <row r="239" spans="1:22" x14ac:dyDescent="0.3">
      <c r="A239" s="1">
        <v>43067</v>
      </c>
      <c r="B239" s="1">
        <v>43158</v>
      </c>
      <c r="C239">
        <v>332.52466936111398</v>
      </c>
      <c r="D239">
        <v>315.750000190734</v>
      </c>
      <c r="E239">
        <v>327.7</v>
      </c>
      <c r="F239">
        <v>-11.949999809265099</v>
      </c>
      <c r="G239">
        <v>4.8246693611145002</v>
      </c>
      <c r="H239">
        <v>-11.949999809265099</v>
      </c>
      <c r="J239" s="1">
        <v>43067</v>
      </c>
      <c r="K239">
        <v>315.750000190734</v>
      </c>
      <c r="L239">
        <v>332.52466936111398</v>
      </c>
      <c r="M239">
        <v>309.39128799438481</v>
      </c>
      <c r="N239">
        <f t="shared" si="24"/>
        <v>320.9579786777494</v>
      </c>
      <c r="P239">
        <f t="shared" si="25"/>
        <v>0</v>
      </c>
      <c r="Q239">
        <f t="shared" si="26"/>
        <v>1</v>
      </c>
      <c r="R239">
        <f t="shared" si="27"/>
        <v>1</v>
      </c>
      <c r="T239">
        <f t="shared" si="28"/>
        <v>281.38952577569654</v>
      </c>
      <c r="U239">
        <f t="shared" si="29"/>
        <v>40.433220795999915</v>
      </c>
      <c r="V239">
        <f t="shared" si="30"/>
        <v>27.12303992121517</v>
      </c>
    </row>
    <row r="240" spans="1:22" x14ac:dyDescent="0.3">
      <c r="A240" s="1">
        <v>43068</v>
      </c>
      <c r="B240" s="1">
        <v>43159</v>
      </c>
      <c r="C240">
        <v>332.37556715011499</v>
      </c>
      <c r="D240">
        <v>312.45</v>
      </c>
      <c r="E240">
        <v>327.7</v>
      </c>
      <c r="F240">
        <v>-15.25</v>
      </c>
      <c r="G240">
        <v>4.6755671501159597</v>
      </c>
      <c r="H240">
        <v>-15.25</v>
      </c>
      <c r="J240" s="1">
        <v>43068</v>
      </c>
      <c r="K240">
        <v>312.45</v>
      </c>
      <c r="L240">
        <v>332.37556715011499</v>
      </c>
      <c r="M240">
        <v>311.52678985595708</v>
      </c>
      <c r="N240">
        <f t="shared" si="24"/>
        <v>321.95117850303603</v>
      </c>
      <c r="P240">
        <f t="shared" si="25"/>
        <v>0</v>
      </c>
      <c r="Q240">
        <f t="shared" si="26"/>
        <v>1</v>
      </c>
      <c r="R240">
        <f t="shared" si="27"/>
        <v>1</v>
      </c>
      <c r="T240">
        <f t="shared" si="28"/>
        <v>397.02822625374205</v>
      </c>
      <c r="U240">
        <f t="shared" si="29"/>
        <v>0.85231697006373419</v>
      </c>
      <c r="V240">
        <f t="shared" si="30"/>
        <v>90.272392946554248</v>
      </c>
    </row>
    <row r="241" spans="1:22" x14ac:dyDescent="0.3">
      <c r="A241" s="1">
        <v>43069</v>
      </c>
      <c r="B241" s="1">
        <v>43160</v>
      </c>
      <c r="C241">
        <v>313.57578754424998</v>
      </c>
      <c r="D241">
        <v>312.44999980926502</v>
      </c>
      <c r="E241">
        <v>322.25</v>
      </c>
      <c r="F241">
        <v>9.8000001907348597</v>
      </c>
      <c r="G241">
        <v>-8.6742124557495099</v>
      </c>
      <c r="H241">
        <v>-9.8000001907348597</v>
      </c>
      <c r="J241" s="1">
        <v>43069</v>
      </c>
      <c r="K241">
        <v>312.44999980926502</v>
      </c>
      <c r="L241">
        <v>313.57578754424998</v>
      </c>
      <c r="M241">
        <v>315.38427257537842</v>
      </c>
      <c r="N241">
        <f t="shared" si="24"/>
        <v>314.48003005981423</v>
      </c>
      <c r="P241">
        <f t="shared" si="25"/>
        <v>1</v>
      </c>
      <c r="Q241">
        <f t="shared" si="26"/>
        <v>1</v>
      </c>
      <c r="R241">
        <f t="shared" si="27"/>
        <v>1</v>
      </c>
      <c r="T241">
        <f t="shared" si="28"/>
        <v>1.2673980242425522</v>
      </c>
      <c r="U241">
        <f t="shared" si="29"/>
        <v>8.6099566659547548</v>
      </c>
      <c r="V241">
        <f t="shared" si="30"/>
        <v>4.1210228181448585</v>
      </c>
    </row>
    <row r="242" spans="1:22" x14ac:dyDescent="0.3">
      <c r="A242" s="1">
        <v>43070</v>
      </c>
      <c r="B242" s="1">
        <v>43161</v>
      </c>
      <c r="C242">
        <v>313.83400878906201</v>
      </c>
      <c r="D242">
        <v>308.15000019073398</v>
      </c>
      <c r="E242">
        <v>321.85000000000002</v>
      </c>
      <c r="F242">
        <v>13.699999809265099</v>
      </c>
      <c r="G242">
        <v>-8.0159912109375</v>
      </c>
      <c r="H242">
        <v>-13.699999809265099</v>
      </c>
      <c r="J242" s="1">
        <v>43070</v>
      </c>
      <c r="K242">
        <v>308.15000019073398</v>
      </c>
      <c r="L242">
        <v>313.83400878906201</v>
      </c>
      <c r="M242">
        <v>316.47424850463869</v>
      </c>
      <c r="N242">
        <f t="shared" si="24"/>
        <v>315.15412864685038</v>
      </c>
      <c r="P242">
        <f t="shared" si="25"/>
        <v>1</v>
      </c>
      <c r="Q242">
        <f t="shared" si="26"/>
        <v>1</v>
      </c>
      <c r="R242">
        <f t="shared" si="27"/>
        <v>1</v>
      </c>
      <c r="T242">
        <f t="shared" si="28"/>
        <v>32.307953745867032</v>
      </c>
      <c r="U242">
        <f t="shared" si="29"/>
        <v>69.293109991545549</v>
      </c>
      <c r="V242">
        <f t="shared" si="30"/>
        <v>49.057815429779573</v>
      </c>
    </row>
    <row r="243" spans="1:22" x14ac:dyDescent="0.3">
      <c r="A243" s="1">
        <v>43073</v>
      </c>
      <c r="B243" s="1">
        <v>43164</v>
      </c>
      <c r="C243">
        <v>320.83816385269103</v>
      </c>
      <c r="D243">
        <v>303.85000038146899</v>
      </c>
      <c r="E243">
        <v>325</v>
      </c>
      <c r="F243">
        <v>21.149999618530199</v>
      </c>
      <c r="G243">
        <v>-4.1618361473083496</v>
      </c>
      <c r="H243">
        <v>-21.149999618530199</v>
      </c>
      <c r="J243" s="1">
        <v>43073</v>
      </c>
      <c r="K243">
        <v>303.85000038146899</v>
      </c>
      <c r="L243">
        <v>320.83816385269103</v>
      </c>
      <c r="M243">
        <v>313.91983604431158</v>
      </c>
      <c r="N243">
        <f t="shared" si="24"/>
        <v>317.3789999485013</v>
      </c>
      <c r="P243">
        <f t="shared" si="25"/>
        <v>1</v>
      </c>
      <c r="Q243">
        <f t="shared" si="26"/>
        <v>1</v>
      </c>
      <c r="R243">
        <f t="shared" si="27"/>
        <v>1</v>
      </c>
      <c r="T243">
        <f t="shared" si="28"/>
        <v>288.59769812496279</v>
      </c>
      <c r="U243">
        <f t="shared" si="29"/>
        <v>101.40159027665652</v>
      </c>
      <c r="V243">
        <f t="shared" si="30"/>
        <v>183.03382928476057</v>
      </c>
    </row>
    <row r="244" spans="1:22" x14ac:dyDescent="0.3">
      <c r="A244" s="1">
        <v>43074</v>
      </c>
      <c r="B244" s="1">
        <v>43165</v>
      </c>
      <c r="C244">
        <v>320.663915252685</v>
      </c>
      <c r="D244">
        <v>310.30000076293902</v>
      </c>
      <c r="E244">
        <v>326.60000000000002</v>
      </c>
      <c r="F244">
        <v>16.299999237060501</v>
      </c>
      <c r="G244">
        <v>-5.9360847473144496</v>
      </c>
      <c r="H244">
        <v>-16.299999237060501</v>
      </c>
      <c r="J244" s="1">
        <v>43074</v>
      </c>
      <c r="K244">
        <v>310.30000076293902</v>
      </c>
      <c r="L244">
        <v>320.663915252685</v>
      </c>
      <c r="M244">
        <v>316.71985111236575</v>
      </c>
      <c r="N244">
        <f t="shared" si="24"/>
        <v>318.69188318252537</v>
      </c>
      <c r="P244">
        <f t="shared" si="25"/>
        <v>1</v>
      </c>
      <c r="Q244">
        <f t="shared" si="26"/>
        <v>1</v>
      </c>
      <c r="R244">
        <f t="shared" si="27"/>
        <v>1</v>
      </c>
      <c r="T244">
        <f t="shared" si="28"/>
        <v>107.41072355076668</v>
      </c>
      <c r="U244">
        <f t="shared" si="29"/>
        <v>41.214478509034436</v>
      </c>
      <c r="V244">
        <f t="shared" si="30"/>
        <v>70.423690544162483</v>
      </c>
    </row>
    <row r="245" spans="1:22" x14ac:dyDescent="0.3">
      <c r="A245" s="1">
        <v>43075</v>
      </c>
      <c r="B245" s="1">
        <v>43166</v>
      </c>
      <c r="C245">
        <v>322.35695382356602</v>
      </c>
      <c r="D245">
        <v>310.45000019073399</v>
      </c>
      <c r="E245">
        <v>321.64999999999998</v>
      </c>
      <c r="F245">
        <v>-11.199999809265099</v>
      </c>
      <c r="G245">
        <v>0.70695382356643599</v>
      </c>
      <c r="H245">
        <v>-11.199999809265099</v>
      </c>
      <c r="J245" s="1">
        <v>43075</v>
      </c>
      <c r="K245">
        <v>310.45000019073399</v>
      </c>
      <c r="L245">
        <v>322.35695382356602</v>
      </c>
      <c r="M245">
        <v>316.01758899688718</v>
      </c>
      <c r="N245">
        <f t="shared" si="24"/>
        <v>319.18727141022657</v>
      </c>
      <c r="P245">
        <f t="shared" si="25"/>
        <v>0</v>
      </c>
      <c r="Q245">
        <f t="shared" si="26"/>
        <v>1</v>
      </c>
      <c r="R245">
        <f t="shared" si="27"/>
        <v>1</v>
      </c>
      <c r="T245">
        <f t="shared" si="28"/>
        <v>141.77554481441183</v>
      </c>
      <c r="U245">
        <f t="shared" si="29"/>
        <v>30.998045114402373</v>
      </c>
      <c r="V245">
        <f t="shared" si="30"/>
        <v>76.339908362973418</v>
      </c>
    </row>
    <row r="246" spans="1:22" x14ac:dyDescent="0.3">
      <c r="A246" s="1">
        <v>43076</v>
      </c>
      <c r="B246" s="1">
        <v>43167</v>
      </c>
      <c r="C246">
        <v>322.13595886230399</v>
      </c>
      <c r="D246">
        <v>313.60000009536702</v>
      </c>
      <c r="E246">
        <v>320.7</v>
      </c>
      <c r="F246">
        <v>-7.0999999046325604</v>
      </c>
      <c r="G246">
        <v>1.43595886230468</v>
      </c>
      <c r="H246">
        <v>-7.0999999046325604</v>
      </c>
      <c r="J246" s="1">
        <v>43076</v>
      </c>
      <c r="K246">
        <v>313.60000009536702</v>
      </c>
      <c r="L246">
        <v>322.13595886230399</v>
      </c>
      <c r="M246">
        <v>315.41559286117553</v>
      </c>
      <c r="N246">
        <f t="shared" si="24"/>
        <v>318.77577586173976</v>
      </c>
      <c r="P246">
        <f t="shared" si="25"/>
        <v>0</v>
      </c>
      <c r="Q246">
        <f t="shared" si="26"/>
        <v>1</v>
      </c>
      <c r="R246">
        <f t="shared" si="27"/>
        <v>1</v>
      </c>
      <c r="T246">
        <f t="shared" si="28"/>
        <v>72.862592070848152</v>
      </c>
      <c r="U246">
        <f t="shared" si="29"/>
        <v>3.2963770912561712</v>
      </c>
      <c r="V246">
        <f t="shared" si="30"/>
        <v>26.7886547837713</v>
      </c>
    </row>
    <row r="247" spans="1:22" x14ac:dyDescent="0.3">
      <c r="A247" s="1">
        <v>43077</v>
      </c>
      <c r="B247" s="1">
        <v>43168</v>
      </c>
      <c r="C247">
        <v>317.84682407379103</v>
      </c>
      <c r="D247">
        <v>317.099999809265</v>
      </c>
      <c r="E247">
        <v>321.39999999999998</v>
      </c>
      <c r="F247">
        <v>4.3000001907348597</v>
      </c>
      <c r="G247">
        <v>-3.5531759262084899</v>
      </c>
      <c r="H247">
        <v>-4.3000001907348597</v>
      </c>
      <c r="J247" s="1">
        <v>43077</v>
      </c>
      <c r="K247">
        <v>317.099999809265</v>
      </c>
      <c r="L247">
        <v>317.84682407379103</v>
      </c>
      <c r="M247">
        <v>321.34519814476369</v>
      </c>
      <c r="N247">
        <f t="shared" si="24"/>
        <v>319.59601110927736</v>
      </c>
      <c r="P247">
        <f t="shared" si="25"/>
        <v>1</v>
      </c>
      <c r="Q247">
        <f t="shared" si="26"/>
        <v>1</v>
      </c>
      <c r="R247">
        <f t="shared" si="27"/>
        <v>1</v>
      </c>
      <c r="T247">
        <f t="shared" si="28"/>
        <v>0.5577464820848399</v>
      </c>
      <c r="U247">
        <f t="shared" si="29"/>
        <v>18.021708907720807</v>
      </c>
      <c r="V247">
        <f t="shared" si="30"/>
        <v>6.2300724097893694</v>
      </c>
    </row>
    <row r="248" spans="1:22" x14ac:dyDescent="0.3">
      <c r="A248" s="1">
        <v>43080</v>
      </c>
      <c r="B248" s="1">
        <v>43171</v>
      </c>
      <c r="C248">
        <v>314.164064884185</v>
      </c>
      <c r="D248">
        <v>320.10000002384101</v>
      </c>
      <c r="E248">
        <v>321.5</v>
      </c>
      <c r="F248">
        <v>1.3999999761581401</v>
      </c>
      <c r="G248">
        <v>-7.3359351158142001</v>
      </c>
      <c r="H248">
        <v>-1.3999999761581401</v>
      </c>
      <c r="J248" s="1">
        <v>43080</v>
      </c>
      <c r="K248">
        <v>320.10000002384101</v>
      </c>
      <c r="L248">
        <v>314.164064884185</v>
      </c>
      <c r="M248">
        <v>321.89827963709831</v>
      </c>
      <c r="N248">
        <f t="shared" si="24"/>
        <v>318.03117226064165</v>
      </c>
      <c r="P248">
        <f t="shared" si="25"/>
        <v>1</v>
      </c>
      <c r="Q248">
        <f t="shared" si="26"/>
        <v>0</v>
      </c>
      <c r="R248">
        <f t="shared" si="27"/>
        <v>1</v>
      </c>
      <c r="T248">
        <f t="shared" si="28"/>
        <v>35.235325982203015</v>
      </c>
      <c r="U248">
        <f t="shared" si="29"/>
        <v>3.2338095674568499</v>
      </c>
      <c r="V248">
        <f t="shared" si="30"/>
        <v>4.2800483137844321</v>
      </c>
    </row>
    <row r="249" spans="1:22" x14ac:dyDescent="0.3">
      <c r="A249" s="1">
        <v>43081</v>
      </c>
      <c r="B249" s="1">
        <v>43172</v>
      </c>
      <c r="C249">
        <v>316.02779073715197</v>
      </c>
      <c r="D249">
        <v>321.49999995231599</v>
      </c>
      <c r="E249">
        <v>320.45</v>
      </c>
      <c r="F249">
        <v>-1.04999995231628</v>
      </c>
      <c r="G249">
        <v>-4.4222092628479004</v>
      </c>
      <c r="H249">
        <v>1.04999995231628</v>
      </c>
      <c r="J249" s="1">
        <v>43081</v>
      </c>
      <c r="K249">
        <v>321.49999995231599</v>
      </c>
      <c r="L249">
        <v>316.02779073715197</v>
      </c>
      <c r="M249">
        <v>322.17110247611998</v>
      </c>
      <c r="N249">
        <f t="shared" si="24"/>
        <v>319.09944660663598</v>
      </c>
      <c r="P249">
        <f t="shared" si="25"/>
        <v>0</v>
      </c>
      <c r="Q249">
        <f t="shared" si="26"/>
        <v>1</v>
      </c>
      <c r="R249">
        <f t="shared" si="27"/>
        <v>0</v>
      </c>
      <c r="T249">
        <f t="shared" si="28"/>
        <v>29.945073694525956</v>
      </c>
      <c r="U249">
        <f t="shared" si="29"/>
        <v>0.45037859745609188</v>
      </c>
      <c r="V249">
        <f t="shared" si="30"/>
        <v>5.762656365455487</v>
      </c>
    </row>
    <row r="250" spans="1:22" x14ac:dyDescent="0.3">
      <c r="A250" s="1">
        <v>43082</v>
      </c>
      <c r="B250" s="1">
        <v>43173</v>
      </c>
      <c r="C250">
        <v>318.46329221725398</v>
      </c>
      <c r="D250">
        <v>321.550000047683</v>
      </c>
      <c r="E250">
        <v>322.85000000000002</v>
      </c>
      <c r="F250">
        <v>1.29999995231628</v>
      </c>
      <c r="G250">
        <v>-4.3867077827453604</v>
      </c>
      <c r="H250">
        <v>-1.29999995231628</v>
      </c>
      <c r="J250" s="1">
        <v>43082</v>
      </c>
      <c r="K250">
        <v>321.550000047683</v>
      </c>
      <c r="L250">
        <v>318.46329221725398</v>
      </c>
      <c r="M250">
        <v>324.66801879405978</v>
      </c>
      <c r="N250">
        <f t="shared" si="24"/>
        <v>321.56565550565688</v>
      </c>
      <c r="P250">
        <f t="shared" si="25"/>
        <v>1</v>
      </c>
      <c r="Q250">
        <f t="shared" si="26"/>
        <v>0</v>
      </c>
      <c r="R250">
        <f t="shared" si="27"/>
        <v>1</v>
      </c>
      <c r="T250">
        <f t="shared" si="28"/>
        <v>9.5277652304318288</v>
      </c>
      <c r="U250">
        <f t="shared" si="29"/>
        <v>9.7220409027570049</v>
      </c>
      <c r="V250">
        <f t="shared" si="30"/>
        <v>2.4509336437186427E-4</v>
      </c>
    </row>
    <row r="251" spans="1:22" x14ac:dyDescent="0.3">
      <c r="A251" s="1">
        <v>43083</v>
      </c>
      <c r="B251" s="1">
        <v>43174</v>
      </c>
      <c r="C251">
        <v>325.97658281326198</v>
      </c>
      <c r="D251">
        <v>322.84999995231601</v>
      </c>
      <c r="E251">
        <v>324.3</v>
      </c>
      <c r="F251">
        <v>-1.45000004768371</v>
      </c>
      <c r="G251">
        <v>1.6765828132629299</v>
      </c>
      <c r="H251">
        <v>-1.45000004768371</v>
      </c>
      <c r="J251" s="1">
        <v>43083</v>
      </c>
      <c r="K251">
        <v>322.84999995231601</v>
      </c>
      <c r="L251">
        <v>325.97658281326198</v>
      </c>
      <c r="M251">
        <v>326.31278686523439</v>
      </c>
      <c r="N251">
        <f t="shared" si="24"/>
        <v>326.14468483924816</v>
      </c>
      <c r="P251">
        <f t="shared" si="25"/>
        <v>0</v>
      </c>
      <c r="Q251">
        <f t="shared" si="26"/>
        <v>0</v>
      </c>
      <c r="R251">
        <f t="shared" si="27"/>
        <v>0</v>
      </c>
      <c r="T251">
        <f t="shared" si="28"/>
        <v>9.7755203863611069</v>
      </c>
      <c r="U251">
        <f t="shared" si="29"/>
        <v>11.99089320427877</v>
      </c>
      <c r="V251">
        <f t="shared" si="30"/>
        <v>10.854948504179086</v>
      </c>
    </row>
    <row r="252" spans="1:22" x14ac:dyDescent="0.3">
      <c r="A252" s="1">
        <v>43084</v>
      </c>
      <c r="B252" s="1">
        <v>43175</v>
      </c>
      <c r="C252">
        <v>326.184105873107</v>
      </c>
      <c r="D252">
        <v>322</v>
      </c>
      <c r="E252">
        <v>322.75</v>
      </c>
      <c r="F252">
        <v>-0.75</v>
      </c>
      <c r="G252">
        <v>3.4341058731079102</v>
      </c>
      <c r="H252">
        <v>-0.75</v>
      </c>
      <c r="J252" s="1">
        <v>43084</v>
      </c>
      <c r="K252">
        <v>322</v>
      </c>
      <c r="L252">
        <v>326.184105873107</v>
      </c>
      <c r="M252">
        <v>326.5137083530426</v>
      </c>
      <c r="N252">
        <f t="shared" si="24"/>
        <v>326.3489071130748</v>
      </c>
      <c r="P252">
        <f t="shared" si="25"/>
        <v>0</v>
      </c>
      <c r="Q252">
        <f t="shared" si="26"/>
        <v>0</v>
      </c>
      <c r="R252">
        <f t="shared" si="27"/>
        <v>0</v>
      </c>
      <c r="T252">
        <f t="shared" si="28"/>
        <v>17.506741957368497</v>
      </c>
      <c r="U252">
        <f t="shared" si="29"/>
        <v>20.373563096326563</v>
      </c>
      <c r="V252">
        <f t="shared" si="30"/>
        <v>18.912993078152606</v>
      </c>
    </row>
    <row r="253" spans="1:22" x14ac:dyDescent="0.3">
      <c r="A253" s="1">
        <v>43087</v>
      </c>
      <c r="B253" s="1">
        <v>43178</v>
      </c>
      <c r="C253">
        <v>329.45717754364</v>
      </c>
      <c r="D253">
        <v>319.849999809265</v>
      </c>
      <c r="E253">
        <v>324.14999999999998</v>
      </c>
      <c r="F253">
        <v>-4.3000001907348597</v>
      </c>
      <c r="G253">
        <v>5.3071775436401296</v>
      </c>
      <c r="H253">
        <v>-4.3000001907348597</v>
      </c>
      <c r="J253" s="1">
        <v>43087</v>
      </c>
      <c r="K253">
        <v>319.849999809265</v>
      </c>
      <c r="L253">
        <v>329.45717754364</v>
      </c>
      <c r="M253">
        <v>329.12858238220213</v>
      </c>
      <c r="N253">
        <f t="shared" si="24"/>
        <v>329.29287996292106</v>
      </c>
      <c r="P253">
        <f t="shared" si="25"/>
        <v>0</v>
      </c>
      <c r="Q253">
        <f t="shared" si="26"/>
        <v>0</v>
      </c>
      <c r="R253">
        <f t="shared" si="27"/>
        <v>0</v>
      </c>
      <c r="T253">
        <f t="shared" si="28"/>
        <v>92.297864019870758</v>
      </c>
      <c r="U253">
        <f t="shared" si="29"/>
        <v>86.09209456281252</v>
      </c>
      <c r="V253">
        <f t="shared" si="30"/>
        <v>89.167985596311553</v>
      </c>
    </row>
    <row r="254" spans="1:22" x14ac:dyDescent="0.3">
      <c r="A254" s="1">
        <v>43088</v>
      </c>
      <c r="B254" s="1">
        <v>43179</v>
      </c>
      <c r="C254">
        <v>334.01194057464602</v>
      </c>
      <c r="D254">
        <v>321.300000047683</v>
      </c>
      <c r="E254">
        <v>323.85000000000002</v>
      </c>
      <c r="F254">
        <v>-2.5499999523162802</v>
      </c>
      <c r="G254">
        <v>10.1619405746459</v>
      </c>
      <c r="H254">
        <v>-2.5499999523162802</v>
      </c>
      <c r="J254" s="1">
        <v>43088</v>
      </c>
      <c r="K254">
        <v>321.300000047683</v>
      </c>
      <c r="L254">
        <v>334.01194057464602</v>
      </c>
      <c r="M254">
        <v>328.99213895797732</v>
      </c>
      <c r="N254">
        <f t="shared" si="24"/>
        <v>331.50203976631167</v>
      </c>
      <c r="P254">
        <f t="shared" si="25"/>
        <v>0</v>
      </c>
      <c r="Q254">
        <f t="shared" si="26"/>
        <v>0</v>
      </c>
      <c r="R254">
        <f t="shared" si="27"/>
        <v>0</v>
      </c>
      <c r="T254">
        <f t="shared" si="28"/>
        <v>161.59343196104484</v>
      </c>
      <c r="U254">
        <f t="shared" si="29"/>
        <v>59.169001015263859</v>
      </c>
      <c r="V254">
        <f t="shared" si="30"/>
        <v>104.08161442047692</v>
      </c>
    </row>
    <row r="255" spans="1:22" x14ac:dyDescent="0.3">
      <c r="A255" s="1">
        <v>43089</v>
      </c>
      <c r="B255" s="1">
        <v>43180</v>
      </c>
      <c r="C255">
        <v>333.09265785217201</v>
      </c>
      <c r="D255">
        <v>321.59999995231601</v>
      </c>
      <c r="E255">
        <v>323.55</v>
      </c>
      <c r="F255">
        <v>-1.95000004768371</v>
      </c>
      <c r="G255">
        <v>9.5426578521728498</v>
      </c>
      <c r="H255">
        <v>-1.95000004768371</v>
      </c>
      <c r="J255" s="1">
        <v>43089</v>
      </c>
      <c r="K255">
        <v>321.59999995231601</v>
      </c>
      <c r="L255">
        <v>333.09265785217201</v>
      </c>
      <c r="M255">
        <v>328.15883903503419</v>
      </c>
      <c r="N255">
        <f t="shared" si="24"/>
        <v>330.62574844360313</v>
      </c>
      <c r="P255">
        <f t="shared" si="25"/>
        <v>0</v>
      </c>
      <c r="Q255">
        <f t="shared" si="26"/>
        <v>0</v>
      </c>
      <c r="R255">
        <f t="shared" si="27"/>
        <v>0</v>
      </c>
      <c r="T255">
        <f t="shared" si="28"/>
        <v>132.08118560312249</v>
      </c>
      <c r="U255">
        <f t="shared" si="29"/>
        <v>43.018370112991455</v>
      </c>
      <c r="V255">
        <f t="shared" si="30"/>
        <v>81.464135827971688</v>
      </c>
    </row>
    <row r="256" spans="1:22" x14ac:dyDescent="0.3">
      <c r="A256" s="1">
        <v>43090</v>
      </c>
      <c r="B256" s="1">
        <v>43181</v>
      </c>
      <c r="C256">
        <v>331.384556388855</v>
      </c>
      <c r="D256">
        <v>322.10000000000002</v>
      </c>
      <c r="E256">
        <v>316.85000000000002</v>
      </c>
      <c r="F256">
        <v>5.25</v>
      </c>
      <c r="G256">
        <v>14.534556388854901</v>
      </c>
      <c r="H256">
        <v>5.25</v>
      </c>
      <c r="J256" s="1">
        <v>43090</v>
      </c>
      <c r="K256">
        <v>322.10000000000002</v>
      </c>
      <c r="L256">
        <v>331.384556388855</v>
      </c>
      <c r="M256">
        <v>325.49782714843752</v>
      </c>
      <c r="N256">
        <f t="shared" si="24"/>
        <v>328.44119176864626</v>
      </c>
      <c r="P256">
        <f t="shared" si="25"/>
        <v>1</v>
      </c>
      <c r="Q256">
        <f t="shared" si="26"/>
        <v>1</v>
      </c>
      <c r="R256">
        <f t="shared" si="27"/>
        <v>1</v>
      </c>
      <c r="T256">
        <f t="shared" si="28"/>
        <v>86.202987337827835</v>
      </c>
      <c r="U256">
        <f t="shared" si="29"/>
        <v>11.545229330658913</v>
      </c>
      <c r="V256">
        <f t="shared" si="30"/>
        <v>40.210713046746832</v>
      </c>
    </row>
    <row r="257" spans="1:22" x14ac:dyDescent="0.3">
      <c r="A257" s="1">
        <v>43091</v>
      </c>
      <c r="B257" s="1">
        <v>43182</v>
      </c>
      <c r="C257">
        <v>330.35679054260203</v>
      </c>
      <c r="D257">
        <v>311.5</v>
      </c>
      <c r="E257">
        <v>318.5</v>
      </c>
      <c r="F257">
        <v>-7</v>
      </c>
      <c r="G257">
        <v>11.8567905426025</v>
      </c>
      <c r="H257">
        <v>-7</v>
      </c>
      <c r="J257" s="1">
        <v>43091</v>
      </c>
      <c r="K257">
        <v>311.5</v>
      </c>
      <c r="L257">
        <v>330.35679054260203</v>
      </c>
      <c r="M257">
        <v>326.23119831085205</v>
      </c>
      <c r="N257">
        <f t="shared" si="24"/>
        <v>328.29399442672707</v>
      </c>
      <c r="P257">
        <f t="shared" si="25"/>
        <v>0</v>
      </c>
      <c r="Q257">
        <f t="shared" si="26"/>
        <v>0</v>
      </c>
      <c r="R257">
        <f t="shared" si="27"/>
        <v>0</v>
      </c>
      <c r="T257">
        <f t="shared" si="28"/>
        <v>355.57854956756529</v>
      </c>
      <c r="U257">
        <f t="shared" si="29"/>
        <v>217.00820367365031</v>
      </c>
      <c r="V257">
        <f t="shared" si="30"/>
        <v>282.03824880493983</v>
      </c>
    </row>
    <row r="258" spans="1:22" x14ac:dyDescent="0.3">
      <c r="A258" s="1">
        <v>43094</v>
      </c>
      <c r="B258" s="1">
        <v>43185</v>
      </c>
      <c r="C258">
        <v>328.99069309234602</v>
      </c>
      <c r="D258">
        <v>314.5</v>
      </c>
      <c r="E258">
        <v>318.5</v>
      </c>
      <c r="F258">
        <v>-4</v>
      </c>
      <c r="G258">
        <v>10.490693092346101</v>
      </c>
      <c r="H258">
        <v>-4</v>
      </c>
      <c r="J258" s="1">
        <v>43094</v>
      </c>
      <c r="K258">
        <v>314.5</v>
      </c>
      <c r="L258">
        <v>328.99069309234602</v>
      </c>
      <c r="M258">
        <v>325.12783288955688</v>
      </c>
      <c r="N258">
        <f t="shared" si="24"/>
        <v>327.05926299095142</v>
      </c>
      <c r="P258">
        <f t="shared" si="25"/>
        <v>0</v>
      </c>
      <c r="Q258">
        <f t="shared" si="26"/>
        <v>0</v>
      </c>
      <c r="R258">
        <f t="shared" si="27"/>
        <v>0</v>
      </c>
      <c r="T258">
        <f t="shared" si="28"/>
        <v>209.98018629656468</v>
      </c>
      <c r="U258">
        <f t="shared" si="29"/>
        <v>112.95083192834704</v>
      </c>
      <c r="V258">
        <f t="shared" si="30"/>
        <v>157.73508687588213</v>
      </c>
    </row>
    <row r="259" spans="1:22" x14ac:dyDescent="0.3">
      <c r="A259" s="1">
        <v>43095</v>
      </c>
      <c r="B259" s="1">
        <v>43186</v>
      </c>
      <c r="C259">
        <v>328.20782394409099</v>
      </c>
      <c r="D259">
        <v>315.15000004768302</v>
      </c>
      <c r="E259">
        <v>317.45</v>
      </c>
      <c r="F259">
        <v>-2.2999999523162802</v>
      </c>
      <c r="G259">
        <v>10.757823944091699</v>
      </c>
      <c r="H259">
        <v>-2.2999999523162802</v>
      </c>
      <c r="J259" s="1">
        <v>43095</v>
      </c>
      <c r="K259">
        <v>315.15000004768302</v>
      </c>
      <c r="L259">
        <v>328.20782394409099</v>
      </c>
      <c r="M259">
        <v>324.95521135330199</v>
      </c>
      <c r="N259">
        <f t="shared" ref="N259:N322" si="31">AVERAGE(L259:M259)</f>
        <v>326.58151764869649</v>
      </c>
      <c r="P259">
        <f t="shared" ref="P259:P322" si="32">IF((E259-K259)*(E259-L259)&gt;0,1,0)</f>
        <v>0</v>
      </c>
      <c r="Q259">
        <f t="shared" ref="Q259:Q322" si="33">IF((E259-K259)*(E259-M259)&gt;0,1,0)</f>
        <v>0</v>
      </c>
      <c r="R259">
        <f t="shared" ref="R259:R322" si="34">IF((E259-K259)*(E259-N259)&gt;0,1,0)</f>
        <v>0</v>
      </c>
      <c r="T259">
        <f t="shared" si="28"/>
        <v>170.50676490960296</v>
      </c>
      <c r="U259">
        <f t="shared" si="29"/>
        <v>96.142168747838028</v>
      </c>
      <c r="V259">
        <f t="shared" si="30"/>
        <v>130.67959466228072</v>
      </c>
    </row>
    <row r="260" spans="1:22" x14ac:dyDescent="0.3">
      <c r="A260" s="1">
        <v>43096</v>
      </c>
      <c r="B260" s="1">
        <v>43187</v>
      </c>
      <c r="C260">
        <v>335.02354450225801</v>
      </c>
      <c r="D260">
        <v>310.64999980926501</v>
      </c>
      <c r="E260">
        <v>321.2</v>
      </c>
      <c r="F260">
        <v>-10.550000190734799</v>
      </c>
      <c r="G260">
        <v>13.823544502258301</v>
      </c>
      <c r="H260">
        <v>-10.550000190734799</v>
      </c>
      <c r="J260" s="1">
        <v>43096</v>
      </c>
      <c r="K260">
        <v>310.64999980926501</v>
      </c>
      <c r="L260">
        <v>335.02354450225801</v>
      </c>
      <c r="M260">
        <v>329.07462282180785</v>
      </c>
      <c r="N260">
        <f t="shared" si="31"/>
        <v>332.0490836620329</v>
      </c>
      <c r="P260">
        <f t="shared" si="32"/>
        <v>0</v>
      </c>
      <c r="Q260">
        <f t="shared" si="33"/>
        <v>0</v>
      </c>
      <c r="R260">
        <f t="shared" si="34"/>
        <v>0</v>
      </c>
      <c r="T260">
        <f t="shared" si="28"/>
        <v>594.06968090132693</v>
      </c>
      <c r="U260">
        <f t="shared" si="29"/>
        <v>339.46673315432315</v>
      </c>
      <c r="V260">
        <f t="shared" si="30"/>
        <v>457.92078973779132</v>
      </c>
    </row>
    <row r="261" spans="1:22" x14ac:dyDescent="0.3">
      <c r="A261" s="1">
        <v>43097</v>
      </c>
      <c r="B261" s="1">
        <v>43188</v>
      </c>
      <c r="C261">
        <v>329.72916212081901</v>
      </c>
      <c r="D261">
        <v>314.45000019073399</v>
      </c>
      <c r="E261">
        <v>325.64999999999998</v>
      </c>
      <c r="F261">
        <v>-11.199999809265099</v>
      </c>
      <c r="G261">
        <v>4.07916212081909</v>
      </c>
      <c r="H261">
        <v>-11.199999809265099</v>
      </c>
      <c r="J261" s="1">
        <v>43097</v>
      </c>
      <c r="K261">
        <v>314.45000019073399</v>
      </c>
      <c r="L261">
        <v>329.72916212081901</v>
      </c>
      <c r="M261">
        <v>328.94161310195921</v>
      </c>
      <c r="N261">
        <f t="shared" si="31"/>
        <v>329.33538761138914</v>
      </c>
      <c r="P261">
        <f t="shared" si="32"/>
        <v>0</v>
      </c>
      <c r="Q261">
        <f t="shared" si="33"/>
        <v>0</v>
      </c>
      <c r="R261">
        <f t="shared" si="34"/>
        <v>0</v>
      </c>
      <c r="T261">
        <f t="shared" si="28"/>
        <v>233.45278928575954</v>
      </c>
      <c r="U261">
        <f t="shared" si="29"/>
        <v>210.00684476878942</v>
      </c>
      <c r="V261">
        <f t="shared" si="30"/>
        <v>221.57475866299856</v>
      </c>
    </row>
    <row r="262" spans="1:22" x14ac:dyDescent="0.3">
      <c r="A262" s="1">
        <v>43098</v>
      </c>
      <c r="B262" s="1">
        <v>43189</v>
      </c>
      <c r="C262">
        <v>328.74677696228002</v>
      </c>
      <c r="D262">
        <v>314.54999961853002</v>
      </c>
      <c r="E262">
        <v>325.64999999999998</v>
      </c>
      <c r="F262">
        <v>-11.1000003814697</v>
      </c>
      <c r="G262">
        <v>3.0967769622802699</v>
      </c>
      <c r="H262">
        <v>-11.1000003814697</v>
      </c>
      <c r="J262" s="1">
        <v>43098</v>
      </c>
      <c r="K262">
        <v>314.54999961853002</v>
      </c>
      <c r="L262">
        <v>328.74677696228002</v>
      </c>
      <c r="M262">
        <v>327.46401991844175</v>
      </c>
      <c r="N262">
        <f t="shared" si="31"/>
        <v>328.10539844036089</v>
      </c>
      <c r="P262">
        <f t="shared" si="32"/>
        <v>0</v>
      </c>
      <c r="Q262">
        <f t="shared" si="33"/>
        <v>0</v>
      </c>
      <c r="R262">
        <f t="shared" si="34"/>
        <v>0</v>
      </c>
      <c r="T262">
        <f t="shared" si="28"/>
        <v>201.54848694801331</v>
      </c>
      <c r="U262">
        <f t="shared" si="29"/>
        <v>166.77192030653217</v>
      </c>
      <c r="V262">
        <f t="shared" si="30"/>
        <v>183.74883721889356</v>
      </c>
    </row>
    <row r="263" spans="1:22" x14ac:dyDescent="0.3">
      <c r="A263" s="1">
        <v>43101</v>
      </c>
      <c r="B263" s="1">
        <v>43192</v>
      </c>
      <c r="C263">
        <v>327.585827255249</v>
      </c>
      <c r="D263">
        <v>313.45000019073399</v>
      </c>
      <c r="E263">
        <v>325.64999999999998</v>
      </c>
      <c r="F263">
        <v>-12.199999809265099</v>
      </c>
      <c r="G263">
        <v>1.9358272552490201</v>
      </c>
      <c r="H263">
        <v>-12.199999809265099</v>
      </c>
      <c r="J263" s="1">
        <v>43101</v>
      </c>
      <c r="K263">
        <v>313.45000019073399</v>
      </c>
      <c r="L263">
        <v>327.585827255249</v>
      </c>
      <c r="M263">
        <v>332.73927202224729</v>
      </c>
      <c r="N263">
        <f t="shared" si="31"/>
        <v>330.16254963874815</v>
      </c>
      <c r="P263">
        <f t="shared" si="32"/>
        <v>0</v>
      </c>
      <c r="Q263">
        <f t="shared" si="33"/>
        <v>0</v>
      </c>
      <c r="R263">
        <f t="shared" si="34"/>
        <v>0</v>
      </c>
      <c r="T263">
        <f t="shared" si="28"/>
        <v>199.82160679787512</v>
      </c>
      <c r="U263">
        <f t="shared" si="29"/>
        <v>372.07600779001262</v>
      </c>
      <c r="V263">
        <f t="shared" si="30"/>
        <v>279.30930905231833</v>
      </c>
    </row>
    <row r="264" spans="1:22" x14ac:dyDescent="0.3">
      <c r="A264" s="1">
        <v>43102</v>
      </c>
      <c r="B264" s="1">
        <v>43193</v>
      </c>
      <c r="C264">
        <v>325.27494096755902</v>
      </c>
      <c r="D264">
        <v>312.80000019073401</v>
      </c>
      <c r="E264">
        <v>326.5</v>
      </c>
      <c r="F264">
        <v>13.699999809265099</v>
      </c>
      <c r="G264">
        <v>-1.22505903244018</v>
      </c>
      <c r="H264">
        <v>-13.699999809265099</v>
      </c>
      <c r="J264" s="1">
        <v>43102</v>
      </c>
      <c r="K264">
        <v>312.80000019073401</v>
      </c>
      <c r="L264">
        <v>325.27494096755902</v>
      </c>
      <c r="M264">
        <v>334.05628156661987</v>
      </c>
      <c r="N264">
        <f t="shared" si="31"/>
        <v>329.66561126708945</v>
      </c>
      <c r="P264">
        <f t="shared" si="32"/>
        <v>1</v>
      </c>
      <c r="Q264">
        <f t="shared" si="33"/>
        <v>0</v>
      </c>
      <c r="R264">
        <f t="shared" si="34"/>
        <v>0</v>
      </c>
      <c r="T264">
        <f t="shared" si="28"/>
        <v>155.62414738529134</v>
      </c>
      <c r="U264">
        <f t="shared" si="29"/>
        <v>451.82949793083219</v>
      </c>
      <c r="V264">
        <f t="shared" si="30"/>
        <v>284.44883697888315</v>
      </c>
    </row>
    <row r="265" spans="1:22" x14ac:dyDescent="0.3">
      <c r="A265" s="1">
        <v>43103</v>
      </c>
      <c r="B265" s="1">
        <v>43194</v>
      </c>
      <c r="C265">
        <v>327.186145496368</v>
      </c>
      <c r="D265">
        <v>307.55000038146898</v>
      </c>
      <c r="E265">
        <v>327.7</v>
      </c>
      <c r="F265">
        <v>20.149999618530199</v>
      </c>
      <c r="G265">
        <v>-0.51385450363159102</v>
      </c>
      <c r="H265">
        <v>-20.149999618530199</v>
      </c>
      <c r="J265" s="1">
        <v>43103</v>
      </c>
      <c r="K265">
        <v>307.55000038146898</v>
      </c>
      <c r="L265">
        <v>327.186145496368</v>
      </c>
      <c r="M265">
        <v>334.4352647781372</v>
      </c>
      <c r="N265">
        <f t="shared" si="31"/>
        <v>330.81070513725263</v>
      </c>
      <c r="P265">
        <f t="shared" si="32"/>
        <v>1</v>
      </c>
      <c r="Q265">
        <f t="shared" si="33"/>
        <v>0</v>
      </c>
      <c r="R265">
        <f t="shared" si="34"/>
        <v>0</v>
      </c>
      <c r="T265">
        <f t="shared" si="28"/>
        <v>385.57819497337277</v>
      </c>
      <c r="U265">
        <f t="shared" si="29"/>
        <v>722.81744167875581</v>
      </c>
      <c r="V265">
        <f t="shared" si="30"/>
        <v>541.06038573573608</v>
      </c>
    </row>
    <row r="266" spans="1:22" x14ac:dyDescent="0.3">
      <c r="A266" s="1">
        <v>43104</v>
      </c>
      <c r="B266" s="1">
        <v>43195</v>
      </c>
      <c r="C266">
        <v>322.10211873054499</v>
      </c>
      <c r="D266">
        <v>312.94999980926502</v>
      </c>
      <c r="E266">
        <v>325</v>
      </c>
      <c r="F266">
        <v>12.050000190734799</v>
      </c>
      <c r="G266">
        <v>-2.8978812694549498</v>
      </c>
      <c r="H266">
        <v>-12.050000190734799</v>
      </c>
      <c r="J266" s="1">
        <v>43104</v>
      </c>
      <c r="K266">
        <v>312.94999980926502</v>
      </c>
      <c r="L266">
        <v>322.10211873054499</v>
      </c>
      <c r="M266">
        <v>331.91579246520996</v>
      </c>
      <c r="N266">
        <f t="shared" si="31"/>
        <v>327.0089555978775</v>
      </c>
      <c r="P266">
        <f t="shared" si="32"/>
        <v>1</v>
      </c>
      <c r="Q266">
        <f t="shared" si="33"/>
        <v>0</v>
      </c>
      <c r="R266">
        <f t="shared" si="34"/>
        <v>0</v>
      </c>
      <c r="T266">
        <f t="shared" si="28"/>
        <v>83.76128074925073</v>
      </c>
      <c r="U266">
        <f t="shared" si="29"/>
        <v>359.70129106829495</v>
      </c>
      <c r="V266">
        <f t="shared" si="30"/>
        <v>197.65423786616034</v>
      </c>
    </row>
    <row r="267" spans="1:22" x14ac:dyDescent="0.3">
      <c r="A267" s="1">
        <v>43105</v>
      </c>
      <c r="B267" s="1">
        <v>43196</v>
      </c>
      <c r="C267">
        <v>321.60904283523502</v>
      </c>
      <c r="D267">
        <v>311.2</v>
      </c>
      <c r="E267">
        <v>328.95</v>
      </c>
      <c r="F267">
        <v>17.75</v>
      </c>
      <c r="G267">
        <v>-7.3409571647643999</v>
      </c>
      <c r="H267">
        <v>-17.75</v>
      </c>
      <c r="J267" s="1">
        <v>43105</v>
      </c>
      <c r="K267">
        <v>311.2</v>
      </c>
      <c r="L267">
        <v>321.60904283523502</v>
      </c>
      <c r="M267">
        <v>328.33149893283843</v>
      </c>
      <c r="N267">
        <f t="shared" si="31"/>
        <v>324.97027088403672</v>
      </c>
      <c r="P267">
        <f t="shared" si="32"/>
        <v>1</v>
      </c>
      <c r="Q267">
        <f t="shared" si="33"/>
        <v>1</v>
      </c>
      <c r="R267">
        <f t="shared" si="34"/>
        <v>1</v>
      </c>
      <c r="T267">
        <f t="shared" si="28"/>
        <v>108.34817274575765</v>
      </c>
      <c r="U267">
        <f t="shared" si="29"/>
        <v>293.48825568584459</v>
      </c>
      <c r="V267">
        <f t="shared" si="30"/>
        <v>189.62036021974981</v>
      </c>
    </row>
    <row r="268" spans="1:22" x14ac:dyDescent="0.3">
      <c r="A268" s="1">
        <v>43108</v>
      </c>
      <c r="B268" s="1">
        <v>43199</v>
      </c>
      <c r="C268">
        <v>327.13708162307699</v>
      </c>
      <c r="D268">
        <v>312.950000762939</v>
      </c>
      <c r="E268">
        <v>331.25</v>
      </c>
      <c r="F268">
        <v>18.299999237060501</v>
      </c>
      <c r="G268">
        <v>-4.1129183769226003</v>
      </c>
      <c r="H268">
        <v>-18.299999237060501</v>
      </c>
      <c r="J268" s="1">
        <v>43108</v>
      </c>
      <c r="K268">
        <v>312.950000762939</v>
      </c>
      <c r="L268">
        <v>327.13708162307699</v>
      </c>
      <c r="M268">
        <v>333.3486340045929</v>
      </c>
      <c r="N268">
        <f t="shared" si="31"/>
        <v>330.24285781383492</v>
      </c>
      <c r="P268">
        <f t="shared" si="32"/>
        <v>1</v>
      </c>
      <c r="Q268">
        <f t="shared" si="33"/>
        <v>0</v>
      </c>
      <c r="R268">
        <f t="shared" si="34"/>
        <v>1</v>
      </c>
      <c r="T268">
        <f t="shared" si="28"/>
        <v>201.27326333209388</v>
      </c>
      <c r="U268">
        <f t="shared" si="29"/>
        <v>416.10423812750736</v>
      </c>
      <c r="V268">
        <f t="shared" si="30"/>
        <v>299.0429049827207</v>
      </c>
    </row>
    <row r="269" spans="1:22" x14ac:dyDescent="0.3">
      <c r="A269" s="1">
        <v>43109</v>
      </c>
      <c r="B269" s="1">
        <v>43200</v>
      </c>
      <c r="C269">
        <v>323.49140138626097</v>
      </c>
      <c r="D269">
        <v>313.45</v>
      </c>
      <c r="E269">
        <v>330.45</v>
      </c>
      <c r="F269">
        <v>17</v>
      </c>
      <c r="G269">
        <v>-6.9585986137390101</v>
      </c>
      <c r="H269">
        <v>-17</v>
      </c>
      <c r="J269" s="1">
        <v>43109</v>
      </c>
      <c r="K269">
        <v>313.45</v>
      </c>
      <c r="L269">
        <v>323.49140138626097</v>
      </c>
      <c r="M269">
        <v>326.04534788131713</v>
      </c>
      <c r="N269">
        <f t="shared" si="31"/>
        <v>324.76837463378905</v>
      </c>
      <c r="P269">
        <f t="shared" si="32"/>
        <v>1</v>
      </c>
      <c r="Q269">
        <f t="shared" si="33"/>
        <v>1</v>
      </c>
      <c r="R269">
        <f t="shared" si="34"/>
        <v>1</v>
      </c>
      <c r="T269">
        <f t="shared" si="28"/>
        <v>100.82974180000406</v>
      </c>
      <c r="U269">
        <f t="shared" si="29"/>
        <v>158.64278825140013</v>
      </c>
      <c r="V269">
        <f t="shared" si="30"/>
        <v>128.10560435079969</v>
      </c>
    </row>
    <row r="270" spans="1:22" x14ac:dyDescent="0.3">
      <c r="A270" s="1">
        <v>43110</v>
      </c>
      <c r="B270" s="1">
        <v>43201</v>
      </c>
      <c r="C270">
        <v>327.657283103466</v>
      </c>
      <c r="D270">
        <v>312.45000038146901</v>
      </c>
      <c r="E270">
        <v>327.85</v>
      </c>
      <c r="F270">
        <v>15.399999618530201</v>
      </c>
      <c r="G270">
        <v>-0.19271689653396601</v>
      </c>
      <c r="H270">
        <v>-15.399999618530201</v>
      </c>
      <c r="J270" s="1">
        <v>43110</v>
      </c>
      <c r="K270">
        <v>312.45000038146901</v>
      </c>
      <c r="L270">
        <v>327.657283103466</v>
      </c>
      <c r="M270">
        <v>326.48124740123751</v>
      </c>
      <c r="N270">
        <f t="shared" si="31"/>
        <v>327.06926525235178</v>
      </c>
      <c r="P270">
        <f t="shared" si="32"/>
        <v>1</v>
      </c>
      <c r="Q270">
        <f t="shared" si="33"/>
        <v>1</v>
      </c>
      <c r="R270">
        <f t="shared" si="34"/>
        <v>1</v>
      </c>
      <c r="T270">
        <f t="shared" si="28"/>
        <v>231.26144778674816</v>
      </c>
      <c r="U270">
        <f t="shared" si="29"/>
        <v>196.87589292976241</v>
      </c>
      <c r="V270">
        <f t="shared" si="30"/>
        <v>213.72290536502712</v>
      </c>
    </row>
    <row r="271" spans="1:22" x14ac:dyDescent="0.3">
      <c r="A271" s="1">
        <v>43111</v>
      </c>
      <c r="B271" s="1">
        <v>43202</v>
      </c>
      <c r="C271">
        <v>328.02805519103998</v>
      </c>
      <c r="D271">
        <v>311.75</v>
      </c>
      <c r="E271">
        <v>326.5</v>
      </c>
      <c r="F271">
        <v>-14.75</v>
      </c>
      <c r="G271">
        <v>1.52805519104003</v>
      </c>
      <c r="H271">
        <v>-14.75</v>
      </c>
      <c r="J271" s="1">
        <v>43111</v>
      </c>
      <c r="K271">
        <v>311.75</v>
      </c>
      <c r="L271">
        <v>328.02805519103998</v>
      </c>
      <c r="M271">
        <v>322.09840440750122</v>
      </c>
      <c r="N271">
        <f t="shared" si="31"/>
        <v>325.06322979927063</v>
      </c>
      <c r="P271">
        <f t="shared" si="32"/>
        <v>0</v>
      </c>
      <c r="Q271">
        <f t="shared" si="33"/>
        <v>1</v>
      </c>
      <c r="R271">
        <f t="shared" si="34"/>
        <v>1</v>
      </c>
      <c r="T271">
        <f t="shared" si="28"/>
        <v>264.97508080254369</v>
      </c>
      <c r="U271">
        <f t="shared" si="29"/>
        <v>107.08947378119069</v>
      </c>
      <c r="V271">
        <f t="shared" si="30"/>
        <v>177.2420876881875</v>
      </c>
    </row>
    <row r="272" spans="1:22" x14ac:dyDescent="0.3">
      <c r="A272" s="1">
        <v>43112</v>
      </c>
      <c r="B272" s="1">
        <v>43203</v>
      </c>
      <c r="C272">
        <v>326.100898063182</v>
      </c>
      <c r="D272">
        <v>314.45000038146901</v>
      </c>
      <c r="E272">
        <v>326.85000000000002</v>
      </c>
      <c r="F272">
        <v>12.399999618530201</v>
      </c>
      <c r="G272">
        <v>-0.74910193681716897</v>
      </c>
      <c r="H272">
        <v>-12.399999618530201</v>
      </c>
      <c r="J272" s="1">
        <v>43112</v>
      </c>
      <c r="K272">
        <v>314.45000038146901</v>
      </c>
      <c r="L272">
        <v>326.100898063182</v>
      </c>
      <c r="M272">
        <v>314.9530282974244</v>
      </c>
      <c r="N272">
        <f t="shared" si="31"/>
        <v>320.5269631803032</v>
      </c>
      <c r="P272">
        <f t="shared" si="32"/>
        <v>1</v>
      </c>
      <c r="Q272">
        <f t="shared" si="33"/>
        <v>1</v>
      </c>
      <c r="R272">
        <f t="shared" si="34"/>
        <v>1</v>
      </c>
      <c r="T272">
        <f t="shared" si="28"/>
        <v>135.74341678974514</v>
      </c>
      <c r="U272">
        <f t="shared" si="29"/>
        <v>0.25303708423041854</v>
      </c>
      <c r="V272">
        <f t="shared" si="30"/>
        <v>36.929476858414652</v>
      </c>
    </row>
    <row r="273" spans="1:22" x14ac:dyDescent="0.3">
      <c r="A273" s="1">
        <v>43115</v>
      </c>
      <c r="B273" s="1">
        <v>43206</v>
      </c>
      <c r="C273">
        <v>329.63855986595098</v>
      </c>
      <c r="D273">
        <v>314.3</v>
      </c>
      <c r="E273">
        <v>327.3</v>
      </c>
      <c r="F273">
        <v>-13</v>
      </c>
      <c r="G273">
        <v>2.3385598659515301</v>
      </c>
      <c r="H273">
        <v>-13</v>
      </c>
      <c r="J273" s="1">
        <v>43115</v>
      </c>
      <c r="K273">
        <v>314.3</v>
      </c>
      <c r="L273">
        <v>329.63855986595098</v>
      </c>
      <c r="M273">
        <v>322.22813920974733</v>
      </c>
      <c r="N273">
        <f t="shared" si="31"/>
        <v>325.93334953784915</v>
      </c>
      <c r="P273">
        <f t="shared" si="32"/>
        <v>0</v>
      </c>
      <c r="Q273">
        <f t="shared" si="33"/>
        <v>1</v>
      </c>
      <c r="R273">
        <f t="shared" si="34"/>
        <v>1</v>
      </c>
      <c r="T273">
        <f t="shared" ref="T273:T332" si="35">POWER(K273-L273,2)</f>
        <v>235.27141876136182</v>
      </c>
      <c r="U273">
        <f t="shared" ref="U273:U332" si="36">POWER(K273-M273,2)</f>
        <v>62.855391329132772</v>
      </c>
      <c r="V273">
        <f t="shared" ref="V273:V332" si="37">POWER(K273-N273,2)</f>
        <v>135.33482146977485</v>
      </c>
    </row>
    <row r="274" spans="1:22" x14ac:dyDescent="0.3">
      <c r="A274" s="1">
        <v>43116</v>
      </c>
      <c r="B274" s="1">
        <v>43207</v>
      </c>
      <c r="C274">
        <v>325.551337718963</v>
      </c>
      <c r="D274">
        <v>314.39999961852999</v>
      </c>
      <c r="E274">
        <v>330.5</v>
      </c>
      <c r="F274">
        <v>16.100000381469702</v>
      </c>
      <c r="G274">
        <v>-4.9486622810363698</v>
      </c>
      <c r="H274">
        <v>-16.100000381469702</v>
      </c>
      <c r="J274" s="1">
        <v>43116</v>
      </c>
      <c r="K274">
        <v>314.39999961852999</v>
      </c>
      <c r="L274">
        <v>325.551337718963</v>
      </c>
      <c r="M274">
        <v>320.99833202362061</v>
      </c>
      <c r="N274">
        <f t="shared" si="31"/>
        <v>323.27483487129177</v>
      </c>
      <c r="P274">
        <f t="shared" si="32"/>
        <v>1</v>
      </c>
      <c r="Q274">
        <f t="shared" si="33"/>
        <v>1</v>
      </c>
      <c r="R274">
        <f t="shared" si="34"/>
        <v>1</v>
      </c>
      <c r="T274">
        <f t="shared" si="35"/>
        <v>124.35234143016886</v>
      </c>
      <c r="U274">
        <f t="shared" si="36"/>
        <v>43.537990528068917</v>
      </c>
      <c r="V274">
        <f t="shared" si="37"/>
        <v>78.762700763663318</v>
      </c>
    </row>
    <row r="275" spans="1:22" x14ac:dyDescent="0.3">
      <c r="A275" s="1">
        <v>43117</v>
      </c>
      <c r="B275" s="1">
        <v>43208</v>
      </c>
      <c r="C275">
        <v>327.86712069511401</v>
      </c>
      <c r="D275">
        <v>317.59999961852998</v>
      </c>
      <c r="E275">
        <v>329.2</v>
      </c>
      <c r="F275">
        <v>11.6000003814697</v>
      </c>
      <c r="G275">
        <v>-1.33287930488586</v>
      </c>
      <c r="H275">
        <v>-11.6000003814697</v>
      </c>
      <c r="J275" s="1">
        <v>43117</v>
      </c>
      <c r="K275">
        <v>317.59999961852998</v>
      </c>
      <c r="L275">
        <v>327.86712069511401</v>
      </c>
      <c r="M275">
        <v>317.73781890869151</v>
      </c>
      <c r="N275">
        <f t="shared" si="31"/>
        <v>322.80246980190276</v>
      </c>
      <c r="P275">
        <f t="shared" si="32"/>
        <v>1</v>
      </c>
      <c r="Q275">
        <f t="shared" si="33"/>
        <v>1</v>
      </c>
      <c r="R275">
        <f t="shared" si="34"/>
        <v>1</v>
      </c>
      <c r="T275">
        <f t="shared" si="35"/>
        <v>105.41377520123606</v>
      </c>
      <c r="U275">
        <f t="shared" si="36"/>
        <v>1.8994156740628196E-2</v>
      </c>
      <c r="V275">
        <f t="shared" si="37"/>
        <v>27.065696008882824</v>
      </c>
    </row>
    <row r="276" spans="1:22" x14ac:dyDescent="0.3">
      <c r="A276" s="1">
        <v>43118</v>
      </c>
      <c r="B276" s="1">
        <v>43209</v>
      </c>
      <c r="C276">
        <v>324.86751260757399</v>
      </c>
      <c r="D276">
        <v>319.00000038146902</v>
      </c>
      <c r="E276">
        <v>329.4</v>
      </c>
      <c r="F276">
        <v>10.399999618530201</v>
      </c>
      <c r="G276">
        <v>-4.53248739242553</v>
      </c>
      <c r="H276">
        <v>-10.399999618530201</v>
      </c>
      <c r="J276" s="1">
        <v>43118</v>
      </c>
      <c r="K276">
        <v>319.00000038146902</v>
      </c>
      <c r="L276">
        <v>324.86751260757399</v>
      </c>
      <c r="M276">
        <v>319.50550308227537</v>
      </c>
      <c r="N276">
        <f t="shared" si="31"/>
        <v>322.18650784492468</v>
      </c>
      <c r="P276">
        <f t="shared" si="32"/>
        <v>1</v>
      </c>
      <c r="Q276">
        <f t="shared" si="33"/>
        <v>1</v>
      </c>
      <c r="R276">
        <f t="shared" si="34"/>
        <v>1</v>
      </c>
      <c r="T276">
        <f t="shared" si="35"/>
        <v>34.42769972349123</v>
      </c>
      <c r="U276">
        <f t="shared" si="36"/>
        <v>0.25553298052251033</v>
      </c>
      <c r="V276">
        <f t="shared" si="37"/>
        <v>10.153829814658591</v>
      </c>
    </row>
    <row r="277" spans="1:22" x14ac:dyDescent="0.3">
      <c r="A277" s="1">
        <v>43119</v>
      </c>
      <c r="B277" s="1">
        <v>43210</v>
      </c>
      <c r="C277">
        <v>328.79954770803403</v>
      </c>
      <c r="D277">
        <v>316.90000019073398</v>
      </c>
      <c r="E277">
        <v>329.6</v>
      </c>
      <c r="F277">
        <v>12.699999809265099</v>
      </c>
      <c r="G277">
        <v>-0.80045229196548395</v>
      </c>
      <c r="H277">
        <v>-12.699999809265099</v>
      </c>
      <c r="J277" s="1">
        <v>43119</v>
      </c>
      <c r="K277">
        <v>316.90000019073398</v>
      </c>
      <c r="L277">
        <v>328.79954770803403</v>
      </c>
      <c r="M277">
        <v>318.18533382415785</v>
      </c>
      <c r="N277">
        <f t="shared" si="31"/>
        <v>323.49244076609591</v>
      </c>
      <c r="P277">
        <f t="shared" si="32"/>
        <v>1</v>
      </c>
      <c r="Q277">
        <f t="shared" si="33"/>
        <v>1</v>
      </c>
      <c r="R277">
        <f t="shared" si="34"/>
        <v>1</v>
      </c>
      <c r="T277">
        <f t="shared" si="35"/>
        <v>141.59923111648177</v>
      </c>
      <c r="U277">
        <f t="shared" si="36"/>
        <v>1.6520825492106197</v>
      </c>
      <c r="V277">
        <f t="shared" si="37"/>
        <v>43.460272739678388</v>
      </c>
    </row>
    <row r="278" spans="1:22" x14ac:dyDescent="0.3">
      <c r="A278" s="1">
        <v>43122</v>
      </c>
      <c r="B278" s="1">
        <v>43213</v>
      </c>
      <c r="C278">
        <v>324.84699940681401</v>
      </c>
      <c r="D278">
        <v>317.10000038146899</v>
      </c>
      <c r="E278">
        <v>326.25</v>
      </c>
      <c r="F278">
        <v>9.1499996185302699</v>
      </c>
      <c r="G278">
        <v>-1.4030005931854199</v>
      </c>
      <c r="H278">
        <v>-9.1499996185302699</v>
      </c>
      <c r="J278" s="1">
        <v>43122</v>
      </c>
      <c r="K278">
        <v>317.10000038146899</v>
      </c>
      <c r="L278">
        <v>324.84699940681401</v>
      </c>
      <c r="M278">
        <v>321.06265258789062</v>
      </c>
      <c r="N278">
        <f t="shared" si="31"/>
        <v>322.95482599735232</v>
      </c>
      <c r="P278">
        <f t="shared" si="32"/>
        <v>1</v>
      </c>
      <c r="Q278">
        <f t="shared" si="33"/>
        <v>1</v>
      </c>
      <c r="R278">
        <f t="shared" si="34"/>
        <v>1</v>
      </c>
      <c r="T278">
        <f t="shared" si="35"/>
        <v>60.015993898696678</v>
      </c>
      <c r="U278">
        <f t="shared" si="36"/>
        <v>15.702612509058271</v>
      </c>
      <c r="V278">
        <f t="shared" si="37"/>
        <v>34.278982992403591</v>
      </c>
    </row>
    <row r="279" spans="1:22" x14ac:dyDescent="0.3">
      <c r="A279" s="1">
        <v>43123</v>
      </c>
      <c r="B279" s="1">
        <v>43214</v>
      </c>
      <c r="C279">
        <v>329.32948303222599</v>
      </c>
      <c r="D279">
        <v>315.35000038146899</v>
      </c>
      <c r="E279">
        <v>331.25</v>
      </c>
      <c r="F279">
        <v>15.899999618530201</v>
      </c>
      <c r="G279">
        <v>-1.92051696777343</v>
      </c>
      <c r="H279">
        <v>-15.899999618530201</v>
      </c>
      <c r="J279" s="1">
        <v>43123</v>
      </c>
      <c r="K279">
        <v>315.35000038146899</v>
      </c>
      <c r="L279">
        <v>329.32948303222599</v>
      </c>
      <c r="M279">
        <v>322.02787780761719</v>
      </c>
      <c r="N279">
        <f t="shared" si="31"/>
        <v>325.67868041992159</v>
      </c>
      <c r="P279">
        <f t="shared" si="32"/>
        <v>1</v>
      </c>
      <c r="Q279">
        <f t="shared" si="33"/>
        <v>1</v>
      </c>
      <c r="R279">
        <f t="shared" si="34"/>
        <v>1</v>
      </c>
      <c r="T279">
        <f t="shared" si="35"/>
        <v>195.42593518281615</v>
      </c>
      <c r="U279">
        <f t="shared" si="36"/>
        <v>44.594046918659707</v>
      </c>
      <c r="V279">
        <f t="shared" si="37"/>
        <v>106.68163133672927</v>
      </c>
    </row>
    <row r="280" spans="1:22" x14ac:dyDescent="0.3">
      <c r="A280" s="1">
        <v>43124</v>
      </c>
      <c r="B280" s="1">
        <v>43215</v>
      </c>
      <c r="C280">
        <v>334.85813674926698</v>
      </c>
      <c r="D280">
        <v>312.95000038146901</v>
      </c>
      <c r="E280">
        <v>331.6</v>
      </c>
      <c r="F280">
        <v>-18.649999618530199</v>
      </c>
      <c r="G280">
        <v>3.2581367492675701</v>
      </c>
      <c r="H280">
        <v>-18.649999618530199</v>
      </c>
      <c r="J280" s="1">
        <v>43124</v>
      </c>
      <c r="K280">
        <v>312.95000038146901</v>
      </c>
      <c r="L280">
        <v>334.85813674926698</v>
      </c>
      <c r="M280">
        <v>323.36438045501711</v>
      </c>
      <c r="N280">
        <f t="shared" si="31"/>
        <v>329.11125860214202</v>
      </c>
      <c r="P280">
        <f t="shared" si="32"/>
        <v>0</v>
      </c>
      <c r="Q280">
        <f t="shared" si="33"/>
        <v>1</v>
      </c>
      <c r="R280">
        <f t="shared" si="34"/>
        <v>1</v>
      </c>
      <c r="T280">
        <f t="shared" si="35"/>
        <v>479.96643911003184</v>
      </c>
      <c r="U280">
        <f t="shared" si="36"/>
        <v>108.45931231631577</v>
      </c>
      <c r="V280">
        <f t="shared" si="37"/>
        <v>261.18626727527078</v>
      </c>
    </row>
    <row r="281" spans="1:22" x14ac:dyDescent="0.3">
      <c r="A281" s="1">
        <v>43125</v>
      </c>
      <c r="B281" s="1">
        <v>43216</v>
      </c>
      <c r="C281">
        <v>332.43607478141701</v>
      </c>
      <c r="D281">
        <v>317.44999961853</v>
      </c>
      <c r="E281">
        <v>334.3</v>
      </c>
      <c r="F281">
        <v>16.850000381469702</v>
      </c>
      <c r="G281">
        <v>-1.86392521858215</v>
      </c>
      <c r="H281">
        <v>-16.850000381469702</v>
      </c>
      <c r="J281" s="1">
        <v>43125</v>
      </c>
      <c r="K281">
        <v>317.44999961853</v>
      </c>
      <c r="L281">
        <v>332.43607478141701</v>
      </c>
      <c r="M281">
        <v>328.84803037643434</v>
      </c>
      <c r="N281">
        <f t="shared" si="31"/>
        <v>330.6420525789257</v>
      </c>
      <c r="P281">
        <f t="shared" si="32"/>
        <v>1</v>
      </c>
      <c r="Q281">
        <f t="shared" si="33"/>
        <v>1</v>
      </c>
      <c r="R281">
        <f t="shared" si="34"/>
        <v>1</v>
      </c>
      <c r="T281">
        <f t="shared" si="35"/>
        <v>224.58244878769878</v>
      </c>
      <c r="U281">
        <f t="shared" si="36"/>
        <v>129.91510515813331</v>
      </c>
      <c r="V281">
        <f t="shared" si="37"/>
        <v>174.03026130988493</v>
      </c>
    </row>
    <row r="282" spans="1:22" x14ac:dyDescent="0.3">
      <c r="A282" s="1">
        <v>43126</v>
      </c>
      <c r="B282" s="1">
        <v>43217</v>
      </c>
      <c r="C282">
        <v>332.21454091072002</v>
      </c>
      <c r="D282">
        <v>320.14999980926501</v>
      </c>
      <c r="E282">
        <v>335.95</v>
      </c>
      <c r="F282">
        <v>15.800000190734799</v>
      </c>
      <c r="G282">
        <v>-3.7354590892791699</v>
      </c>
      <c r="H282">
        <v>-15.800000190734799</v>
      </c>
      <c r="J282" s="1">
        <v>43126</v>
      </c>
      <c r="K282">
        <v>320.14999980926501</v>
      </c>
      <c r="L282">
        <v>332.21454091072002</v>
      </c>
      <c r="M282">
        <v>328.35843963623046</v>
      </c>
      <c r="N282">
        <f t="shared" si="31"/>
        <v>330.28649027347524</v>
      </c>
      <c r="P282">
        <f t="shared" si="32"/>
        <v>1</v>
      </c>
      <c r="Q282">
        <f t="shared" si="33"/>
        <v>1</v>
      </c>
      <c r="R282">
        <f t="shared" si="34"/>
        <v>1</v>
      </c>
      <c r="T282">
        <f t="shared" si="35"/>
        <v>145.55315198869718</v>
      </c>
      <c r="U282">
        <f t="shared" si="36"/>
        <v>67.378484392912512</v>
      </c>
      <c r="V282">
        <f t="shared" si="37"/>
        <v>102.74843893102485</v>
      </c>
    </row>
    <row r="283" spans="1:22" x14ac:dyDescent="0.3">
      <c r="A283" s="1">
        <v>43129</v>
      </c>
      <c r="B283" s="1">
        <v>43220</v>
      </c>
      <c r="C283">
        <v>336.10676908493002</v>
      </c>
      <c r="D283">
        <v>321.64999961852999</v>
      </c>
      <c r="E283">
        <v>338.5</v>
      </c>
      <c r="F283">
        <v>16.850000381469702</v>
      </c>
      <c r="G283">
        <v>-2.3932309150695801</v>
      </c>
      <c r="H283">
        <v>-16.850000381469702</v>
      </c>
      <c r="J283" s="1">
        <v>43129</v>
      </c>
      <c r="K283">
        <v>321.64999961852999</v>
      </c>
      <c r="L283">
        <v>336.10676908493002</v>
      </c>
      <c r="M283">
        <v>331.18530321121216</v>
      </c>
      <c r="N283">
        <f t="shared" si="31"/>
        <v>333.64603614807106</v>
      </c>
      <c r="P283">
        <f t="shared" si="32"/>
        <v>1</v>
      </c>
      <c r="Q283">
        <f t="shared" si="33"/>
        <v>1</v>
      </c>
      <c r="R283">
        <f t="shared" si="34"/>
        <v>1</v>
      </c>
      <c r="T283">
        <f t="shared" si="35"/>
        <v>208.99818340463628</v>
      </c>
      <c r="U283">
        <f t="shared" si="36"/>
        <v>90.922014604617473</v>
      </c>
      <c r="V283">
        <f t="shared" si="37"/>
        <v>143.90489241808382</v>
      </c>
    </row>
    <row r="284" spans="1:22" x14ac:dyDescent="0.3">
      <c r="A284" s="1">
        <v>43130</v>
      </c>
      <c r="B284" s="1">
        <v>43221</v>
      </c>
      <c r="C284">
        <v>330.88527765274</v>
      </c>
      <c r="D284">
        <v>321.64999999999998</v>
      </c>
      <c r="E284">
        <v>333.9</v>
      </c>
      <c r="F284">
        <v>12.25</v>
      </c>
      <c r="G284">
        <v>-3.0147223472595202</v>
      </c>
      <c r="H284">
        <v>-12.25</v>
      </c>
      <c r="J284" s="1">
        <v>43130</v>
      </c>
      <c r="K284">
        <v>321.64999999999998</v>
      </c>
      <c r="L284">
        <v>330.88527765274</v>
      </c>
      <c r="M284">
        <v>327.56819238662717</v>
      </c>
      <c r="N284">
        <f t="shared" si="31"/>
        <v>329.22673501968359</v>
      </c>
      <c r="P284">
        <f t="shared" si="32"/>
        <v>1</v>
      </c>
      <c r="Q284">
        <f t="shared" si="33"/>
        <v>1</v>
      </c>
      <c r="R284">
        <f t="shared" si="34"/>
        <v>1</v>
      </c>
      <c r="T284">
        <f t="shared" si="35"/>
        <v>85.290353323199284</v>
      </c>
      <c r="U284">
        <f t="shared" si="36"/>
        <v>35.025001125132121</v>
      </c>
      <c r="V284">
        <f t="shared" si="37"/>
        <v>57.406913558500001</v>
      </c>
    </row>
    <row r="285" spans="1:22" x14ac:dyDescent="0.3">
      <c r="A285" s="1">
        <v>43131</v>
      </c>
      <c r="B285" s="1">
        <v>43222</v>
      </c>
      <c r="C285">
        <v>332.67117543220502</v>
      </c>
      <c r="D285">
        <v>319.750000190734</v>
      </c>
      <c r="E285">
        <v>334.45</v>
      </c>
      <c r="F285">
        <v>14.699999809265099</v>
      </c>
      <c r="G285">
        <v>-1.77882456779479</v>
      </c>
      <c r="H285">
        <v>-14.699999809265099</v>
      </c>
      <c r="J285" s="1">
        <v>43131</v>
      </c>
      <c r="K285">
        <v>319.750000190734</v>
      </c>
      <c r="L285">
        <v>332.67117543220502</v>
      </c>
      <c r="M285">
        <v>321.69197196960448</v>
      </c>
      <c r="N285">
        <f t="shared" si="31"/>
        <v>327.18157370090478</v>
      </c>
      <c r="P285">
        <f t="shared" si="32"/>
        <v>1</v>
      </c>
      <c r="Q285">
        <f t="shared" si="33"/>
        <v>1</v>
      </c>
      <c r="R285">
        <f t="shared" si="34"/>
        <v>1</v>
      </c>
      <c r="T285">
        <f t="shared" si="35"/>
        <v>166.95676962080364</v>
      </c>
      <c r="U285">
        <f t="shared" si="36"/>
        <v>3.7712543899293824</v>
      </c>
      <c r="V285">
        <f t="shared" si="37"/>
        <v>55.228284837072032</v>
      </c>
    </row>
    <row r="286" spans="1:22" x14ac:dyDescent="0.3">
      <c r="A286" s="1">
        <v>43132</v>
      </c>
      <c r="B286" s="1">
        <v>43223</v>
      </c>
      <c r="C286">
        <v>332.24238243103002</v>
      </c>
      <c r="D286">
        <v>318.00000038146902</v>
      </c>
      <c r="E286">
        <v>333.65</v>
      </c>
      <c r="F286">
        <v>15.649999618530201</v>
      </c>
      <c r="G286">
        <v>-1.4076175689697199</v>
      </c>
      <c r="H286">
        <v>-15.649999618530201</v>
      </c>
      <c r="J286" s="1">
        <v>43132</v>
      </c>
      <c r="K286">
        <v>318.00000038146902</v>
      </c>
      <c r="L286">
        <v>332.24238243103002</v>
      </c>
      <c r="M286">
        <v>322.20722713470457</v>
      </c>
      <c r="N286">
        <f t="shared" si="31"/>
        <v>327.2248047828673</v>
      </c>
      <c r="P286">
        <f t="shared" si="32"/>
        <v>1</v>
      </c>
      <c r="Q286">
        <f t="shared" si="33"/>
        <v>1</v>
      </c>
      <c r="R286">
        <f t="shared" si="34"/>
        <v>1</v>
      </c>
      <c r="T286">
        <f t="shared" si="35"/>
        <v>202.84544644565744</v>
      </c>
      <c r="U286">
        <f t="shared" si="36"/>
        <v>17.70075695314091</v>
      </c>
      <c r="V286">
        <f t="shared" si="37"/>
        <v>85.09701624405696</v>
      </c>
    </row>
    <row r="287" spans="1:22" x14ac:dyDescent="0.3">
      <c r="A287" s="1">
        <v>43133</v>
      </c>
      <c r="B287" s="1">
        <v>43224</v>
      </c>
      <c r="C287">
        <v>337.59947433471598</v>
      </c>
      <c r="D287">
        <v>316.45000019073399</v>
      </c>
      <c r="E287">
        <v>327.39999999999998</v>
      </c>
      <c r="F287">
        <v>-10.949999809265099</v>
      </c>
      <c r="G287">
        <v>10.199474334716699</v>
      </c>
      <c r="H287">
        <v>-10.949999809265099</v>
      </c>
      <c r="J287" s="1">
        <v>43133</v>
      </c>
      <c r="K287">
        <v>316.45000019073399</v>
      </c>
      <c r="L287">
        <v>337.59947433471598</v>
      </c>
      <c r="M287">
        <v>315.85350837707517</v>
      </c>
      <c r="N287">
        <f t="shared" si="31"/>
        <v>326.72649135589558</v>
      </c>
      <c r="P287">
        <f t="shared" si="32"/>
        <v>0</v>
      </c>
      <c r="Q287">
        <f t="shared" si="33"/>
        <v>1</v>
      </c>
      <c r="R287">
        <f t="shared" si="34"/>
        <v>1</v>
      </c>
      <c r="T287">
        <f t="shared" si="35"/>
        <v>447.30025656696273</v>
      </c>
      <c r="U287">
        <f t="shared" si="36"/>
        <v>0.35580248376198287</v>
      </c>
      <c r="V287">
        <f t="shared" si="37"/>
        <v>105.60627066764417</v>
      </c>
    </row>
    <row r="288" spans="1:22" x14ac:dyDescent="0.3">
      <c r="A288" s="1">
        <v>43136</v>
      </c>
      <c r="B288" s="1">
        <v>43227</v>
      </c>
      <c r="C288">
        <v>340.532711029052</v>
      </c>
      <c r="D288">
        <v>316.44999980926502</v>
      </c>
      <c r="E288">
        <v>323</v>
      </c>
      <c r="F288">
        <v>-6.5500001907348597</v>
      </c>
      <c r="G288">
        <v>17.532711029052699</v>
      </c>
      <c r="H288">
        <v>-6.5500001907348597</v>
      </c>
      <c r="J288" s="1">
        <v>43136</v>
      </c>
      <c r="K288">
        <v>316.44999980926502</v>
      </c>
      <c r="L288">
        <v>340.532711029052</v>
      </c>
      <c r="M288">
        <v>316.73959398269653</v>
      </c>
      <c r="N288">
        <f t="shared" si="31"/>
        <v>328.63615250587429</v>
      </c>
      <c r="P288">
        <f t="shared" si="32"/>
        <v>0</v>
      </c>
      <c r="Q288">
        <f t="shared" si="33"/>
        <v>1</v>
      </c>
      <c r="R288">
        <f t="shared" si="34"/>
        <v>0</v>
      </c>
      <c r="T288">
        <f t="shared" si="35"/>
        <v>579.97697969565331</v>
      </c>
      <c r="U288">
        <f t="shared" si="36"/>
        <v>8.3864785285479596E-2</v>
      </c>
      <c r="V288">
        <f t="shared" si="37"/>
        <v>148.50231754507737</v>
      </c>
    </row>
    <row r="289" spans="1:22" x14ac:dyDescent="0.3">
      <c r="A289" s="1">
        <v>43137</v>
      </c>
      <c r="B289" s="1">
        <v>43228</v>
      </c>
      <c r="C289">
        <v>334.38311424255301</v>
      </c>
      <c r="D289">
        <v>314.05000009536701</v>
      </c>
      <c r="E289">
        <v>317.64999999999998</v>
      </c>
      <c r="F289">
        <v>-3.5999999046325599</v>
      </c>
      <c r="G289">
        <v>16.7331142425537</v>
      </c>
      <c r="H289">
        <v>-3.5999999046325599</v>
      </c>
      <c r="J289" s="1">
        <v>43137</v>
      </c>
      <c r="K289">
        <v>314.05000009536701</v>
      </c>
      <c r="L289">
        <v>334.38311424255301</v>
      </c>
      <c r="M289">
        <v>315.98900964260099</v>
      </c>
      <c r="N289">
        <f t="shared" si="31"/>
        <v>325.186061942577</v>
      </c>
      <c r="P289">
        <f t="shared" si="32"/>
        <v>0</v>
      </c>
      <c r="Q289">
        <f t="shared" si="33"/>
        <v>1</v>
      </c>
      <c r="R289">
        <f t="shared" si="34"/>
        <v>0</v>
      </c>
      <c r="T289">
        <f t="shared" si="35"/>
        <v>413.43553092249527</v>
      </c>
      <c r="U289">
        <f t="shared" si="36"/>
        <v>3.7597580242645221</v>
      </c>
      <c r="V289">
        <f t="shared" si="37"/>
        <v>124.01187346488591</v>
      </c>
    </row>
    <row r="290" spans="1:22" x14ac:dyDescent="0.3">
      <c r="A290" s="1">
        <v>43138</v>
      </c>
      <c r="B290" s="1">
        <v>43229</v>
      </c>
      <c r="C290">
        <v>325.38339900970402</v>
      </c>
      <c r="D290">
        <v>314.05000019073401</v>
      </c>
      <c r="E290">
        <v>309.5</v>
      </c>
      <c r="F290">
        <v>4.5500001907348597</v>
      </c>
      <c r="G290">
        <v>15.883399009704499</v>
      </c>
      <c r="H290">
        <v>4.5500001907348597</v>
      </c>
      <c r="J290" s="1">
        <v>43138</v>
      </c>
      <c r="K290">
        <v>314.05000019073401</v>
      </c>
      <c r="L290">
        <v>325.38339900970402</v>
      </c>
      <c r="M290">
        <v>312.87711596488953</v>
      </c>
      <c r="N290">
        <f t="shared" si="31"/>
        <v>319.13025748729677</v>
      </c>
      <c r="P290">
        <f t="shared" si="32"/>
        <v>1</v>
      </c>
      <c r="Q290">
        <f t="shared" si="33"/>
        <v>1</v>
      </c>
      <c r="R290">
        <f t="shared" si="34"/>
        <v>1</v>
      </c>
      <c r="T290">
        <f t="shared" si="35"/>
        <v>128.44592878983084</v>
      </c>
      <c r="U290">
        <f t="shared" si="36"/>
        <v>1.3756574072348151</v>
      </c>
      <c r="V290">
        <f t="shared" si="37"/>
        <v>25.809014199279197</v>
      </c>
    </row>
    <row r="291" spans="1:22" x14ac:dyDescent="0.3">
      <c r="A291" s="1">
        <v>43139</v>
      </c>
      <c r="B291" s="1">
        <v>43230</v>
      </c>
      <c r="C291">
        <v>314.46385431289599</v>
      </c>
      <c r="D291">
        <v>315.849999904632</v>
      </c>
      <c r="E291">
        <v>312.5</v>
      </c>
      <c r="F291">
        <v>3.3499999046325599</v>
      </c>
      <c r="G291">
        <v>1.9638543128967201</v>
      </c>
      <c r="H291">
        <v>3.3499999046325599</v>
      </c>
      <c r="J291" s="1">
        <v>43139</v>
      </c>
      <c r="K291">
        <v>315.849999904632</v>
      </c>
      <c r="L291">
        <v>314.46385431289599</v>
      </c>
      <c r="M291">
        <v>313.70542883872986</v>
      </c>
      <c r="N291">
        <f t="shared" si="31"/>
        <v>314.08464157581295</v>
      </c>
      <c r="P291">
        <f t="shared" si="32"/>
        <v>1</v>
      </c>
      <c r="Q291">
        <f t="shared" si="33"/>
        <v>1</v>
      </c>
      <c r="R291">
        <f t="shared" si="34"/>
        <v>1</v>
      </c>
      <c r="T291">
        <f t="shared" si="35"/>
        <v>1.9213996014891743</v>
      </c>
      <c r="U291">
        <f t="shared" si="36"/>
        <v>4.5991850567046475</v>
      </c>
      <c r="V291">
        <f t="shared" si="37"/>
        <v>3.1164900291307802</v>
      </c>
    </row>
    <row r="292" spans="1:22" x14ac:dyDescent="0.3">
      <c r="A292" s="1">
        <v>43140</v>
      </c>
      <c r="B292" s="1">
        <v>43231</v>
      </c>
      <c r="C292">
        <v>315.44254741668698</v>
      </c>
      <c r="D292">
        <v>317.65000019073398</v>
      </c>
      <c r="E292">
        <v>303.85000000000002</v>
      </c>
      <c r="F292">
        <v>13.800000190734799</v>
      </c>
      <c r="G292">
        <v>11.592547416686999</v>
      </c>
      <c r="H292">
        <v>13.800000190734799</v>
      </c>
      <c r="J292" s="1">
        <v>43140</v>
      </c>
      <c r="K292">
        <v>317.65000019073398</v>
      </c>
      <c r="L292">
        <v>315.44254741668698</v>
      </c>
      <c r="M292">
        <v>307.98917160034182</v>
      </c>
      <c r="N292">
        <f t="shared" si="31"/>
        <v>311.71585950851443</v>
      </c>
      <c r="P292">
        <f t="shared" si="32"/>
        <v>1</v>
      </c>
      <c r="Q292">
        <f t="shared" si="33"/>
        <v>1</v>
      </c>
      <c r="R292">
        <f t="shared" si="34"/>
        <v>1</v>
      </c>
      <c r="T292">
        <f t="shared" si="35"/>
        <v>4.8728477496477911</v>
      </c>
      <c r="U292">
        <f t="shared" si="36"/>
        <v>93.331609052938504</v>
      </c>
      <c r="V292">
        <f t="shared" si="37"/>
        <v>35.214025636373101</v>
      </c>
    </row>
    <row r="293" spans="1:22" x14ac:dyDescent="0.3">
      <c r="A293" s="1">
        <v>43143</v>
      </c>
      <c r="B293" s="1">
        <v>43234</v>
      </c>
      <c r="C293">
        <v>303.22304687500002</v>
      </c>
      <c r="D293">
        <v>316.85000000000002</v>
      </c>
      <c r="E293">
        <v>308.10000000000002</v>
      </c>
      <c r="F293">
        <v>-8.75</v>
      </c>
      <c r="G293">
        <v>-4.876953125</v>
      </c>
      <c r="H293">
        <v>8.75</v>
      </c>
      <c r="J293" s="1">
        <v>43143</v>
      </c>
      <c r="K293">
        <v>316.85000000000002</v>
      </c>
      <c r="L293">
        <v>303.22304687500002</v>
      </c>
      <c r="M293">
        <v>312.09280977249148</v>
      </c>
      <c r="N293">
        <f t="shared" si="31"/>
        <v>307.65792832374575</v>
      </c>
      <c r="P293">
        <f t="shared" si="32"/>
        <v>0</v>
      </c>
      <c r="Q293">
        <f t="shared" si="33"/>
        <v>1</v>
      </c>
      <c r="R293">
        <f t="shared" si="34"/>
        <v>0</v>
      </c>
      <c r="T293">
        <f t="shared" si="35"/>
        <v>185.69385147094727</v>
      </c>
      <c r="U293">
        <f t="shared" si="36"/>
        <v>22.630858860702801</v>
      </c>
      <c r="V293">
        <f t="shared" si="37"/>
        <v>84.49418170139603</v>
      </c>
    </row>
    <row r="294" spans="1:22" x14ac:dyDescent="0.3">
      <c r="A294" s="1">
        <v>43144</v>
      </c>
      <c r="B294" s="1">
        <v>43235</v>
      </c>
      <c r="C294">
        <v>315.51505460739099</v>
      </c>
      <c r="D294">
        <v>313.74999990463198</v>
      </c>
      <c r="E294">
        <v>311.39999999999998</v>
      </c>
      <c r="F294">
        <v>2.3499999046325599</v>
      </c>
      <c r="G294">
        <v>4.1150546073913503</v>
      </c>
      <c r="H294">
        <v>2.3499999046325599</v>
      </c>
      <c r="J294" s="1">
        <v>43144</v>
      </c>
      <c r="K294">
        <v>313.74999990463198</v>
      </c>
      <c r="L294">
        <v>315.51505460739099</v>
      </c>
      <c r="M294">
        <v>310.73173465728757</v>
      </c>
      <c r="N294">
        <f t="shared" si="31"/>
        <v>313.12339463233928</v>
      </c>
      <c r="P294">
        <f t="shared" si="32"/>
        <v>1</v>
      </c>
      <c r="Q294">
        <f t="shared" si="33"/>
        <v>0</v>
      </c>
      <c r="R294">
        <f t="shared" si="34"/>
        <v>1</v>
      </c>
      <c r="T294">
        <f t="shared" si="35"/>
        <v>3.1154181037317197</v>
      </c>
      <c r="U294">
        <f t="shared" si="36"/>
        <v>9.1099251033269653</v>
      </c>
      <c r="V294">
        <f t="shared" si="37"/>
        <v>0.39263416726499983</v>
      </c>
    </row>
    <row r="295" spans="1:22" x14ac:dyDescent="0.3">
      <c r="A295" s="1">
        <v>43145</v>
      </c>
      <c r="B295" s="1">
        <v>43236</v>
      </c>
      <c r="C295">
        <v>315.051740872859</v>
      </c>
      <c r="D295">
        <v>314.90000002384102</v>
      </c>
      <c r="E295">
        <v>314.3</v>
      </c>
      <c r="F295">
        <v>0.60000002384185702</v>
      </c>
      <c r="G295">
        <v>0.75174087285995395</v>
      </c>
      <c r="H295">
        <v>0.60000002384185702</v>
      </c>
      <c r="J295" s="1">
        <v>43145</v>
      </c>
      <c r="K295">
        <v>314.90000002384102</v>
      </c>
      <c r="L295">
        <v>315.051740872859</v>
      </c>
      <c r="M295">
        <v>311.18147163391114</v>
      </c>
      <c r="N295">
        <f t="shared" si="31"/>
        <v>313.11660625338504</v>
      </c>
      <c r="P295">
        <f t="shared" si="32"/>
        <v>1</v>
      </c>
      <c r="Q295">
        <f t="shared" si="33"/>
        <v>0</v>
      </c>
      <c r="R295">
        <f t="shared" si="34"/>
        <v>0</v>
      </c>
      <c r="T295">
        <f t="shared" si="35"/>
        <v>2.3025285260698386E-2</v>
      </c>
      <c r="U295">
        <f t="shared" si="36"/>
        <v>13.827453386714449</v>
      </c>
      <c r="V295">
        <f t="shared" si="37"/>
        <v>3.1804933405011719</v>
      </c>
    </row>
    <row r="296" spans="1:22" x14ac:dyDescent="0.3">
      <c r="A296" s="1">
        <v>43146</v>
      </c>
      <c r="B296" s="1">
        <v>43237</v>
      </c>
      <c r="C296">
        <v>310.071875381469</v>
      </c>
      <c r="D296">
        <v>313.40000002384102</v>
      </c>
      <c r="E296">
        <v>314.3</v>
      </c>
      <c r="F296">
        <v>0.89999997615814198</v>
      </c>
      <c r="G296">
        <v>-4.2281246185302699</v>
      </c>
      <c r="H296">
        <v>-0.89999997615814198</v>
      </c>
      <c r="J296" s="1">
        <v>43146</v>
      </c>
      <c r="K296">
        <v>313.40000002384102</v>
      </c>
      <c r="L296">
        <v>310.071875381469</v>
      </c>
      <c r="M296">
        <v>311.64782695770265</v>
      </c>
      <c r="N296">
        <f t="shared" si="31"/>
        <v>310.8598511695858</v>
      </c>
      <c r="P296">
        <f t="shared" si="32"/>
        <v>1</v>
      </c>
      <c r="Q296">
        <f t="shared" si="33"/>
        <v>1</v>
      </c>
      <c r="R296">
        <f t="shared" si="34"/>
        <v>1</v>
      </c>
      <c r="T296">
        <f t="shared" si="35"/>
        <v>11.07641363516387</v>
      </c>
      <c r="U296">
        <f t="shared" si="36"/>
        <v>3.0701104537007318</v>
      </c>
      <c r="V296">
        <f t="shared" si="37"/>
        <v>6.4523562017741147</v>
      </c>
    </row>
    <row r="297" spans="1:22" x14ac:dyDescent="0.3">
      <c r="A297" s="1">
        <v>43147</v>
      </c>
      <c r="B297" s="1">
        <v>43238</v>
      </c>
      <c r="C297">
        <v>314.70031957626298</v>
      </c>
      <c r="D297">
        <v>314.74999998807903</v>
      </c>
      <c r="E297">
        <v>314.3</v>
      </c>
      <c r="F297">
        <v>0.44999998807907099</v>
      </c>
      <c r="G297">
        <v>0.40031957626342701</v>
      </c>
      <c r="H297">
        <v>0.44999998807907099</v>
      </c>
      <c r="J297" s="1">
        <v>43147</v>
      </c>
      <c r="K297">
        <v>314.74999998807903</v>
      </c>
      <c r="L297">
        <v>314.70031957626298</v>
      </c>
      <c r="M297">
        <v>307.71758823394777</v>
      </c>
      <c r="N297">
        <f t="shared" si="31"/>
        <v>311.20895390510537</v>
      </c>
      <c r="P297">
        <f t="shared" si="32"/>
        <v>1</v>
      </c>
      <c r="Q297">
        <f t="shared" si="33"/>
        <v>0</v>
      </c>
      <c r="R297">
        <f t="shared" si="34"/>
        <v>0</v>
      </c>
      <c r="T297">
        <f t="shared" si="35"/>
        <v>2.4681433182114475E-3</v>
      </c>
      <c r="U297">
        <f t="shared" si="36"/>
        <v>49.45481507964351</v>
      </c>
      <c r="V297">
        <f t="shared" si="37"/>
        <v>12.539007361743035</v>
      </c>
    </row>
    <row r="298" spans="1:22" x14ac:dyDescent="0.3">
      <c r="A298" s="1">
        <v>43150</v>
      </c>
      <c r="B298" s="1">
        <v>43241</v>
      </c>
      <c r="C298">
        <v>313.99901914596501</v>
      </c>
      <c r="D298">
        <v>315.10000002384101</v>
      </c>
      <c r="E298">
        <v>316.25</v>
      </c>
      <c r="F298">
        <v>1.1499999761581401</v>
      </c>
      <c r="G298">
        <v>-2.2509808540344198</v>
      </c>
      <c r="H298">
        <v>-1.1499999761581401</v>
      </c>
      <c r="J298" s="1">
        <v>43150</v>
      </c>
      <c r="K298">
        <v>315.10000002384101</v>
      </c>
      <c r="L298">
        <v>313.99901914596501</v>
      </c>
      <c r="M298">
        <v>310.47520399093628</v>
      </c>
      <c r="N298">
        <f t="shared" si="31"/>
        <v>312.23711156845064</v>
      </c>
      <c r="P298">
        <f t="shared" si="32"/>
        <v>1</v>
      </c>
      <c r="Q298">
        <f t="shared" si="33"/>
        <v>1</v>
      </c>
      <c r="R298">
        <f t="shared" si="34"/>
        <v>1</v>
      </c>
      <c r="T298">
        <f t="shared" si="35"/>
        <v>1.2121588934486021</v>
      </c>
      <c r="U298">
        <f t="shared" si="36"/>
        <v>21.388738345971291</v>
      </c>
      <c r="V298">
        <f t="shared" si="37"/>
        <v>8.1961303080074117</v>
      </c>
    </row>
    <row r="299" spans="1:22" x14ac:dyDescent="0.3">
      <c r="A299" s="1">
        <v>43151</v>
      </c>
      <c r="B299" s="1">
        <v>43242</v>
      </c>
      <c r="C299">
        <v>313.16963863372803</v>
      </c>
      <c r="D299">
        <v>315.099999904632</v>
      </c>
      <c r="E299">
        <v>312</v>
      </c>
      <c r="F299">
        <v>3.0999999046325599</v>
      </c>
      <c r="G299">
        <v>1.16963863372802</v>
      </c>
      <c r="H299">
        <v>3.0999999046325599</v>
      </c>
      <c r="J299" s="1">
        <v>43151</v>
      </c>
      <c r="K299">
        <v>315.099999904632</v>
      </c>
      <c r="L299">
        <v>313.16963863372803</v>
      </c>
      <c r="M299">
        <v>311.97104878351092</v>
      </c>
      <c r="N299">
        <f t="shared" si="31"/>
        <v>312.57034370861948</v>
      </c>
      <c r="P299">
        <f t="shared" si="32"/>
        <v>1</v>
      </c>
      <c r="Q299">
        <f t="shared" si="33"/>
        <v>0</v>
      </c>
      <c r="R299">
        <f t="shared" si="34"/>
        <v>1</v>
      </c>
      <c r="T299">
        <f t="shared" si="35"/>
        <v>3.7262946362060001</v>
      </c>
      <c r="U299">
        <f t="shared" si="36"/>
        <v>9.7903351183648422</v>
      </c>
      <c r="V299">
        <f t="shared" si="37"/>
        <v>6.3991604700245563</v>
      </c>
    </row>
    <row r="300" spans="1:22" x14ac:dyDescent="0.3">
      <c r="A300" s="1">
        <v>43152</v>
      </c>
      <c r="B300" s="1">
        <v>43243</v>
      </c>
      <c r="C300">
        <v>309.31188039779602</v>
      </c>
      <c r="D300">
        <v>317.14999990463201</v>
      </c>
      <c r="E300">
        <v>314.05</v>
      </c>
      <c r="F300">
        <v>-3.0999999046325599</v>
      </c>
      <c r="G300">
        <v>-4.7381196022033603</v>
      </c>
      <c r="H300">
        <v>3.0999999046325599</v>
      </c>
      <c r="J300" s="1">
        <v>43152</v>
      </c>
      <c r="K300">
        <v>317.14999990463201</v>
      </c>
      <c r="L300">
        <v>309.31188039779602</v>
      </c>
      <c r="M300">
        <v>307.93937997817994</v>
      </c>
      <c r="N300">
        <f t="shared" si="31"/>
        <v>308.62563018798801</v>
      </c>
      <c r="P300">
        <f t="shared" si="32"/>
        <v>0</v>
      </c>
      <c r="Q300">
        <f t="shared" si="33"/>
        <v>0</v>
      </c>
      <c r="R300">
        <f t="shared" si="34"/>
        <v>0</v>
      </c>
      <c r="T300">
        <f t="shared" si="35"/>
        <v>61.436117403442928</v>
      </c>
      <c r="U300">
        <f t="shared" si="36"/>
        <v>84.835519429555902</v>
      </c>
      <c r="V300">
        <f t="shared" si="37"/>
        <v>72.664879066037358</v>
      </c>
    </row>
    <row r="301" spans="1:22" x14ac:dyDescent="0.3">
      <c r="A301" s="1">
        <v>43153</v>
      </c>
      <c r="B301" s="1">
        <v>43244</v>
      </c>
      <c r="C301">
        <v>310.22696552276602</v>
      </c>
      <c r="D301">
        <v>316.54999980926499</v>
      </c>
      <c r="E301">
        <v>311.85000000000002</v>
      </c>
      <c r="F301">
        <v>-4.6999998092651296</v>
      </c>
      <c r="G301">
        <v>-1.6230344772338801</v>
      </c>
      <c r="H301">
        <v>4.6999998092651296</v>
      </c>
      <c r="J301" s="1">
        <v>43153</v>
      </c>
      <c r="K301">
        <v>316.54999980926499</v>
      </c>
      <c r="L301">
        <v>310.22696552276602</v>
      </c>
      <c r="M301">
        <v>312.26339868307116</v>
      </c>
      <c r="N301">
        <f t="shared" si="31"/>
        <v>311.24518210291859</v>
      </c>
      <c r="P301">
        <f t="shared" si="32"/>
        <v>0</v>
      </c>
      <c r="Q301">
        <f t="shared" si="33"/>
        <v>1</v>
      </c>
      <c r="R301">
        <f t="shared" si="34"/>
        <v>0</v>
      </c>
      <c r="T301">
        <f t="shared" si="35"/>
        <v>39.980762588241497</v>
      </c>
      <c r="U301">
        <f t="shared" si="36"/>
        <v>18.374949215086207</v>
      </c>
      <c r="V301">
        <f t="shared" si="37"/>
        <v>28.141090897566261</v>
      </c>
    </row>
    <row r="302" spans="1:22" x14ac:dyDescent="0.3">
      <c r="A302" s="1">
        <v>43154</v>
      </c>
      <c r="B302" s="1">
        <v>43245</v>
      </c>
      <c r="C302">
        <v>316.91663290262198</v>
      </c>
      <c r="D302">
        <v>317.29999999403901</v>
      </c>
      <c r="E302">
        <v>316.95</v>
      </c>
      <c r="F302">
        <v>-0.34999999403953502</v>
      </c>
      <c r="G302">
        <v>-3.33670973777771E-2</v>
      </c>
      <c r="H302">
        <v>0.34999999403953502</v>
      </c>
      <c r="J302" s="1">
        <v>43154</v>
      </c>
      <c r="K302">
        <v>317.29999999403901</v>
      </c>
      <c r="L302">
        <v>316.91663290262198</v>
      </c>
      <c r="M302">
        <v>311.54678125381469</v>
      </c>
      <c r="N302">
        <f t="shared" si="31"/>
        <v>314.23170707821834</v>
      </c>
      <c r="P302">
        <f t="shared" si="32"/>
        <v>0</v>
      </c>
      <c r="Q302">
        <f t="shared" si="33"/>
        <v>0</v>
      </c>
      <c r="R302">
        <f t="shared" si="34"/>
        <v>0</v>
      </c>
      <c r="T302">
        <f t="shared" si="35"/>
        <v>0.14697032678155222</v>
      </c>
      <c r="U302">
        <f t="shared" si="36"/>
        <v>33.099525872868391</v>
      </c>
      <c r="V302">
        <f t="shared" si="37"/>
        <v>9.4144214172753546</v>
      </c>
    </row>
    <row r="303" spans="1:22" x14ac:dyDescent="0.3">
      <c r="A303" s="1">
        <v>43157</v>
      </c>
      <c r="B303" s="1">
        <v>43248</v>
      </c>
      <c r="C303">
        <v>316.53289989233002</v>
      </c>
      <c r="D303">
        <v>318.10000000000002</v>
      </c>
      <c r="E303">
        <v>317.10000000000002</v>
      </c>
      <c r="F303">
        <v>-1</v>
      </c>
      <c r="G303">
        <v>-0.56710010766982999</v>
      </c>
      <c r="H303">
        <v>1</v>
      </c>
      <c r="J303" s="1">
        <v>43157</v>
      </c>
      <c r="K303">
        <v>318.10000000000002</v>
      </c>
      <c r="L303">
        <v>316.53289989233002</v>
      </c>
      <c r="M303">
        <v>317.1291726998985</v>
      </c>
      <c r="N303">
        <f t="shared" si="31"/>
        <v>316.83103629611423</v>
      </c>
      <c r="P303">
        <f t="shared" si="32"/>
        <v>0</v>
      </c>
      <c r="Q303">
        <f t="shared" si="33"/>
        <v>1</v>
      </c>
      <c r="R303">
        <f t="shared" si="34"/>
        <v>0</v>
      </c>
      <c r="T303">
        <f t="shared" si="35"/>
        <v>2.4558027474593285</v>
      </c>
      <c r="U303">
        <f t="shared" si="36"/>
        <v>0.9425056466224041</v>
      </c>
      <c r="V303">
        <f t="shared" si="37"/>
        <v>1.6102688817795383</v>
      </c>
    </row>
    <row r="304" spans="1:22" x14ac:dyDescent="0.3">
      <c r="A304" s="1">
        <v>43158</v>
      </c>
      <c r="B304" s="1">
        <v>43249</v>
      </c>
      <c r="C304">
        <v>313.78269791602997</v>
      </c>
      <c r="D304">
        <v>314.89999997615803</v>
      </c>
      <c r="E304">
        <v>315.75</v>
      </c>
      <c r="F304">
        <v>0.85000002384185702</v>
      </c>
      <c r="G304">
        <v>-1.96730208396911</v>
      </c>
      <c r="H304">
        <v>-0.85000002384185702</v>
      </c>
      <c r="J304" s="1">
        <v>43158</v>
      </c>
      <c r="K304">
        <v>314.89999997615803</v>
      </c>
      <c r="L304">
        <v>313.78269791602997</v>
      </c>
      <c r="M304">
        <v>313.03422737121582</v>
      </c>
      <c r="N304">
        <f t="shared" si="31"/>
        <v>313.4084626436229</v>
      </c>
      <c r="P304">
        <f t="shared" si="32"/>
        <v>1</v>
      </c>
      <c r="Q304">
        <f t="shared" si="33"/>
        <v>1</v>
      </c>
      <c r="R304">
        <f t="shared" si="34"/>
        <v>1</v>
      </c>
      <c r="T304">
        <f t="shared" si="35"/>
        <v>1.2483638935663939</v>
      </c>
      <c r="U304">
        <f t="shared" si="36"/>
        <v>3.481107413352833</v>
      </c>
      <c r="V304">
        <f t="shared" si="37"/>
        <v>2.2246836143460142</v>
      </c>
    </row>
    <row r="305" spans="1:22" x14ac:dyDescent="0.3">
      <c r="A305" s="1">
        <v>43159</v>
      </c>
      <c r="B305" s="1">
        <v>43250</v>
      </c>
      <c r="C305">
        <v>307.91730613708398</v>
      </c>
      <c r="D305">
        <v>307.54999990463199</v>
      </c>
      <c r="E305">
        <v>312.45</v>
      </c>
      <c r="F305">
        <v>4.9000000953674299</v>
      </c>
      <c r="G305">
        <v>-4.5326938629150302</v>
      </c>
      <c r="H305">
        <v>-4.9000000953674299</v>
      </c>
      <c r="J305" s="1">
        <v>43159</v>
      </c>
      <c r="K305">
        <v>307.54999990463199</v>
      </c>
      <c r="L305">
        <v>307.91730613708398</v>
      </c>
      <c r="M305">
        <v>317.72710199356078</v>
      </c>
      <c r="N305">
        <f t="shared" si="31"/>
        <v>312.82220406532235</v>
      </c>
      <c r="P305">
        <f t="shared" si="32"/>
        <v>1</v>
      </c>
      <c r="Q305">
        <f t="shared" si="33"/>
        <v>0</v>
      </c>
      <c r="R305">
        <f t="shared" si="34"/>
        <v>0</v>
      </c>
      <c r="T305">
        <f t="shared" si="35"/>
        <v>0.13491386839807876</v>
      </c>
      <c r="U305">
        <f t="shared" si="36"/>
        <v>103.57340692847876</v>
      </c>
      <c r="V305">
        <f t="shared" si="37"/>
        <v>27.796136712000791</v>
      </c>
    </row>
    <row r="306" spans="1:22" x14ac:dyDescent="0.3">
      <c r="A306" s="1">
        <v>43160</v>
      </c>
      <c r="B306" s="1">
        <v>43251</v>
      </c>
      <c r="C306">
        <v>308.30585927963199</v>
      </c>
      <c r="D306">
        <v>309.15000004768302</v>
      </c>
      <c r="E306">
        <v>312.45</v>
      </c>
      <c r="F306">
        <v>3.2999999523162802</v>
      </c>
      <c r="G306">
        <v>-4.1441407203674299</v>
      </c>
      <c r="H306">
        <v>-3.2999999523162802</v>
      </c>
      <c r="J306" s="1">
        <v>43160</v>
      </c>
      <c r="K306">
        <v>309.15000004768302</v>
      </c>
      <c r="L306">
        <v>308.30585927963199</v>
      </c>
      <c r="M306">
        <v>318.50246067047118</v>
      </c>
      <c r="N306">
        <f t="shared" si="31"/>
        <v>313.40415997505158</v>
      </c>
      <c r="P306">
        <f t="shared" si="32"/>
        <v>1</v>
      </c>
      <c r="Q306">
        <f t="shared" si="33"/>
        <v>0</v>
      </c>
      <c r="R306">
        <f t="shared" si="34"/>
        <v>0</v>
      </c>
      <c r="T306">
        <f t="shared" si="35"/>
        <v>0.71257363628578918</v>
      </c>
      <c r="U306">
        <f t="shared" si="36"/>
        <v>87.468519700803057</v>
      </c>
      <c r="V306">
        <f t="shared" si="37"/>
        <v>18.097876687628489</v>
      </c>
    </row>
    <row r="307" spans="1:22" x14ac:dyDescent="0.3">
      <c r="A307" s="1">
        <v>43161</v>
      </c>
      <c r="B307" s="1">
        <v>43252</v>
      </c>
      <c r="C307">
        <v>309.50067248344402</v>
      </c>
      <c r="D307">
        <v>311.39999999999998</v>
      </c>
      <c r="E307">
        <v>308.14999999999998</v>
      </c>
      <c r="F307">
        <v>3.25</v>
      </c>
      <c r="G307">
        <v>1.3506724834442101</v>
      </c>
      <c r="H307">
        <v>3.25</v>
      </c>
      <c r="J307" s="1">
        <v>43161</v>
      </c>
      <c r="K307">
        <v>311.39999999999998</v>
      </c>
      <c r="L307">
        <v>309.50067248344402</v>
      </c>
      <c r="M307">
        <v>313.16356649398801</v>
      </c>
      <c r="N307">
        <f t="shared" si="31"/>
        <v>311.33211948871599</v>
      </c>
      <c r="P307">
        <f t="shared" si="32"/>
        <v>1</v>
      </c>
      <c r="Q307">
        <f t="shared" si="33"/>
        <v>1</v>
      </c>
      <c r="R307">
        <f t="shared" si="34"/>
        <v>1</v>
      </c>
      <c r="T307">
        <f t="shared" si="35"/>
        <v>3.607445015146618</v>
      </c>
      <c r="U307">
        <f t="shared" si="36"/>
        <v>3.1101667787172573</v>
      </c>
      <c r="V307">
        <f t="shared" si="37"/>
        <v>4.6077638121756487E-3</v>
      </c>
    </row>
    <row r="308" spans="1:22" x14ac:dyDescent="0.3">
      <c r="A308" s="1">
        <v>43164</v>
      </c>
      <c r="B308" s="1">
        <v>43255</v>
      </c>
      <c r="C308">
        <v>309.19496736526401</v>
      </c>
      <c r="D308">
        <v>313.15000019073398</v>
      </c>
      <c r="E308">
        <v>303.85000000000002</v>
      </c>
      <c r="F308">
        <v>9.3000001907348597</v>
      </c>
      <c r="G308">
        <v>5.3449673652648899</v>
      </c>
      <c r="H308">
        <v>9.3000001907348597</v>
      </c>
      <c r="J308" s="1">
        <v>43164</v>
      </c>
      <c r="K308">
        <v>313.15000019073398</v>
      </c>
      <c r="L308">
        <v>309.19496736526401</v>
      </c>
      <c r="M308">
        <v>310.40786752700808</v>
      </c>
      <c r="N308">
        <f t="shared" si="31"/>
        <v>309.80141744613604</v>
      </c>
      <c r="P308">
        <f t="shared" si="32"/>
        <v>1</v>
      </c>
      <c r="Q308">
        <f t="shared" si="33"/>
        <v>1</v>
      </c>
      <c r="R308">
        <f t="shared" si="34"/>
        <v>1</v>
      </c>
      <c r="T308">
        <f t="shared" si="35"/>
        <v>15.64228465054498</v>
      </c>
      <c r="U308">
        <f t="shared" si="36"/>
        <v>7.519291545472484</v>
      </c>
      <c r="V308">
        <f t="shared" si="37"/>
        <v>11.213006397419033</v>
      </c>
    </row>
    <row r="309" spans="1:22" x14ac:dyDescent="0.3">
      <c r="A309" s="1">
        <v>43165</v>
      </c>
      <c r="B309" s="1">
        <v>43256</v>
      </c>
      <c r="C309">
        <v>312.80387787818898</v>
      </c>
      <c r="D309">
        <v>313.75000004768299</v>
      </c>
      <c r="E309">
        <v>310.3</v>
      </c>
      <c r="F309">
        <v>3.45000004768371</v>
      </c>
      <c r="G309">
        <v>2.5038778781890798</v>
      </c>
      <c r="H309">
        <v>3.45000004768371</v>
      </c>
      <c r="J309" s="1">
        <v>43165</v>
      </c>
      <c r="K309">
        <v>313.75000004768299</v>
      </c>
      <c r="L309">
        <v>312.80387787818898</v>
      </c>
      <c r="M309">
        <v>308.60162024497987</v>
      </c>
      <c r="N309">
        <f t="shared" si="31"/>
        <v>310.70274906158443</v>
      </c>
      <c r="P309">
        <f t="shared" si="32"/>
        <v>1</v>
      </c>
      <c r="Q309">
        <f t="shared" si="33"/>
        <v>0</v>
      </c>
      <c r="R309">
        <f t="shared" si="34"/>
        <v>1</v>
      </c>
      <c r="T309">
        <f t="shared" si="35"/>
        <v>0.89514715960804014</v>
      </c>
      <c r="U309">
        <f t="shared" si="36"/>
        <v>26.5058145928814</v>
      </c>
      <c r="V309">
        <f t="shared" si="37"/>
        <v>9.2857385722786532</v>
      </c>
    </row>
    <row r="310" spans="1:22" x14ac:dyDescent="0.3">
      <c r="A310" s="1">
        <v>43166</v>
      </c>
      <c r="B310" s="1">
        <v>43257</v>
      </c>
      <c r="C310">
        <v>311.80585188865598</v>
      </c>
      <c r="D310">
        <v>313.74999995231599</v>
      </c>
      <c r="E310">
        <v>310.45</v>
      </c>
      <c r="F310">
        <v>3.2999999523162802</v>
      </c>
      <c r="G310">
        <v>1.35585188865661</v>
      </c>
      <c r="H310">
        <v>3.2999999523162802</v>
      </c>
      <c r="J310" s="1">
        <v>43166</v>
      </c>
      <c r="K310">
        <v>313.74999995231599</v>
      </c>
      <c r="L310">
        <v>311.80585188865598</v>
      </c>
      <c r="M310">
        <v>310.54431289136409</v>
      </c>
      <c r="N310">
        <f t="shared" si="31"/>
        <v>311.17508239001006</v>
      </c>
      <c r="P310">
        <f t="shared" si="32"/>
        <v>1</v>
      </c>
      <c r="Q310">
        <f t="shared" si="33"/>
        <v>1</v>
      </c>
      <c r="R310">
        <f t="shared" si="34"/>
        <v>1</v>
      </c>
      <c r="T310">
        <f t="shared" si="35"/>
        <v>3.7797116934329624</v>
      </c>
      <c r="U310">
        <f t="shared" si="36"/>
        <v>10.276429532754445</v>
      </c>
      <c r="V310">
        <f t="shared" si="37"/>
        <v>6.6302004526714988</v>
      </c>
    </row>
    <row r="311" spans="1:22" x14ac:dyDescent="0.3">
      <c r="A311" s="1">
        <v>43167</v>
      </c>
      <c r="B311" s="1">
        <v>43258</v>
      </c>
      <c r="C311">
        <v>310.215319728851</v>
      </c>
      <c r="D311">
        <v>316.85000000000002</v>
      </c>
      <c r="E311">
        <v>313.60000000000002</v>
      </c>
      <c r="F311">
        <v>-3.25</v>
      </c>
      <c r="G311">
        <v>-3.3846802711486799</v>
      </c>
      <c r="H311">
        <v>3.25</v>
      </c>
      <c r="J311" s="1">
        <v>43167</v>
      </c>
      <c r="K311">
        <v>316.85000000000002</v>
      </c>
      <c r="L311">
        <v>310.215319728851</v>
      </c>
      <c r="M311">
        <v>311.07213554382326</v>
      </c>
      <c r="N311">
        <f t="shared" si="31"/>
        <v>310.64372763633713</v>
      </c>
      <c r="P311">
        <f t="shared" si="32"/>
        <v>0</v>
      </c>
      <c r="Q311">
        <f t="shared" si="33"/>
        <v>0</v>
      </c>
      <c r="R311">
        <f t="shared" si="34"/>
        <v>0</v>
      </c>
      <c r="T311">
        <f t="shared" si="35"/>
        <v>44.01898230037407</v>
      </c>
      <c r="U311">
        <f t="shared" si="36"/>
        <v>33.383717673950741</v>
      </c>
      <c r="V311">
        <f t="shared" si="37"/>
        <v>38.517816651965759</v>
      </c>
    </row>
    <row r="312" spans="1:22" x14ac:dyDescent="0.3">
      <c r="A312" s="1">
        <v>43168</v>
      </c>
      <c r="B312" s="1">
        <v>43259</v>
      </c>
      <c r="C312">
        <v>312.659924602508</v>
      </c>
      <c r="D312">
        <v>313.300000047683</v>
      </c>
      <c r="E312">
        <v>317.10000000000002</v>
      </c>
      <c r="F312">
        <v>3.7999999523162802</v>
      </c>
      <c r="G312">
        <v>-4.4400753974914497</v>
      </c>
      <c r="H312">
        <v>-3.7999999523162802</v>
      </c>
      <c r="J312" s="1">
        <v>43168</v>
      </c>
      <c r="K312">
        <v>313.300000047683</v>
      </c>
      <c r="L312">
        <v>312.659924602508</v>
      </c>
      <c r="M312">
        <v>315.45558509826662</v>
      </c>
      <c r="N312">
        <f t="shared" si="31"/>
        <v>314.05775485038731</v>
      </c>
      <c r="P312">
        <f t="shared" si="32"/>
        <v>1</v>
      </c>
      <c r="Q312">
        <f t="shared" si="33"/>
        <v>1</v>
      </c>
      <c r="R312">
        <f t="shared" si="34"/>
        <v>1</v>
      </c>
      <c r="T312">
        <f t="shared" si="35"/>
        <v>0.40969657551597488</v>
      </c>
      <c r="U312">
        <f t="shared" si="36"/>
        <v>4.646546910299608</v>
      </c>
      <c r="V312">
        <f t="shared" si="37"/>
        <v>0.57419234102145111</v>
      </c>
    </row>
    <row r="313" spans="1:22" x14ac:dyDescent="0.3">
      <c r="A313" s="1">
        <v>43171</v>
      </c>
      <c r="B313" s="1">
        <v>43262</v>
      </c>
      <c r="C313">
        <v>312.79960737228299</v>
      </c>
      <c r="D313">
        <v>316.14999995231602</v>
      </c>
      <c r="E313">
        <v>320.10000000000002</v>
      </c>
      <c r="F313">
        <v>3.95000004768371</v>
      </c>
      <c r="G313">
        <v>-7.30039262771606</v>
      </c>
      <c r="H313">
        <v>-3.95000004768371</v>
      </c>
      <c r="J313" s="1">
        <v>43171</v>
      </c>
      <c r="K313">
        <v>316.14999995231602</v>
      </c>
      <c r="L313">
        <v>312.79960737228299</v>
      </c>
      <c r="M313">
        <v>316.77148828506472</v>
      </c>
      <c r="N313">
        <f t="shared" si="31"/>
        <v>314.78554782867388</v>
      </c>
      <c r="P313">
        <f t="shared" si="32"/>
        <v>1</v>
      </c>
      <c r="Q313">
        <f t="shared" si="33"/>
        <v>1</v>
      </c>
      <c r="R313">
        <f t="shared" si="34"/>
        <v>1</v>
      </c>
      <c r="T313">
        <f t="shared" si="35"/>
        <v>11.225130440340388</v>
      </c>
      <c r="U313">
        <f t="shared" si="36"/>
        <v>0.3862477477427555</v>
      </c>
      <c r="V313">
        <f t="shared" si="37"/>
        <v>1.8617295977115411</v>
      </c>
    </row>
    <row r="314" spans="1:22" x14ac:dyDescent="0.3">
      <c r="A314" s="1">
        <v>43172</v>
      </c>
      <c r="B314" s="1">
        <v>43263</v>
      </c>
      <c r="C314">
        <v>317.62568140029902</v>
      </c>
      <c r="D314">
        <v>315.65000009536698</v>
      </c>
      <c r="E314">
        <v>321.5</v>
      </c>
      <c r="F314">
        <v>5.8499999046325604</v>
      </c>
      <c r="G314">
        <v>-3.8743185997009202</v>
      </c>
      <c r="H314">
        <v>-5.8499999046325604</v>
      </c>
      <c r="J314" s="1">
        <v>43172</v>
      </c>
      <c r="K314">
        <v>315.65000009536698</v>
      </c>
      <c r="L314">
        <v>317.62568140029902</v>
      </c>
      <c r="M314">
        <v>317.58258438110352</v>
      </c>
      <c r="N314">
        <f t="shared" si="31"/>
        <v>317.60413289070129</v>
      </c>
      <c r="P314">
        <f t="shared" si="32"/>
        <v>1</v>
      </c>
      <c r="Q314">
        <f t="shared" si="33"/>
        <v>1</v>
      </c>
      <c r="R314">
        <f t="shared" si="34"/>
        <v>1</v>
      </c>
      <c r="T314">
        <f t="shared" si="35"/>
        <v>3.9033166186579624</v>
      </c>
      <c r="U314">
        <f t="shared" si="36"/>
        <v>3.7348820214758076</v>
      </c>
      <c r="V314">
        <f t="shared" si="37"/>
        <v>3.8186349818011118</v>
      </c>
    </row>
    <row r="315" spans="1:22" x14ac:dyDescent="0.3">
      <c r="A315" s="1">
        <v>43173</v>
      </c>
      <c r="B315" s="1">
        <v>43264</v>
      </c>
      <c r="C315">
        <v>316.57684593200599</v>
      </c>
      <c r="D315">
        <v>315.64999990463201</v>
      </c>
      <c r="E315">
        <v>321.55</v>
      </c>
      <c r="F315">
        <v>5.9000000953674299</v>
      </c>
      <c r="G315">
        <v>-4.9731540679931596</v>
      </c>
      <c r="H315">
        <v>-5.9000000953674299</v>
      </c>
      <c r="J315" s="1">
        <v>43173</v>
      </c>
      <c r="K315">
        <v>315.64999990463201</v>
      </c>
      <c r="L315">
        <v>316.57684593200599</v>
      </c>
      <c r="M315">
        <v>318.9106312274933</v>
      </c>
      <c r="N315">
        <f t="shared" si="31"/>
        <v>317.74373857974967</v>
      </c>
      <c r="P315">
        <f t="shared" si="32"/>
        <v>1</v>
      </c>
      <c r="Q315">
        <f t="shared" si="33"/>
        <v>1</v>
      </c>
      <c r="R315">
        <f t="shared" si="34"/>
        <v>1</v>
      </c>
      <c r="T315">
        <f t="shared" si="35"/>
        <v>0.85904355845893476</v>
      </c>
      <c r="U315">
        <f t="shared" si="36"/>
        <v>10.631716623624142</v>
      </c>
      <c r="V315">
        <f t="shared" si="37"/>
        <v>4.3837416396834676</v>
      </c>
    </row>
    <row r="316" spans="1:22" x14ac:dyDescent="0.3">
      <c r="A316" s="1">
        <v>43174</v>
      </c>
      <c r="B316" s="1">
        <v>43265</v>
      </c>
      <c r="C316">
        <v>316.519941425323</v>
      </c>
      <c r="D316">
        <v>310.40000019073398</v>
      </c>
      <c r="E316">
        <v>322.85000000000002</v>
      </c>
      <c r="F316">
        <v>12.449999809265099</v>
      </c>
      <c r="G316">
        <v>-6.3300585746765101</v>
      </c>
      <c r="H316">
        <v>-12.449999809265099</v>
      </c>
      <c r="J316" s="1">
        <v>43174</v>
      </c>
      <c r="K316">
        <v>310.40000019073398</v>
      </c>
      <c r="L316">
        <v>316.519941425323</v>
      </c>
      <c r="M316">
        <v>323.65702286958697</v>
      </c>
      <c r="N316">
        <f t="shared" si="31"/>
        <v>320.08848214745501</v>
      </c>
      <c r="P316">
        <f t="shared" si="32"/>
        <v>1</v>
      </c>
      <c r="Q316">
        <f t="shared" si="33"/>
        <v>0</v>
      </c>
      <c r="R316">
        <f t="shared" si="34"/>
        <v>1</v>
      </c>
      <c r="T316">
        <f t="shared" si="35"/>
        <v>37.453680714822987</v>
      </c>
      <c r="U316">
        <f t="shared" si="36"/>
        <v>175.74865030762254</v>
      </c>
      <c r="V316">
        <f t="shared" si="37"/>
        <v>93.866682625709046</v>
      </c>
    </row>
    <row r="317" spans="1:22" x14ac:dyDescent="0.3">
      <c r="A317" s="1">
        <v>43175</v>
      </c>
      <c r="B317" s="1">
        <v>43266</v>
      </c>
      <c r="C317">
        <v>311.846845626831</v>
      </c>
      <c r="D317">
        <v>309.19999980926502</v>
      </c>
      <c r="E317">
        <v>322</v>
      </c>
      <c r="F317">
        <v>12.800000190734799</v>
      </c>
      <c r="G317">
        <v>-10.153154373168899</v>
      </c>
      <c r="H317">
        <v>-12.800000190734799</v>
      </c>
      <c r="J317" s="1">
        <v>43175</v>
      </c>
      <c r="K317">
        <v>309.19999980926502</v>
      </c>
      <c r="L317">
        <v>311.846845626831</v>
      </c>
      <c r="M317">
        <v>322.26167142391205</v>
      </c>
      <c r="N317">
        <f t="shared" si="31"/>
        <v>317.05425852537155</v>
      </c>
      <c r="P317">
        <f t="shared" si="32"/>
        <v>1</v>
      </c>
      <c r="Q317">
        <f t="shared" si="33"/>
        <v>0</v>
      </c>
      <c r="R317">
        <f t="shared" si="34"/>
        <v>1</v>
      </c>
      <c r="T317">
        <f t="shared" si="35"/>
        <v>7.0057927819664938</v>
      </c>
      <c r="U317">
        <f t="shared" si="36"/>
        <v>170.60726536887583</v>
      </c>
      <c r="V317">
        <f t="shared" si="37"/>
        <v>61.689379979535374</v>
      </c>
    </row>
    <row r="318" spans="1:22" x14ac:dyDescent="0.3">
      <c r="A318" s="1">
        <v>43178</v>
      </c>
      <c r="B318" s="1">
        <v>43269</v>
      </c>
      <c r="C318">
        <v>310.93069133758502</v>
      </c>
      <c r="D318">
        <v>305.85000000000002</v>
      </c>
      <c r="E318">
        <v>319.85000000000002</v>
      </c>
      <c r="F318">
        <v>14</v>
      </c>
      <c r="G318">
        <v>-8.9193086624145508</v>
      </c>
      <c r="H318">
        <v>-14</v>
      </c>
      <c r="J318" s="1">
        <v>43178</v>
      </c>
      <c r="K318">
        <v>305.85000000000002</v>
      </c>
      <c r="L318">
        <v>310.93069133758502</v>
      </c>
      <c r="M318">
        <v>325.43489656448367</v>
      </c>
      <c r="N318">
        <f t="shared" si="31"/>
        <v>318.18279395103434</v>
      </c>
      <c r="P318">
        <f t="shared" si="32"/>
        <v>1</v>
      </c>
      <c r="Q318">
        <f t="shared" si="33"/>
        <v>0</v>
      </c>
      <c r="R318">
        <f t="shared" si="34"/>
        <v>1</v>
      </c>
      <c r="T318">
        <f t="shared" si="35"/>
        <v>25.813424467811199</v>
      </c>
      <c r="U318">
        <f t="shared" si="36"/>
        <v>383.56817344152319</v>
      </c>
      <c r="V318">
        <f t="shared" si="37"/>
        <v>152.09780663866869</v>
      </c>
    </row>
    <row r="319" spans="1:22" x14ac:dyDescent="0.3">
      <c r="A319" s="1">
        <v>43179</v>
      </c>
      <c r="B319" s="1">
        <v>43270</v>
      </c>
      <c r="C319">
        <v>316.820167350769</v>
      </c>
      <c r="D319">
        <v>301.34999923705999</v>
      </c>
      <c r="E319">
        <v>321.3</v>
      </c>
      <c r="F319">
        <v>19.9500007629394</v>
      </c>
      <c r="G319">
        <v>-4.4798326492309499</v>
      </c>
      <c r="H319">
        <v>-19.9500007629394</v>
      </c>
      <c r="J319" s="1">
        <v>43179</v>
      </c>
      <c r="K319">
        <v>301.34999923705999</v>
      </c>
      <c r="L319">
        <v>316.820167350769</v>
      </c>
      <c r="M319">
        <v>324.58055834770204</v>
      </c>
      <c r="N319">
        <f t="shared" si="31"/>
        <v>320.70036284923549</v>
      </c>
      <c r="P319">
        <f t="shared" si="32"/>
        <v>1</v>
      </c>
      <c r="Q319">
        <f t="shared" si="33"/>
        <v>0</v>
      </c>
      <c r="R319">
        <f t="shared" si="34"/>
        <v>1</v>
      </c>
      <c r="T319">
        <f t="shared" si="35"/>
        <v>239.32610146641892</v>
      </c>
      <c r="U319">
        <f t="shared" si="36"/>
        <v>539.65887659303428</v>
      </c>
      <c r="V319">
        <f t="shared" si="37"/>
        <v>374.43657192340567</v>
      </c>
    </row>
    <row r="320" spans="1:22" x14ac:dyDescent="0.3">
      <c r="A320" s="1">
        <v>43180</v>
      </c>
      <c r="B320" s="1">
        <v>43271</v>
      </c>
      <c r="C320">
        <v>313.54251060485802</v>
      </c>
      <c r="D320">
        <v>304.20000038146901</v>
      </c>
      <c r="E320">
        <v>321.60000000000002</v>
      </c>
      <c r="F320">
        <v>17.399999618530199</v>
      </c>
      <c r="G320">
        <v>-8.0574893951415998</v>
      </c>
      <c r="H320">
        <v>-17.399999618530199</v>
      </c>
      <c r="J320" s="1">
        <v>43180</v>
      </c>
      <c r="K320">
        <v>304.20000038146901</v>
      </c>
      <c r="L320">
        <v>313.54251060485802</v>
      </c>
      <c r="M320">
        <v>325.31139144897463</v>
      </c>
      <c r="N320">
        <f t="shared" si="31"/>
        <v>319.4269510269163</v>
      </c>
      <c r="P320">
        <f t="shared" si="32"/>
        <v>1</v>
      </c>
      <c r="Q320">
        <f t="shared" si="33"/>
        <v>0</v>
      </c>
      <c r="R320">
        <f t="shared" si="34"/>
        <v>1</v>
      </c>
      <c r="T320">
        <f t="shared" si="35"/>
        <v>87.282497274128218</v>
      </c>
      <c r="U320">
        <f t="shared" si="36"/>
        <v>445.69083280515616</v>
      </c>
      <c r="V320">
        <f t="shared" si="37"/>
        <v>231.8600259588876</v>
      </c>
    </row>
    <row r="321" spans="1:22" x14ac:dyDescent="0.3">
      <c r="A321" s="1">
        <v>43181</v>
      </c>
      <c r="B321" s="1">
        <v>43272</v>
      </c>
      <c r="C321">
        <v>324.619191265106</v>
      </c>
      <c r="D321">
        <v>300.74999961853001</v>
      </c>
      <c r="E321">
        <v>322.10000000000002</v>
      </c>
      <c r="F321">
        <v>-21.350000381469702</v>
      </c>
      <c r="G321">
        <v>2.5191912651061998</v>
      </c>
      <c r="H321">
        <v>-21.350000381469702</v>
      </c>
      <c r="J321" s="1">
        <v>43181</v>
      </c>
      <c r="K321">
        <v>300.74999961853001</v>
      </c>
      <c r="L321">
        <v>324.619191265106</v>
      </c>
      <c r="M321">
        <v>332.28925571441653</v>
      </c>
      <c r="N321">
        <f t="shared" si="31"/>
        <v>328.45422348976126</v>
      </c>
      <c r="P321">
        <f t="shared" si="32"/>
        <v>0</v>
      </c>
      <c r="Q321">
        <f t="shared" si="33"/>
        <v>0</v>
      </c>
      <c r="R321">
        <f t="shared" si="34"/>
        <v>0</v>
      </c>
      <c r="T321">
        <f t="shared" si="35"/>
        <v>569.73830986097278</v>
      </c>
      <c r="U321">
        <f t="shared" si="36"/>
        <v>994.72467508191471</v>
      </c>
      <c r="V321">
        <f t="shared" si="37"/>
        <v>767.52402030729945</v>
      </c>
    </row>
    <row r="322" spans="1:22" x14ac:dyDescent="0.3">
      <c r="A322" s="1">
        <v>43182</v>
      </c>
      <c r="B322" s="1">
        <v>43273</v>
      </c>
      <c r="C322">
        <v>328.53320503234801</v>
      </c>
      <c r="D322">
        <v>303.65000009536698</v>
      </c>
      <c r="E322">
        <v>311.5</v>
      </c>
      <c r="F322">
        <v>-7.8499999046325604</v>
      </c>
      <c r="G322">
        <v>17.033205032348601</v>
      </c>
      <c r="H322">
        <v>-7.8499999046325604</v>
      </c>
      <c r="J322" s="1">
        <v>43182</v>
      </c>
      <c r="K322">
        <v>303.65000009536698</v>
      </c>
      <c r="L322">
        <v>328.53320503234801</v>
      </c>
      <c r="M322">
        <v>327.96754455566401</v>
      </c>
      <c r="N322">
        <f t="shared" si="31"/>
        <v>328.25037479400601</v>
      </c>
      <c r="P322">
        <f t="shared" si="32"/>
        <v>0</v>
      </c>
      <c r="Q322">
        <f t="shared" si="33"/>
        <v>0</v>
      </c>
      <c r="R322">
        <f t="shared" si="34"/>
        <v>0</v>
      </c>
      <c r="T322">
        <f t="shared" si="35"/>
        <v>619.1738879357971</v>
      </c>
      <c r="U322">
        <f t="shared" si="36"/>
        <v>591.34296857852269</v>
      </c>
      <c r="V322">
        <f t="shared" si="37"/>
        <v>605.17843531343931</v>
      </c>
    </row>
    <row r="323" spans="1:22" x14ac:dyDescent="0.3">
      <c r="A323" s="1">
        <v>43185</v>
      </c>
      <c r="B323" s="1">
        <v>43276</v>
      </c>
      <c r="C323">
        <v>334.03322219848599</v>
      </c>
      <c r="D323">
        <v>303.25</v>
      </c>
      <c r="E323">
        <v>314.5</v>
      </c>
      <c r="F323">
        <v>-11.25</v>
      </c>
      <c r="G323">
        <v>19.5332221984863</v>
      </c>
      <c r="H323">
        <v>-11.25</v>
      </c>
      <c r="J323" s="1">
        <v>43185</v>
      </c>
      <c r="K323">
        <v>303.25</v>
      </c>
      <c r="L323">
        <v>334.03322219848599</v>
      </c>
      <c r="M323">
        <v>322.3969407081604</v>
      </c>
      <c r="N323">
        <f t="shared" ref="N323:N332" si="38">AVERAGE(L323:M323)</f>
        <v>328.21508145332319</v>
      </c>
      <c r="P323">
        <f t="shared" ref="P323:P332" si="39">IF((E323-K323)*(E323-L323)&gt;0,1,0)</f>
        <v>0</v>
      </c>
      <c r="Q323">
        <f t="shared" ref="Q323:Q332" si="40">IF((E323-K323)*(E323-M323)&gt;0,1,0)</f>
        <v>0</v>
      </c>
      <c r="R323">
        <f t="shared" ref="R323:R332" si="41">IF((E323-K323)*(E323-N323)&gt;0,1,0)</f>
        <v>0</v>
      </c>
      <c r="T323">
        <f t="shared" si="35"/>
        <v>947.60676892136041</v>
      </c>
      <c r="U323">
        <f t="shared" si="36"/>
        <v>366.60533848180989</v>
      </c>
      <c r="V323">
        <f t="shared" si="37"/>
        <v>623.25529197106175</v>
      </c>
    </row>
    <row r="324" spans="1:22" x14ac:dyDescent="0.3">
      <c r="A324" s="1">
        <v>43186</v>
      </c>
      <c r="B324" s="1">
        <v>43277</v>
      </c>
      <c r="C324">
        <v>319.17719259261997</v>
      </c>
      <c r="D324">
        <v>302.39999999999998</v>
      </c>
      <c r="E324">
        <v>315.14999999999998</v>
      </c>
      <c r="F324">
        <v>-12.75</v>
      </c>
      <c r="G324">
        <v>4.0271925926208496</v>
      </c>
      <c r="H324">
        <v>-12.75</v>
      </c>
      <c r="J324" s="1">
        <v>43186</v>
      </c>
      <c r="K324">
        <v>302.39999999999998</v>
      </c>
      <c r="L324">
        <v>319.17719259261997</v>
      </c>
      <c r="M324">
        <v>325.10567893981931</v>
      </c>
      <c r="N324">
        <f t="shared" si="38"/>
        <v>322.14143576621962</v>
      </c>
      <c r="P324">
        <f t="shared" si="39"/>
        <v>0</v>
      </c>
      <c r="Q324">
        <f t="shared" si="40"/>
        <v>0</v>
      </c>
      <c r="R324">
        <f t="shared" si="41"/>
        <v>0</v>
      </c>
      <c r="T324">
        <f t="shared" si="35"/>
        <v>281.47419128986331</v>
      </c>
      <c r="U324">
        <f t="shared" si="36"/>
        <v>515.54785611815532</v>
      </c>
      <c r="V324">
        <f t="shared" si="37"/>
        <v>389.72428611177594</v>
      </c>
    </row>
    <row r="325" spans="1:22" x14ac:dyDescent="0.3">
      <c r="A325" s="1">
        <v>43187</v>
      </c>
      <c r="B325" s="1">
        <v>43278</v>
      </c>
      <c r="C325">
        <v>314.62239017486502</v>
      </c>
      <c r="D325">
        <v>301.54999961853002</v>
      </c>
      <c r="E325">
        <v>310.64999999999998</v>
      </c>
      <c r="F325">
        <v>-9.1000003814697195</v>
      </c>
      <c r="G325">
        <v>3.97239017486572</v>
      </c>
      <c r="H325">
        <v>-9.1000003814697195</v>
      </c>
      <c r="J325" s="1">
        <v>43187</v>
      </c>
      <c r="K325">
        <v>301.54999961853002</v>
      </c>
      <c r="L325">
        <v>314.62239017486502</v>
      </c>
      <c r="M325">
        <v>324.75332584381096</v>
      </c>
      <c r="N325">
        <f t="shared" si="38"/>
        <v>319.68785800933802</v>
      </c>
      <c r="P325">
        <f t="shared" si="39"/>
        <v>0</v>
      </c>
      <c r="Q325">
        <f t="shared" si="40"/>
        <v>0</v>
      </c>
      <c r="R325">
        <f t="shared" si="41"/>
        <v>0</v>
      </c>
      <c r="T325">
        <f t="shared" si="35"/>
        <v>170.88739485735636</v>
      </c>
      <c r="U325">
        <f t="shared" si="36"/>
        <v>538.39434791680992</v>
      </c>
      <c r="V325">
        <f t="shared" si="37"/>
        <v>328.98190700500385</v>
      </c>
    </row>
    <row r="326" spans="1:22" x14ac:dyDescent="0.3">
      <c r="A326" s="1">
        <v>43188</v>
      </c>
      <c r="B326" s="1">
        <v>43279</v>
      </c>
      <c r="C326">
        <v>306.74109334945598</v>
      </c>
      <c r="D326">
        <v>299.09999961852998</v>
      </c>
      <c r="E326">
        <v>314.45</v>
      </c>
      <c r="F326">
        <v>15.3500003814697</v>
      </c>
      <c r="G326">
        <v>-7.7089066505432102</v>
      </c>
      <c r="H326">
        <v>-15.3500003814697</v>
      </c>
      <c r="J326" s="1">
        <v>43188</v>
      </c>
      <c r="K326">
        <v>299.09999961852998</v>
      </c>
      <c r="L326">
        <v>306.74109334945598</v>
      </c>
      <c r="M326">
        <v>323.93626804351806</v>
      </c>
      <c r="N326">
        <f t="shared" si="38"/>
        <v>315.33868069648702</v>
      </c>
      <c r="P326">
        <f t="shared" si="39"/>
        <v>1</v>
      </c>
      <c r="Q326">
        <f t="shared" si="40"/>
        <v>0</v>
      </c>
      <c r="R326">
        <f t="shared" si="41"/>
        <v>0</v>
      </c>
      <c r="T326">
        <f t="shared" si="35"/>
        <v>58.386313404796653</v>
      </c>
      <c r="U326">
        <f t="shared" si="36"/>
        <v>616.84022927805972</v>
      </c>
      <c r="V326">
        <f t="shared" si="37"/>
        <v>263.6947631516</v>
      </c>
    </row>
    <row r="327" spans="1:22" x14ac:dyDescent="0.3">
      <c r="A327" s="1">
        <v>43189</v>
      </c>
      <c r="B327" s="1">
        <v>43280</v>
      </c>
      <c r="C327">
        <v>305.37374286651601</v>
      </c>
      <c r="D327">
        <v>299.99999980926498</v>
      </c>
      <c r="E327">
        <v>314.55</v>
      </c>
      <c r="F327">
        <v>14.550000190734799</v>
      </c>
      <c r="G327">
        <v>-9.1762571334838796</v>
      </c>
      <c r="H327">
        <v>-14.550000190734799</v>
      </c>
      <c r="J327" s="1">
        <v>43189</v>
      </c>
      <c r="K327">
        <v>299.99999980926498</v>
      </c>
      <c r="L327">
        <v>305.37374286651601</v>
      </c>
      <c r="M327">
        <v>325.48332862853999</v>
      </c>
      <c r="N327">
        <f t="shared" si="38"/>
        <v>315.42853574752803</v>
      </c>
      <c r="P327">
        <f t="shared" si="39"/>
        <v>1</v>
      </c>
      <c r="Q327">
        <f t="shared" si="40"/>
        <v>0</v>
      </c>
      <c r="R327">
        <f t="shared" si="41"/>
        <v>0</v>
      </c>
      <c r="T327">
        <f t="shared" si="35"/>
        <v>28.877114445353683</v>
      </c>
      <c r="U327">
        <f t="shared" si="36"/>
        <v>649.40004771129259</v>
      </c>
      <c r="V327">
        <f t="shared" si="37"/>
        <v>238.03972119827458</v>
      </c>
    </row>
    <row r="328" spans="1:22" x14ac:dyDescent="0.3">
      <c r="A328" s="1">
        <v>43192</v>
      </c>
      <c r="B328" s="1">
        <v>43283</v>
      </c>
      <c r="C328">
        <v>311.54183788299503</v>
      </c>
      <c r="D328">
        <v>292.90000076293899</v>
      </c>
      <c r="E328">
        <v>313.45</v>
      </c>
      <c r="F328">
        <v>20.549999237060501</v>
      </c>
      <c r="G328">
        <v>-1.9081621170043901</v>
      </c>
      <c r="H328">
        <v>-20.549999237060501</v>
      </c>
      <c r="J328" s="1">
        <v>43192</v>
      </c>
      <c r="K328">
        <v>292.90000076293899</v>
      </c>
      <c r="L328">
        <v>311.54183788299503</v>
      </c>
      <c r="M328">
        <v>326.06332416534417</v>
      </c>
      <c r="N328">
        <f t="shared" si="38"/>
        <v>318.80258102416963</v>
      </c>
      <c r="P328">
        <f t="shared" si="39"/>
        <v>1</v>
      </c>
      <c r="Q328">
        <f t="shared" si="40"/>
        <v>0</v>
      </c>
      <c r="R328">
        <f t="shared" si="41"/>
        <v>0</v>
      </c>
      <c r="T328">
        <f t="shared" si="35"/>
        <v>347.5180912106992</v>
      </c>
      <c r="U328">
        <f t="shared" si="36"/>
        <v>1099.8060190925153</v>
      </c>
      <c r="V328">
        <f t="shared" si="37"/>
        <v>670.94366418949517</v>
      </c>
    </row>
    <row r="329" spans="1:22" x14ac:dyDescent="0.3">
      <c r="A329" s="1">
        <v>43193</v>
      </c>
      <c r="B329" s="1">
        <v>43284</v>
      </c>
      <c r="C329">
        <v>309.35530071258501</v>
      </c>
      <c r="D329">
        <v>293.75000076293901</v>
      </c>
      <c r="E329">
        <v>312.8</v>
      </c>
      <c r="F329">
        <v>19.049999237060501</v>
      </c>
      <c r="G329">
        <v>-3.4446992874145499</v>
      </c>
      <c r="H329">
        <v>-19.049999237060501</v>
      </c>
      <c r="J329" s="1">
        <v>43193</v>
      </c>
      <c r="K329">
        <v>293.75000076293901</v>
      </c>
      <c r="L329">
        <v>309.35530071258501</v>
      </c>
      <c r="M329">
        <v>326.69541339874263</v>
      </c>
      <c r="N329">
        <f t="shared" si="38"/>
        <v>318.02535705566379</v>
      </c>
      <c r="P329">
        <f t="shared" si="39"/>
        <v>1</v>
      </c>
      <c r="Q329">
        <f t="shared" si="40"/>
        <v>0</v>
      </c>
      <c r="R329">
        <f t="shared" si="41"/>
        <v>0</v>
      </c>
      <c r="T329">
        <f t="shared" si="35"/>
        <v>243.52538651842133</v>
      </c>
      <c r="U329">
        <f t="shared" si="36"/>
        <v>1085.4002137433688</v>
      </c>
      <c r="V329">
        <f t="shared" si="37"/>
        <v>589.29292313873259</v>
      </c>
    </row>
    <row r="330" spans="1:22" x14ac:dyDescent="0.3">
      <c r="A330" s="1">
        <v>43194</v>
      </c>
      <c r="B330" s="1">
        <v>43285</v>
      </c>
      <c r="C330">
        <v>310.87191228866499</v>
      </c>
      <c r="D330">
        <v>292.55</v>
      </c>
      <c r="E330">
        <v>307.55</v>
      </c>
      <c r="F330">
        <v>-15</v>
      </c>
      <c r="G330">
        <v>3.3219122886657702</v>
      </c>
      <c r="H330">
        <v>-15</v>
      </c>
      <c r="J330" s="1">
        <v>43194</v>
      </c>
      <c r="K330">
        <v>292.55</v>
      </c>
      <c r="L330">
        <v>310.87191228866499</v>
      </c>
      <c r="M330">
        <v>326.0328548431396</v>
      </c>
      <c r="N330">
        <f t="shared" si="38"/>
        <v>318.45238356590232</v>
      </c>
      <c r="P330">
        <f t="shared" si="39"/>
        <v>0</v>
      </c>
      <c r="Q330">
        <f t="shared" si="40"/>
        <v>0</v>
      </c>
      <c r="R330">
        <f t="shared" si="41"/>
        <v>0</v>
      </c>
      <c r="T330">
        <f t="shared" si="35"/>
        <v>335.69246991353265</v>
      </c>
      <c r="U330">
        <f t="shared" si="36"/>
        <v>1121.1015684467563</v>
      </c>
      <c r="V330">
        <f t="shared" si="37"/>
        <v>670.93347439512615</v>
      </c>
    </row>
    <row r="331" spans="1:22" x14ac:dyDescent="0.3">
      <c r="A331" s="1">
        <v>43195</v>
      </c>
      <c r="B331" s="1">
        <v>43286</v>
      </c>
      <c r="C331">
        <v>313.11046279668801</v>
      </c>
      <c r="D331">
        <v>291.99999923706002</v>
      </c>
      <c r="E331">
        <v>312.95</v>
      </c>
      <c r="F331">
        <v>-20.9500007629394</v>
      </c>
      <c r="G331">
        <v>0.160462796688079</v>
      </c>
      <c r="H331">
        <v>-20.9500007629394</v>
      </c>
      <c r="J331" s="1">
        <v>43195</v>
      </c>
      <c r="K331">
        <v>291.99999923706002</v>
      </c>
      <c r="L331">
        <v>313.11046279668801</v>
      </c>
      <c r="M331">
        <v>328.29285640716552</v>
      </c>
      <c r="N331">
        <f t="shared" si="38"/>
        <v>320.70165960192674</v>
      </c>
      <c r="P331">
        <f t="shared" si="39"/>
        <v>0</v>
      </c>
      <c r="Q331">
        <f t="shared" si="40"/>
        <v>0</v>
      </c>
      <c r="R331">
        <f t="shared" si="41"/>
        <v>0</v>
      </c>
      <c r="T331">
        <f t="shared" si="35"/>
        <v>445.65167170238118</v>
      </c>
      <c r="U331">
        <f t="shared" si="36"/>
        <v>1317.1714815696776</v>
      </c>
      <c r="V331">
        <f t="shared" si="37"/>
        <v>823.78530770016073</v>
      </c>
    </row>
    <row r="332" spans="1:22" x14ac:dyDescent="0.3">
      <c r="A332" s="1">
        <v>43196</v>
      </c>
      <c r="B332" s="1">
        <v>43287</v>
      </c>
      <c r="C332">
        <v>310.606529188156</v>
      </c>
      <c r="D332">
        <v>293.59999961852998</v>
      </c>
      <c r="E332">
        <v>311.2</v>
      </c>
      <c r="F332">
        <v>17.600000381469702</v>
      </c>
      <c r="G332">
        <v>-0.59347081184387196</v>
      </c>
      <c r="H332">
        <v>-17.600000381469702</v>
      </c>
      <c r="J332" s="1">
        <v>43196</v>
      </c>
      <c r="K332">
        <v>293.59999961852998</v>
      </c>
      <c r="L332">
        <v>310.606529188156</v>
      </c>
      <c r="M332">
        <v>325.88246555328357</v>
      </c>
      <c r="N332">
        <f t="shared" si="38"/>
        <v>318.24449737071978</v>
      </c>
      <c r="P332">
        <f t="shared" si="39"/>
        <v>1</v>
      </c>
      <c r="Q332">
        <f t="shared" si="40"/>
        <v>0</v>
      </c>
      <c r="R332">
        <f t="shared" si="41"/>
        <v>0</v>
      </c>
      <c r="T332">
        <f t="shared" si="35"/>
        <v>289.22204800256435</v>
      </c>
      <c r="U332">
        <f t="shared" si="36"/>
        <v>1042.1576068285258</v>
      </c>
      <c r="V332">
        <f t="shared" si="37"/>
        <v>607.35126945768843</v>
      </c>
    </row>
    <row r="333" spans="1:22" x14ac:dyDescent="0.3">
      <c r="A333" s="1">
        <v>43199</v>
      </c>
      <c r="B333" s="1">
        <v>43290</v>
      </c>
      <c r="C333">
        <v>310.46557588577201</v>
      </c>
      <c r="D333">
        <v>296.24999923706002</v>
      </c>
      <c r="E333">
        <v>312.95</v>
      </c>
      <c r="F333">
        <v>16.7000007629394</v>
      </c>
      <c r="G333">
        <v>-2.48442411422729</v>
      </c>
      <c r="H333">
        <v>-16.7000007629394</v>
      </c>
      <c r="J333" s="1"/>
      <c r="P333">
        <f>SUM(P2:P332)/331</f>
        <v>0.60422960725075525</v>
      </c>
      <c r="Q333">
        <f>SUM(Q2:Q332)/331</f>
        <v>0.65558912386706947</v>
      </c>
      <c r="R333">
        <f>SUM(R2:R332)/331</f>
        <v>0.65861027190332322</v>
      </c>
      <c r="T333">
        <f>SQRT(AVERAGE(T2:T332))</f>
        <v>17.90134807956581</v>
      </c>
      <c r="U333">
        <f>SQRT(AVERAGE(U2:U332))</f>
        <v>15.665336273502025</v>
      </c>
      <c r="V333">
        <f>SQRT(AVERAGE(V2:V332))</f>
        <v>16.335251203520922</v>
      </c>
    </row>
    <row r="334" spans="1:22" x14ac:dyDescent="0.3">
      <c r="A334" s="1">
        <v>43200</v>
      </c>
      <c r="B334" s="1">
        <v>43291</v>
      </c>
      <c r="C334">
        <v>310.89994187355001</v>
      </c>
      <c r="D334">
        <v>296.95</v>
      </c>
      <c r="E334">
        <v>313.45</v>
      </c>
      <c r="F334">
        <v>16.5</v>
      </c>
      <c r="G334">
        <v>-2.5500581264495801</v>
      </c>
      <c r="H334">
        <v>-16.5</v>
      </c>
      <c r="J334" s="1"/>
    </row>
    <row r="335" spans="1:22" x14ac:dyDescent="0.3">
      <c r="A335" s="1">
        <v>43201</v>
      </c>
      <c r="B335" s="1">
        <v>43292</v>
      </c>
      <c r="C335">
        <v>313.34842373132699</v>
      </c>
      <c r="D335">
        <v>295.30000038146898</v>
      </c>
      <c r="E335">
        <v>312.45</v>
      </c>
      <c r="F335">
        <v>-17.149999618530199</v>
      </c>
      <c r="G335">
        <v>0.898423731327056</v>
      </c>
      <c r="H335">
        <v>-17.149999618530199</v>
      </c>
      <c r="J335" s="1"/>
    </row>
    <row r="336" spans="1:22" x14ac:dyDescent="0.3">
      <c r="A336" s="1">
        <v>43202</v>
      </c>
      <c r="B336" s="1">
        <v>43293</v>
      </c>
      <c r="C336">
        <v>308.832851409912</v>
      </c>
      <c r="D336">
        <v>296</v>
      </c>
      <c r="E336">
        <v>311.75</v>
      </c>
      <c r="F336">
        <v>15.75</v>
      </c>
      <c r="G336">
        <v>-2.9171485900878902</v>
      </c>
      <c r="H336">
        <v>-15.75</v>
      </c>
      <c r="J336" s="1"/>
    </row>
    <row r="337" spans="1:10" x14ac:dyDescent="0.3">
      <c r="A337" s="1">
        <v>43203</v>
      </c>
      <c r="B337" s="1">
        <v>43294</v>
      </c>
      <c r="C337">
        <v>310.10129232406598</v>
      </c>
      <c r="D337">
        <v>299.09999961852998</v>
      </c>
      <c r="E337">
        <v>314.45</v>
      </c>
      <c r="F337">
        <v>15.3500003814697</v>
      </c>
      <c r="G337">
        <v>-4.3487076759338299</v>
      </c>
      <c r="H337">
        <v>-15.3500003814697</v>
      </c>
      <c r="J337" s="1"/>
    </row>
    <row r="338" spans="1:10" x14ac:dyDescent="0.3">
      <c r="A338" s="1">
        <v>43206</v>
      </c>
      <c r="B338" s="1">
        <v>43297</v>
      </c>
      <c r="C338">
        <v>309.58316211700401</v>
      </c>
      <c r="D338">
        <v>298.19999961853</v>
      </c>
      <c r="E338">
        <v>314.3</v>
      </c>
      <c r="F338">
        <v>16.100000381469702</v>
      </c>
      <c r="G338">
        <v>-4.7168378829956001</v>
      </c>
      <c r="H338">
        <v>-16.100000381469702</v>
      </c>
      <c r="J338" s="1"/>
    </row>
    <row r="339" spans="1:10" x14ac:dyDescent="0.3">
      <c r="A339" s="1">
        <v>43207</v>
      </c>
      <c r="B339" s="1">
        <v>43298</v>
      </c>
      <c r="C339">
        <v>317.76108684539702</v>
      </c>
      <c r="D339">
        <v>297.35000076293898</v>
      </c>
      <c r="E339">
        <v>314.39999999999998</v>
      </c>
      <c r="F339">
        <v>-17.049999237060501</v>
      </c>
      <c r="G339">
        <v>3.3610868453979399</v>
      </c>
      <c r="H339">
        <v>-17.049999237060501</v>
      </c>
      <c r="J339" s="1"/>
    </row>
    <row r="340" spans="1:10" x14ac:dyDescent="0.3">
      <c r="A340" s="1">
        <v>43208</v>
      </c>
      <c r="B340" s="1">
        <v>43299</v>
      </c>
      <c r="C340">
        <v>318.14214400052998</v>
      </c>
      <c r="D340">
        <v>297.05000076293902</v>
      </c>
      <c r="E340">
        <v>317.60000000000002</v>
      </c>
      <c r="F340">
        <v>-20.549999237060501</v>
      </c>
      <c r="G340">
        <v>0.54214400053024203</v>
      </c>
      <c r="H340">
        <v>-20.549999237060501</v>
      </c>
      <c r="J340" s="1"/>
    </row>
    <row r="341" spans="1:10" x14ac:dyDescent="0.3">
      <c r="A341" s="1">
        <v>43209</v>
      </c>
      <c r="B341" s="1">
        <v>43300</v>
      </c>
      <c r="C341">
        <v>317.938081264495</v>
      </c>
      <c r="D341">
        <v>296.04999923705998</v>
      </c>
      <c r="E341">
        <v>319</v>
      </c>
      <c r="F341">
        <v>22.9500007629394</v>
      </c>
      <c r="G341">
        <v>-1.0619187355041499</v>
      </c>
      <c r="H341">
        <v>-22.9500007629394</v>
      </c>
      <c r="J341" s="1"/>
    </row>
    <row r="342" spans="1:10" x14ac:dyDescent="0.3">
      <c r="A342" t="s">
        <v>8</v>
      </c>
      <c r="B342" t="s">
        <v>9</v>
      </c>
    </row>
    <row r="343" spans="1:10" x14ac:dyDescent="0.3">
      <c r="A343">
        <v>0.60588235294117598</v>
      </c>
      <c r="B343">
        <v>13.865246000000001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vdiff_l2_reg_65_20_20_0.001_200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2018-08-19T12:00:05Z</dcterms:created>
  <dcterms:modified xsi:type="dcterms:W3CDTF">2018-08-19T12:00:05Z</dcterms:modified>
</cp:coreProperties>
</file>