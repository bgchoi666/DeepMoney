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l2_reg\"/>
    </mc:Choice>
  </mc:AlternateContent>
  <bookViews>
    <workbookView xWindow="0" yWindow="0" windowWidth="28800" windowHeight="12390"/>
  </bookViews>
  <sheets>
    <sheet name="vdiff_l2_reg_65_20_20_0.001_200" sheetId="1" r:id="rId1"/>
  </sheets>
  <calcPr calcId="0"/>
</workbook>
</file>

<file path=xl/calcChain.xml><?xml version="1.0" encoding="utf-8"?>
<calcChain xmlns="http://schemas.openxmlformats.org/spreadsheetml/2006/main">
  <c r="R3" i="1" l="1"/>
  <c r="S3" i="1"/>
  <c r="R4" i="1"/>
  <c r="S4" i="1"/>
  <c r="T4" i="1" s="1"/>
  <c r="R5" i="1"/>
  <c r="S5" i="1"/>
  <c r="R6" i="1"/>
  <c r="S6" i="1"/>
  <c r="R7" i="1"/>
  <c r="S7" i="1"/>
  <c r="R8" i="1"/>
  <c r="S8" i="1"/>
  <c r="U8" i="1" s="1"/>
  <c r="R9" i="1"/>
  <c r="S9" i="1"/>
  <c r="R10" i="1"/>
  <c r="S10" i="1"/>
  <c r="U10" i="1" s="1"/>
  <c r="R11" i="1"/>
  <c r="S11" i="1"/>
  <c r="R12" i="1"/>
  <c r="S12" i="1"/>
  <c r="U12" i="1" s="1"/>
  <c r="R13" i="1"/>
  <c r="S13" i="1"/>
  <c r="R14" i="1"/>
  <c r="S14" i="1"/>
  <c r="U14" i="1" s="1"/>
  <c r="R15" i="1"/>
  <c r="S15" i="1"/>
  <c r="R16" i="1"/>
  <c r="S16" i="1"/>
  <c r="R17" i="1"/>
  <c r="S17" i="1"/>
  <c r="R18" i="1"/>
  <c r="S18" i="1"/>
  <c r="U18" i="1" s="1"/>
  <c r="R19" i="1"/>
  <c r="S19" i="1"/>
  <c r="R20" i="1"/>
  <c r="S20" i="1"/>
  <c r="T20" i="1" s="1"/>
  <c r="R21" i="1"/>
  <c r="S21" i="1"/>
  <c r="R22" i="1"/>
  <c r="S22" i="1"/>
  <c r="U22" i="1" s="1"/>
  <c r="R23" i="1"/>
  <c r="S23" i="1"/>
  <c r="R24" i="1"/>
  <c r="S24" i="1"/>
  <c r="T24" i="1" s="1"/>
  <c r="R25" i="1"/>
  <c r="S25" i="1"/>
  <c r="R26" i="1"/>
  <c r="S26" i="1"/>
  <c r="T26" i="1" s="1"/>
  <c r="R27" i="1"/>
  <c r="S27" i="1"/>
  <c r="R28" i="1"/>
  <c r="S28" i="1"/>
  <c r="T28" i="1" s="1"/>
  <c r="R29" i="1"/>
  <c r="S29" i="1"/>
  <c r="R30" i="1"/>
  <c r="S30" i="1"/>
  <c r="T30" i="1" s="1"/>
  <c r="R31" i="1"/>
  <c r="S31" i="1"/>
  <c r="R32" i="1"/>
  <c r="S32" i="1"/>
  <c r="U32" i="1" s="1"/>
  <c r="R33" i="1"/>
  <c r="S33" i="1"/>
  <c r="R34" i="1"/>
  <c r="S34" i="1"/>
  <c r="T34" i="1" s="1"/>
  <c r="R35" i="1"/>
  <c r="S35" i="1"/>
  <c r="R36" i="1"/>
  <c r="S36" i="1"/>
  <c r="U36" i="1" s="1"/>
  <c r="R37" i="1"/>
  <c r="S37" i="1"/>
  <c r="R38" i="1"/>
  <c r="S38" i="1"/>
  <c r="T38" i="1" s="1"/>
  <c r="R39" i="1"/>
  <c r="S39" i="1"/>
  <c r="R40" i="1"/>
  <c r="S40" i="1"/>
  <c r="U40" i="1" s="1"/>
  <c r="R41" i="1"/>
  <c r="S41" i="1"/>
  <c r="R42" i="1"/>
  <c r="S42" i="1"/>
  <c r="U42" i="1" s="1"/>
  <c r="R43" i="1"/>
  <c r="S43" i="1"/>
  <c r="R44" i="1"/>
  <c r="S44" i="1"/>
  <c r="U44" i="1" s="1"/>
  <c r="R45" i="1"/>
  <c r="S45" i="1"/>
  <c r="R46" i="1"/>
  <c r="S46" i="1"/>
  <c r="U46" i="1" s="1"/>
  <c r="R47" i="1"/>
  <c r="S47" i="1"/>
  <c r="R48" i="1"/>
  <c r="S48" i="1"/>
  <c r="T48" i="1" s="1"/>
  <c r="R49" i="1"/>
  <c r="S49" i="1"/>
  <c r="R50" i="1"/>
  <c r="S50" i="1"/>
  <c r="T50" i="1" s="1"/>
  <c r="R51" i="1"/>
  <c r="S51" i="1"/>
  <c r="R52" i="1"/>
  <c r="S52" i="1"/>
  <c r="U52" i="1" s="1"/>
  <c r="R53" i="1"/>
  <c r="S53" i="1"/>
  <c r="R54" i="1"/>
  <c r="S54" i="1"/>
  <c r="R55" i="1"/>
  <c r="S55" i="1"/>
  <c r="R56" i="1"/>
  <c r="S56" i="1"/>
  <c r="R57" i="1"/>
  <c r="S57" i="1"/>
  <c r="R58" i="1"/>
  <c r="S58" i="1"/>
  <c r="U58" i="1" s="1"/>
  <c r="R59" i="1"/>
  <c r="S59" i="1"/>
  <c r="R60" i="1"/>
  <c r="S60" i="1"/>
  <c r="U60" i="1" s="1"/>
  <c r="R61" i="1"/>
  <c r="S61" i="1"/>
  <c r="R62" i="1"/>
  <c r="S62" i="1"/>
  <c r="U62" i="1" s="1"/>
  <c r="R63" i="1"/>
  <c r="S63" i="1"/>
  <c r="R64" i="1"/>
  <c r="S64" i="1"/>
  <c r="R65" i="1"/>
  <c r="S65" i="1"/>
  <c r="R66" i="1"/>
  <c r="S66" i="1"/>
  <c r="U66" i="1" s="1"/>
  <c r="R67" i="1"/>
  <c r="S67" i="1"/>
  <c r="R68" i="1"/>
  <c r="S68" i="1"/>
  <c r="T68" i="1" s="1"/>
  <c r="R69" i="1"/>
  <c r="S69" i="1"/>
  <c r="R70" i="1"/>
  <c r="S70" i="1"/>
  <c r="U70" i="1" s="1"/>
  <c r="R71" i="1"/>
  <c r="S71" i="1"/>
  <c r="R72" i="1"/>
  <c r="S72" i="1"/>
  <c r="R73" i="1"/>
  <c r="S73" i="1"/>
  <c r="R74" i="1"/>
  <c r="S74" i="1"/>
  <c r="U74" i="1" s="1"/>
  <c r="R75" i="1"/>
  <c r="S75" i="1"/>
  <c r="R76" i="1"/>
  <c r="S76" i="1"/>
  <c r="U76" i="1" s="1"/>
  <c r="R77" i="1"/>
  <c r="S77" i="1"/>
  <c r="R78" i="1"/>
  <c r="S78" i="1"/>
  <c r="U78" i="1" s="1"/>
  <c r="R79" i="1"/>
  <c r="S79" i="1"/>
  <c r="R80" i="1"/>
  <c r="S80" i="1"/>
  <c r="U80" i="1" s="1"/>
  <c r="R81" i="1"/>
  <c r="S81" i="1"/>
  <c r="R82" i="1"/>
  <c r="S82" i="1"/>
  <c r="R83" i="1"/>
  <c r="S83" i="1"/>
  <c r="R84" i="1"/>
  <c r="S84" i="1"/>
  <c r="U84" i="1" s="1"/>
  <c r="R85" i="1"/>
  <c r="S85" i="1"/>
  <c r="R86" i="1"/>
  <c r="S86" i="1"/>
  <c r="U86" i="1" s="1"/>
  <c r="R87" i="1"/>
  <c r="S87" i="1"/>
  <c r="R88" i="1"/>
  <c r="S88" i="1"/>
  <c r="U88" i="1" s="1"/>
  <c r="R89" i="1"/>
  <c r="S89" i="1"/>
  <c r="R90" i="1"/>
  <c r="S90" i="1"/>
  <c r="U90" i="1" s="1"/>
  <c r="R91" i="1"/>
  <c r="S91" i="1"/>
  <c r="R92" i="1"/>
  <c r="S92" i="1"/>
  <c r="R93" i="1"/>
  <c r="S93" i="1"/>
  <c r="R94" i="1"/>
  <c r="S94" i="1"/>
  <c r="R95" i="1"/>
  <c r="S95" i="1"/>
  <c r="R96" i="1"/>
  <c r="S96" i="1"/>
  <c r="U96" i="1" s="1"/>
  <c r="R97" i="1"/>
  <c r="S97" i="1"/>
  <c r="R98" i="1"/>
  <c r="S98" i="1"/>
  <c r="U98" i="1" s="1"/>
  <c r="R99" i="1"/>
  <c r="S99" i="1"/>
  <c r="R100" i="1"/>
  <c r="S100" i="1"/>
  <c r="T100" i="1" s="1"/>
  <c r="R101" i="1"/>
  <c r="S101" i="1"/>
  <c r="R102" i="1"/>
  <c r="S102" i="1"/>
  <c r="R103" i="1"/>
  <c r="S103" i="1"/>
  <c r="R104" i="1"/>
  <c r="S104" i="1"/>
  <c r="T104" i="1" s="1"/>
  <c r="R105" i="1"/>
  <c r="S105" i="1"/>
  <c r="R106" i="1"/>
  <c r="S106" i="1"/>
  <c r="U106" i="1" s="1"/>
  <c r="R107" i="1"/>
  <c r="S107" i="1"/>
  <c r="R108" i="1"/>
  <c r="S108" i="1"/>
  <c r="T108" i="1" s="1"/>
  <c r="R109" i="1"/>
  <c r="S109" i="1"/>
  <c r="R110" i="1"/>
  <c r="S110" i="1"/>
  <c r="R111" i="1"/>
  <c r="S111" i="1"/>
  <c r="R112" i="1"/>
  <c r="S112" i="1"/>
  <c r="U112" i="1" s="1"/>
  <c r="R113" i="1"/>
  <c r="S113" i="1"/>
  <c r="R114" i="1"/>
  <c r="S114" i="1"/>
  <c r="U114" i="1" s="1"/>
  <c r="R115" i="1"/>
  <c r="S115" i="1"/>
  <c r="R116" i="1"/>
  <c r="S116" i="1"/>
  <c r="U116" i="1" s="1"/>
  <c r="R117" i="1"/>
  <c r="S117" i="1"/>
  <c r="R118" i="1"/>
  <c r="S118" i="1"/>
  <c r="T118" i="1" s="1"/>
  <c r="R119" i="1"/>
  <c r="S119" i="1"/>
  <c r="R120" i="1"/>
  <c r="S120" i="1"/>
  <c r="R121" i="1"/>
  <c r="S121" i="1"/>
  <c r="R122" i="1"/>
  <c r="S122" i="1"/>
  <c r="U122" i="1" s="1"/>
  <c r="R123" i="1"/>
  <c r="S123" i="1"/>
  <c r="R124" i="1"/>
  <c r="S124" i="1"/>
  <c r="R125" i="1"/>
  <c r="S125" i="1"/>
  <c r="R126" i="1"/>
  <c r="S126" i="1"/>
  <c r="T126" i="1" s="1"/>
  <c r="R127" i="1"/>
  <c r="S127" i="1"/>
  <c r="R128" i="1"/>
  <c r="S128" i="1"/>
  <c r="T128" i="1" s="1"/>
  <c r="R129" i="1"/>
  <c r="S129" i="1"/>
  <c r="R130" i="1"/>
  <c r="S130" i="1"/>
  <c r="R131" i="1"/>
  <c r="S131" i="1"/>
  <c r="R132" i="1"/>
  <c r="S132" i="1"/>
  <c r="T132" i="1" s="1"/>
  <c r="R133" i="1"/>
  <c r="S133" i="1"/>
  <c r="R134" i="1"/>
  <c r="S134" i="1"/>
  <c r="T134" i="1" s="1"/>
  <c r="R135" i="1"/>
  <c r="S135" i="1"/>
  <c r="R136" i="1"/>
  <c r="S136" i="1"/>
  <c r="T136" i="1" s="1"/>
  <c r="R137" i="1"/>
  <c r="S137" i="1"/>
  <c r="R138" i="1"/>
  <c r="S138" i="1"/>
  <c r="U138" i="1" s="1"/>
  <c r="R139" i="1"/>
  <c r="S139" i="1"/>
  <c r="R140" i="1"/>
  <c r="S140" i="1"/>
  <c r="T140" i="1" s="1"/>
  <c r="R141" i="1"/>
  <c r="S141" i="1"/>
  <c r="R142" i="1"/>
  <c r="S142" i="1"/>
  <c r="U142" i="1" s="1"/>
  <c r="R143" i="1"/>
  <c r="S143" i="1"/>
  <c r="R144" i="1"/>
  <c r="S144" i="1"/>
  <c r="T144" i="1" s="1"/>
  <c r="R145" i="1"/>
  <c r="S145" i="1"/>
  <c r="R146" i="1"/>
  <c r="S146" i="1"/>
  <c r="T146" i="1" s="1"/>
  <c r="R147" i="1"/>
  <c r="S147" i="1"/>
  <c r="R148" i="1"/>
  <c r="S148" i="1"/>
  <c r="T148" i="1" s="1"/>
  <c r="R149" i="1"/>
  <c r="S149" i="1"/>
  <c r="R150" i="1"/>
  <c r="S150" i="1"/>
  <c r="T150" i="1" s="1"/>
  <c r="R151" i="1"/>
  <c r="S151" i="1"/>
  <c r="R152" i="1"/>
  <c r="S152" i="1"/>
  <c r="R153" i="1"/>
  <c r="S153" i="1"/>
  <c r="R154" i="1"/>
  <c r="S154" i="1"/>
  <c r="U154" i="1" s="1"/>
  <c r="R155" i="1"/>
  <c r="S155" i="1"/>
  <c r="R156" i="1"/>
  <c r="S156" i="1"/>
  <c r="R157" i="1"/>
  <c r="S157" i="1"/>
  <c r="R158" i="1"/>
  <c r="S158" i="1"/>
  <c r="T158" i="1" s="1"/>
  <c r="R159" i="1"/>
  <c r="S159" i="1"/>
  <c r="R160" i="1"/>
  <c r="S160" i="1"/>
  <c r="T160" i="1" s="1"/>
  <c r="R161" i="1"/>
  <c r="S161" i="1"/>
  <c r="R162" i="1"/>
  <c r="S162" i="1"/>
  <c r="R163" i="1"/>
  <c r="S163" i="1"/>
  <c r="R164" i="1"/>
  <c r="S164" i="1"/>
  <c r="T164" i="1" s="1"/>
  <c r="R165" i="1"/>
  <c r="S165" i="1"/>
  <c r="R166" i="1"/>
  <c r="S166" i="1"/>
  <c r="T166" i="1" s="1"/>
  <c r="R167" i="1"/>
  <c r="S167" i="1"/>
  <c r="R168" i="1"/>
  <c r="S168" i="1"/>
  <c r="T168" i="1" s="1"/>
  <c r="R169" i="1"/>
  <c r="S169" i="1"/>
  <c r="R170" i="1"/>
  <c r="S170" i="1"/>
  <c r="U170" i="1" s="1"/>
  <c r="R171" i="1"/>
  <c r="S171" i="1"/>
  <c r="R172" i="1"/>
  <c r="S172" i="1"/>
  <c r="T172" i="1" s="1"/>
  <c r="R173" i="1"/>
  <c r="S173" i="1"/>
  <c r="R174" i="1"/>
  <c r="S174" i="1"/>
  <c r="U174" i="1" s="1"/>
  <c r="R175" i="1"/>
  <c r="S175" i="1"/>
  <c r="R176" i="1"/>
  <c r="S176" i="1"/>
  <c r="T176" i="1" s="1"/>
  <c r="R177" i="1"/>
  <c r="S177" i="1"/>
  <c r="R178" i="1"/>
  <c r="S178" i="1"/>
  <c r="T178" i="1" s="1"/>
  <c r="R179" i="1"/>
  <c r="S179" i="1"/>
  <c r="R180" i="1"/>
  <c r="S180" i="1"/>
  <c r="T180" i="1" s="1"/>
  <c r="R181" i="1"/>
  <c r="S181" i="1"/>
  <c r="R182" i="1"/>
  <c r="S182" i="1"/>
  <c r="T182" i="1" s="1"/>
  <c r="R183" i="1"/>
  <c r="S183" i="1"/>
  <c r="R184" i="1"/>
  <c r="S184" i="1"/>
  <c r="R185" i="1"/>
  <c r="S185" i="1"/>
  <c r="R186" i="1"/>
  <c r="S186" i="1"/>
  <c r="U186" i="1" s="1"/>
  <c r="R187" i="1"/>
  <c r="S187" i="1"/>
  <c r="R188" i="1"/>
  <c r="S188" i="1"/>
  <c r="R189" i="1"/>
  <c r="S189" i="1"/>
  <c r="R190" i="1"/>
  <c r="S190" i="1"/>
  <c r="T190" i="1" s="1"/>
  <c r="R191" i="1"/>
  <c r="S191" i="1"/>
  <c r="R192" i="1"/>
  <c r="S192" i="1"/>
  <c r="T192" i="1" s="1"/>
  <c r="R193" i="1"/>
  <c r="S193" i="1"/>
  <c r="R194" i="1"/>
  <c r="S194" i="1"/>
  <c r="R195" i="1"/>
  <c r="S195" i="1"/>
  <c r="R196" i="1"/>
  <c r="S196" i="1"/>
  <c r="T196" i="1" s="1"/>
  <c r="R197" i="1"/>
  <c r="S197" i="1"/>
  <c r="R198" i="1"/>
  <c r="S198" i="1"/>
  <c r="T198" i="1" s="1"/>
  <c r="R199" i="1"/>
  <c r="S199" i="1"/>
  <c r="R200" i="1"/>
  <c r="S200" i="1"/>
  <c r="T200" i="1" s="1"/>
  <c r="R201" i="1"/>
  <c r="S201" i="1"/>
  <c r="R202" i="1"/>
  <c r="S202" i="1"/>
  <c r="U202" i="1" s="1"/>
  <c r="R203" i="1"/>
  <c r="S203" i="1"/>
  <c r="R204" i="1"/>
  <c r="S204" i="1"/>
  <c r="T204" i="1" s="1"/>
  <c r="R205" i="1"/>
  <c r="S205" i="1"/>
  <c r="R206" i="1"/>
  <c r="S206" i="1"/>
  <c r="U206" i="1" s="1"/>
  <c r="R207" i="1"/>
  <c r="S207" i="1"/>
  <c r="R208" i="1"/>
  <c r="S208" i="1"/>
  <c r="U208" i="1" s="1"/>
  <c r="R209" i="1"/>
  <c r="S209" i="1"/>
  <c r="R210" i="1"/>
  <c r="S210" i="1"/>
  <c r="U210" i="1" s="1"/>
  <c r="R211" i="1"/>
  <c r="S211" i="1"/>
  <c r="R212" i="1"/>
  <c r="S212" i="1"/>
  <c r="R213" i="1"/>
  <c r="S213" i="1"/>
  <c r="R214" i="1"/>
  <c r="S214" i="1"/>
  <c r="T214" i="1" s="1"/>
  <c r="R215" i="1"/>
  <c r="S215" i="1"/>
  <c r="R216" i="1"/>
  <c r="S216" i="1"/>
  <c r="U216" i="1" s="1"/>
  <c r="R217" i="1"/>
  <c r="S217" i="1"/>
  <c r="R218" i="1"/>
  <c r="S218" i="1"/>
  <c r="U218" i="1" s="1"/>
  <c r="R219" i="1"/>
  <c r="S219" i="1"/>
  <c r="R220" i="1"/>
  <c r="S220" i="1"/>
  <c r="T220" i="1" s="1"/>
  <c r="R221" i="1"/>
  <c r="S221" i="1"/>
  <c r="R222" i="1"/>
  <c r="S222" i="1"/>
  <c r="R223" i="1"/>
  <c r="S223" i="1"/>
  <c r="R224" i="1"/>
  <c r="S224" i="1"/>
  <c r="U224" i="1" s="1"/>
  <c r="R225" i="1"/>
  <c r="S225" i="1"/>
  <c r="R226" i="1"/>
  <c r="S226" i="1"/>
  <c r="U226" i="1" s="1"/>
  <c r="R227" i="1"/>
  <c r="S227" i="1"/>
  <c r="R228" i="1"/>
  <c r="S228" i="1"/>
  <c r="T228" i="1" s="1"/>
  <c r="R229" i="1"/>
  <c r="S229" i="1"/>
  <c r="R230" i="1"/>
  <c r="S230" i="1"/>
  <c r="U230" i="1" s="1"/>
  <c r="R231" i="1"/>
  <c r="S231" i="1"/>
  <c r="R232" i="1"/>
  <c r="S232" i="1"/>
  <c r="R233" i="1"/>
  <c r="S233" i="1"/>
  <c r="R234" i="1"/>
  <c r="S234" i="1"/>
  <c r="U234" i="1" s="1"/>
  <c r="R235" i="1"/>
  <c r="S235" i="1"/>
  <c r="R236" i="1"/>
  <c r="S236" i="1"/>
  <c r="U236" i="1" s="1"/>
  <c r="R237" i="1"/>
  <c r="S237" i="1"/>
  <c r="R238" i="1"/>
  <c r="S238" i="1"/>
  <c r="U238" i="1" s="1"/>
  <c r="R239" i="1"/>
  <c r="S239" i="1"/>
  <c r="R240" i="1"/>
  <c r="S240" i="1"/>
  <c r="U240" i="1" s="1"/>
  <c r="R241" i="1"/>
  <c r="S241" i="1"/>
  <c r="R242" i="1"/>
  <c r="S242" i="1"/>
  <c r="R243" i="1"/>
  <c r="S243" i="1"/>
  <c r="R244" i="1"/>
  <c r="S244" i="1"/>
  <c r="U244" i="1" s="1"/>
  <c r="R245" i="1"/>
  <c r="S245" i="1"/>
  <c r="R246" i="1"/>
  <c r="S246" i="1"/>
  <c r="U246" i="1" s="1"/>
  <c r="R247" i="1"/>
  <c r="S247" i="1"/>
  <c r="R248" i="1"/>
  <c r="S248" i="1"/>
  <c r="U248" i="1" s="1"/>
  <c r="R249" i="1"/>
  <c r="S249" i="1"/>
  <c r="R250" i="1"/>
  <c r="S250" i="1"/>
  <c r="U250" i="1" s="1"/>
  <c r="R251" i="1"/>
  <c r="S251" i="1"/>
  <c r="R252" i="1"/>
  <c r="S252" i="1"/>
  <c r="T252" i="1" s="1"/>
  <c r="R253" i="1"/>
  <c r="S253" i="1"/>
  <c r="R254" i="1"/>
  <c r="S254" i="1"/>
  <c r="R255" i="1"/>
  <c r="S255" i="1"/>
  <c r="R256" i="1"/>
  <c r="S256" i="1"/>
  <c r="U256" i="1" s="1"/>
  <c r="R257" i="1"/>
  <c r="S257" i="1"/>
  <c r="R258" i="1"/>
  <c r="S258" i="1"/>
  <c r="U258" i="1" s="1"/>
  <c r="R259" i="1"/>
  <c r="S259" i="1"/>
  <c r="R260" i="1"/>
  <c r="S260" i="1"/>
  <c r="T260" i="1" s="1"/>
  <c r="R261" i="1"/>
  <c r="S261" i="1"/>
  <c r="R262" i="1"/>
  <c r="S262" i="1"/>
  <c r="U262" i="1" s="1"/>
  <c r="R263" i="1"/>
  <c r="S263" i="1"/>
  <c r="R264" i="1"/>
  <c r="S264" i="1"/>
  <c r="R265" i="1"/>
  <c r="S265" i="1"/>
  <c r="R266" i="1"/>
  <c r="S266" i="1"/>
  <c r="U266" i="1" s="1"/>
  <c r="R267" i="1"/>
  <c r="S267" i="1"/>
  <c r="R268" i="1"/>
  <c r="S268" i="1"/>
  <c r="U268" i="1" s="1"/>
  <c r="R269" i="1"/>
  <c r="S269" i="1"/>
  <c r="R270" i="1"/>
  <c r="S270" i="1"/>
  <c r="U270" i="1" s="1"/>
  <c r="R271" i="1"/>
  <c r="S271" i="1"/>
  <c r="R272" i="1"/>
  <c r="S272" i="1"/>
  <c r="U272" i="1" s="1"/>
  <c r="R273" i="1"/>
  <c r="S273" i="1"/>
  <c r="R274" i="1"/>
  <c r="S274" i="1"/>
  <c r="R275" i="1"/>
  <c r="S275" i="1"/>
  <c r="R276" i="1"/>
  <c r="S276" i="1"/>
  <c r="U276" i="1" s="1"/>
  <c r="S2" i="1"/>
  <c r="R2" i="1"/>
  <c r="U6" i="1"/>
  <c r="T16" i="1"/>
  <c r="U26" i="1"/>
  <c r="U38" i="1"/>
  <c r="T46" i="1"/>
  <c r="U56" i="1"/>
  <c r="U64" i="1"/>
  <c r="U72" i="1"/>
  <c r="U82" i="1"/>
  <c r="U94" i="1"/>
  <c r="U102" i="1"/>
  <c r="U110" i="1"/>
  <c r="T120" i="1"/>
  <c r="T130" i="1"/>
  <c r="T142" i="1"/>
  <c r="T152" i="1"/>
  <c r="T162" i="1"/>
  <c r="T174" i="1"/>
  <c r="T184" i="1"/>
  <c r="T194" i="1"/>
  <c r="U204" i="1"/>
  <c r="U212" i="1"/>
  <c r="U222" i="1"/>
  <c r="U232" i="1"/>
  <c r="U242" i="1"/>
  <c r="U254" i="1"/>
  <c r="U264" i="1"/>
  <c r="U274" i="1"/>
  <c r="T205" i="1"/>
  <c r="T207" i="1"/>
  <c r="T209" i="1"/>
  <c r="T211" i="1"/>
  <c r="T213" i="1"/>
  <c r="T215" i="1"/>
  <c r="U217" i="1"/>
  <c r="T219" i="1"/>
  <c r="U221" i="1"/>
  <c r="T223" i="1"/>
  <c r="U225" i="1"/>
  <c r="T227" i="1"/>
  <c r="U229" i="1"/>
  <c r="T231" i="1"/>
  <c r="U233" i="1"/>
  <c r="T235" i="1"/>
  <c r="U237" i="1"/>
  <c r="T239" i="1"/>
  <c r="U241" i="1"/>
  <c r="T243" i="1"/>
  <c r="U245" i="1"/>
  <c r="T247" i="1"/>
  <c r="U249" i="1"/>
  <c r="T251" i="1"/>
  <c r="U253" i="1"/>
  <c r="T255" i="1"/>
  <c r="U257" i="1"/>
  <c r="T259" i="1"/>
  <c r="U261" i="1"/>
  <c r="T263" i="1"/>
  <c r="U265" i="1"/>
  <c r="T267" i="1"/>
  <c r="U269" i="1"/>
  <c r="T271" i="1"/>
  <c r="U273" i="1"/>
  <c r="T275" i="1"/>
  <c r="U92" i="1"/>
  <c r="T124" i="1"/>
  <c r="T156" i="1"/>
  <c r="T188" i="1"/>
  <c r="U54" i="1"/>
  <c r="U16" i="1"/>
  <c r="U25" i="1"/>
  <c r="U228" i="1"/>
  <c r="U260" i="1"/>
  <c r="U117" i="1"/>
  <c r="U119" i="1"/>
  <c r="U121" i="1"/>
  <c r="U123" i="1"/>
  <c r="U125" i="1"/>
  <c r="U126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53" i="1"/>
  <c r="U155" i="1"/>
  <c r="U157" i="1"/>
  <c r="U159" i="1"/>
  <c r="U161" i="1"/>
  <c r="U163" i="1"/>
  <c r="U165" i="1"/>
  <c r="U167" i="1"/>
  <c r="U169" i="1"/>
  <c r="U171" i="1"/>
  <c r="U173" i="1"/>
  <c r="U175" i="1"/>
  <c r="U177" i="1"/>
  <c r="U179" i="1"/>
  <c r="U181" i="1"/>
  <c r="U183" i="1"/>
  <c r="U185" i="1"/>
  <c r="U187" i="1"/>
  <c r="U189" i="1"/>
  <c r="U190" i="1"/>
  <c r="U191" i="1"/>
  <c r="U193" i="1"/>
  <c r="U195" i="1"/>
  <c r="U197" i="1"/>
  <c r="U199" i="1"/>
  <c r="U201" i="1"/>
  <c r="U203" i="1"/>
  <c r="U205" i="1"/>
  <c r="U209" i="1"/>
  <c r="U213" i="1"/>
  <c r="U105" i="1"/>
  <c r="U107" i="1"/>
  <c r="U109" i="1"/>
  <c r="U111" i="1"/>
  <c r="U113" i="1"/>
  <c r="U115" i="1"/>
  <c r="U97" i="1"/>
  <c r="U99" i="1"/>
  <c r="U101" i="1"/>
  <c r="U103" i="1"/>
  <c r="U77" i="1"/>
  <c r="U79" i="1"/>
  <c r="U81" i="1"/>
  <c r="U83" i="1"/>
  <c r="U85" i="1"/>
  <c r="U87" i="1"/>
  <c r="U89" i="1"/>
  <c r="U91" i="1"/>
  <c r="U93" i="1"/>
  <c r="U95" i="1"/>
  <c r="U67" i="1"/>
  <c r="U69" i="1"/>
  <c r="U71" i="1"/>
  <c r="U73" i="1"/>
  <c r="U75" i="1"/>
  <c r="U61" i="1"/>
  <c r="U63" i="1"/>
  <c r="U65" i="1"/>
  <c r="U55" i="1"/>
  <c r="U57" i="1"/>
  <c r="U59" i="1"/>
  <c r="U53" i="1"/>
  <c r="U49" i="1"/>
  <c r="U51" i="1"/>
  <c r="U43" i="1"/>
  <c r="U45" i="1"/>
  <c r="U47" i="1"/>
  <c r="U41" i="1"/>
  <c r="U27" i="1"/>
  <c r="U29" i="1"/>
  <c r="U31" i="1"/>
  <c r="U33" i="1"/>
  <c r="U35" i="1"/>
  <c r="U37" i="1"/>
  <c r="U39" i="1"/>
  <c r="U3" i="1"/>
  <c r="U5" i="1"/>
  <c r="U7" i="1"/>
  <c r="U9" i="1"/>
  <c r="U11" i="1"/>
  <c r="U13" i="1"/>
  <c r="U15" i="1"/>
  <c r="U17" i="1"/>
  <c r="U19" i="1"/>
  <c r="U21" i="1"/>
  <c r="U23" i="1"/>
  <c r="U2" i="1"/>
  <c r="T131" i="1"/>
  <c r="T133" i="1"/>
  <c r="T135" i="1"/>
  <c r="T137" i="1"/>
  <c r="T139" i="1"/>
  <c r="T141" i="1"/>
  <c r="T143" i="1"/>
  <c r="T145" i="1"/>
  <c r="T147" i="1"/>
  <c r="T149" i="1"/>
  <c r="T151" i="1"/>
  <c r="T153" i="1"/>
  <c r="T155" i="1"/>
  <c r="T157" i="1"/>
  <c r="T159" i="1"/>
  <c r="T161" i="1"/>
  <c r="T163" i="1"/>
  <c r="T165" i="1"/>
  <c r="T167" i="1"/>
  <c r="T169" i="1"/>
  <c r="T171" i="1"/>
  <c r="T173" i="1"/>
  <c r="T175" i="1"/>
  <c r="T177" i="1"/>
  <c r="T179" i="1"/>
  <c r="T181" i="1"/>
  <c r="T183" i="1"/>
  <c r="T185" i="1"/>
  <c r="T187" i="1"/>
  <c r="T189" i="1"/>
  <c r="T191" i="1"/>
  <c r="T193" i="1"/>
  <c r="T195" i="1"/>
  <c r="T197" i="1"/>
  <c r="T199" i="1"/>
  <c r="T201" i="1"/>
  <c r="T203" i="1"/>
  <c r="T212" i="1"/>
  <c r="T244" i="1"/>
  <c r="T276" i="1"/>
  <c r="T35" i="1"/>
  <c r="T37" i="1"/>
  <c r="T39" i="1"/>
  <c r="T41" i="1"/>
  <c r="T43" i="1"/>
  <c r="T45" i="1"/>
  <c r="T47" i="1"/>
  <c r="T49" i="1"/>
  <c r="T51" i="1"/>
  <c r="T53" i="1"/>
  <c r="T54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89" i="1"/>
  <c r="T91" i="1"/>
  <c r="T93" i="1"/>
  <c r="T95" i="1"/>
  <c r="T97" i="1"/>
  <c r="T99" i="1"/>
  <c r="T101" i="1"/>
  <c r="T103" i="1"/>
  <c r="T105" i="1"/>
  <c r="T107" i="1"/>
  <c r="T109" i="1"/>
  <c r="T111" i="1"/>
  <c r="T113" i="1"/>
  <c r="T115" i="1"/>
  <c r="T117" i="1"/>
  <c r="T119" i="1"/>
  <c r="T121" i="1"/>
  <c r="T123" i="1"/>
  <c r="T125" i="1"/>
  <c r="T127" i="1"/>
  <c r="T129" i="1"/>
  <c r="T21" i="1"/>
  <c r="T23" i="1"/>
  <c r="T25" i="1"/>
  <c r="T27" i="1"/>
  <c r="T29" i="1"/>
  <c r="T31" i="1"/>
  <c r="T33" i="1"/>
  <c r="T3" i="1"/>
  <c r="T5" i="1"/>
  <c r="T7" i="1"/>
  <c r="T9" i="1"/>
  <c r="T11" i="1"/>
  <c r="T13" i="1"/>
  <c r="T15" i="1"/>
  <c r="T17" i="1"/>
  <c r="T19" i="1"/>
  <c r="T2" i="1"/>
  <c r="O2" i="1"/>
  <c r="O200" i="1"/>
  <c r="O204" i="1"/>
  <c r="O208" i="1"/>
  <c r="O212" i="1"/>
  <c r="O216" i="1"/>
  <c r="O184" i="1"/>
  <c r="O188" i="1"/>
  <c r="O192" i="1"/>
  <c r="O196" i="1"/>
  <c r="O157" i="1"/>
  <c r="O161" i="1"/>
  <c r="O165" i="1"/>
  <c r="O169" i="1"/>
  <c r="O173" i="1"/>
  <c r="O177" i="1"/>
  <c r="O94" i="1"/>
  <c r="O98" i="1"/>
  <c r="O102" i="1"/>
  <c r="O106" i="1"/>
  <c r="O110" i="1"/>
  <c r="O114" i="1"/>
  <c r="O37" i="1"/>
  <c r="O41" i="1"/>
  <c r="O53" i="1"/>
  <c r="O57" i="1"/>
  <c r="O69" i="1"/>
  <c r="O25" i="1"/>
  <c r="O16" i="1"/>
  <c r="O20" i="1"/>
  <c r="N36" i="1"/>
  <c r="O36" i="1" s="1"/>
  <c r="N37" i="1"/>
  <c r="N38" i="1"/>
  <c r="O38" i="1" s="1"/>
  <c r="N39" i="1"/>
  <c r="O39" i="1" s="1"/>
  <c r="N40" i="1"/>
  <c r="O40" i="1" s="1"/>
  <c r="N41" i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N54" i="1"/>
  <c r="O54" i="1" s="1"/>
  <c r="N55" i="1"/>
  <c r="O55" i="1" s="1"/>
  <c r="N56" i="1"/>
  <c r="O56" i="1" s="1"/>
  <c r="N57" i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N95" i="1"/>
  <c r="O95" i="1" s="1"/>
  <c r="N96" i="1"/>
  <c r="O96" i="1" s="1"/>
  <c r="N97" i="1"/>
  <c r="O97" i="1" s="1"/>
  <c r="N98" i="1"/>
  <c r="N99" i="1"/>
  <c r="O99" i="1" s="1"/>
  <c r="N100" i="1"/>
  <c r="O100" i="1" s="1"/>
  <c r="N101" i="1"/>
  <c r="O101" i="1" s="1"/>
  <c r="N102" i="1"/>
  <c r="N103" i="1"/>
  <c r="O103" i="1" s="1"/>
  <c r="N104" i="1"/>
  <c r="O104" i="1" s="1"/>
  <c r="N105" i="1"/>
  <c r="O105" i="1" s="1"/>
  <c r="N106" i="1"/>
  <c r="N107" i="1"/>
  <c r="O107" i="1" s="1"/>
  <c r="N108" i="1"/>
  <c r="O108" i="1" s="1"/>
  <c r="N109" i="1"/>
  <c r="O109" i="1" s="1"/>
  <c r="N110" i="1"/>
  <c r="N111" i="1"/>
  <c r="O111" i="1" s="1"/>
  <c r="N112" i="1"/>
  <c r="O112" i="1" s="1"/>
  <c r="N113" i="1"/>
  <c r="O113" i="1" s="1"/>
  <c r="N114" i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N158" i="1"/>
  <c r="O158" i="1" s="1"/>
  <c r="N159" i="1"/>
  <c r="O159" i="1" s="1"/>
  <c r="N160" i="1"/>
  <c r="O160" i="1" s="1"/>
  <c r="N161" i="1"/>
  <c r="N162" i="1"/>
  <c r="O162" i="1" s="1"/>
  <c r="N163" i="1"/>
  <c r="O163" i="1" s="1"/>
  <c r="N164" i="1"/>
  <c r="O164" i="1" s="1"/>
  <c r="N165" i="1"/>
  <c r="N166" i="1"/>
  <c r="O166" i="1" s="1"/>
  <c r="N167" i="1"/>
  <c r="O167" i="1" s="1"/>
  <c r="N168" i="1"/>
  <c r="O168" i="1" s="1"/>
  <c r="N169" i="1"/>
  <c r="N170" i="1"/>
  <c r="O170" i="1" s="1"/>
  <c r="N171" i="1"/>
  <c r="O171" i="1" s="1"/>
  <c r="N172" i="1"/>
  <c r="O172" i="1" s="1"/>
  <c r="N173" i="1"/>
  <c r="N174" i="1"/>
  <c r="O174" i="1" s="1"/>
  <c r="N175" i="1"/>
  <c r="O175" i="1" s="1"/>
  <c r="N176" i="1"/>
  <c r="O176" i="1" s="1"/>
  <c r="N177" i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N185" i="1"/>
  <c r="O185" i="1" s="1"/>
  <c r="N186" i="1"/>
  <c r="O186" i="1" s="1"/>
  <c r="N187" i="1"/>
  <c r="O187" i="1" s="1"/>
  <c r="N188" i="1"/>
  <c r="N189" i="1"/>
  <c r="O189" i="1" s="1"/>
  <c r="N190" i="1"/>
  <c r="O190" i="1" s="1"/>
  <c r="N191" i="1"/>
  <c r="O191" i="1" s="1"/>
  <c r="N192" i="1"/>
  <c r="N193" i="1"/>
  <c r="O193" i="1" s="1"/>
  <c r="N194" i="1"/>
  <c r="O194" i="1" s="1"/>
  <c r="N195" i="1"/>
  <c r="O195" i="1" s="1"/>
  <c r="N196" i="1"/>
  <c r="N197" i="1"/>
  <c r="O197" i="1" s="1"/>
  <c r="N198" i="1"/>
  <c r="O198" i="1" s="1"/>
  <c r="N199" i="1"/>
  <c r="O199" i="1" s="1"/>
  <c r="N200" i="1"/>
  <c r="N201" i="1"/>
  <c r="O201" i="1" s="1"/>
  <c r="N202" i="1"/>
  <c r="O202" i="1" s="1"/>
  <c r="N203" i="1"/>
  <c r="O203" i="1" s="1"/>
  <c r="N204" i="1"/>
  <c r="N205" i="1"/>
  <c r="O205" i="1" s="1"/>
  <c r="N206" i="1"/>
  <c r="O206" i="1" s="1"/>
  <c r="N207" i="1"/>
  <c r="O207" i="1" s="1"/>
  <c r="N208" i="1"/>
  <c r="N209" i="1"/>
  <c r="O209" i="1" s="1"/>
  <c r="N210" i="1"/>
  <c r="O210" i="1" s="1"/>
  <c r="N211" i="1"/>
  <c r="O211" i="1" s="1"/>
  <c r="N212" i="1"/>
  <c r="N213" i="1"/>
  <c r="O213" i="1" s="1"/>
  <c r="N214" i="1"/>
  <c r="O214" i="1" s="1"/>
  <c r="N215" i="1"/>
  <c r="O215" i="1" s="1"/>
  <c r="N216" i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1" i="1"/>
  <c r="O21" i="1" s="1"/>
  <c r="N22" i="1"/>
  <c r="O22" i="1" s="1"/>
  <c r="N23" i="1"/>
  <c r="O23" i="1" s="1"/>
  <c r="N24" i="1"/>
  <c r="O24" i="1" s="1"/>
  <c r="N25" i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N17" i="1"/>
  <c r="O17" i="1" s="1"/>
  <c r="N18" i="1"/>
  <c r="O18" i="1" s="1"/>
  <c r="N19" i="1"/>
  <c r="O19" i="1" s="1"/>
  <c r="N20" i="1"/>
  <c r="N2" i="1"/>
  <c r="T8" i="1" l="1"/>
  <c r="T268" i="1"/>
  <c r="T236" i="1"/>
  <c r="U252" i="1"/>
  <c r="U220" i="1"/>
  <c r="T116" i="1"/>
  <c r="T210" i="1"/>
  <c r="U108" i="1"/>
  <c r="U100" i="1"/>
  <c r="T62" i="1"/>
  <c r="U158" i="1"/>
  <c r="U30" i="1"/>
  <c r="U68" i="1"/>
  <c r="T12" i="1"/>
  <c r="T58" i="1"/>
  <c r="T42" i="1"/>
  <c r="T274" i="1"/>
  <c r="T266" i="1"/>
  <c r="T258" i="1"/>
  <c r="T250" i="1"/>
  <c r="T242" i="1"/>
  <c r="T234" i="1"/>
  <c r="T226" i="1"/>
  <c r="T218" i="1"/>
  <c r="U48" i="1"/>
  <c r="U214" i="1"/>
  <c r="U194" i="1"/>
  <c r="U178" i="1"/>
  <c r="U162" i="1"/>
  <c r="U146" i="1"/>
  <c r="U130" i="1"/>
  <c r="U28" i="1"/>
  <c r="T202" i="1"/>
  <c r="T186" i="1"/>
  <c r="T170" i="1"/>
  <c r="T154" i="1"/>
  <c r="T138" i="1"/>
  <c r="T122" i="1"/>
  <c r="T32" i="1"/>
  <c r="T272" i="1"/>
  <c r="T264" i="1"/>
  <c r="T256" i="1"/>
  <c r="T248" i="1"/>
  <c r="T240" i="1"/>
  <c r="T232" i="1"/>
  <c r="T224" i="1"/>
  <c r="T216" i="1"/>
  <c r="T208" i="1"/>
  <c r="U34" i="1"/>
  <c r="U104" i="1"/>
  <c r="U198" i="1"/>
  <c r="U182" i="1"/>
  <c r="U166" i="1"/>
  <c r="U150" i="1"/>
  <c r="U134" i="1"/>
  <c r="U118" i="1"/>
  <c r="U20" i="1"/>
  <c r="U4" i="1"/>
  <c r="U50" i="1"/>
  <c r="T112" i="1"/>
  <c r="T72" i="1"/>
  <c r="T270" i="1"/>
  <c r="T262" i="1"/>
  <c r="T254" i="1"/>
  <c r="T246" i="1"/>
  <c r="T238" i="1"/>
  <c r="T230" i="1"/>
  <c r="T222" i="1"/>
  <c r="T206" i="1"/>
  <c r="T273" i="1"/>
  <c r="T269" i="1"/>
  <c r="T265" i="1"/>
  <c r="T261" i="1"/>
  <c r="T257" i="1"/>
  <c r="T253" i="1"/>
  <c r="T249" i="1"/>
  <c r="T245" i="1"/>
  <c r="T241" i="1"/>
  <c r="T237" i="1"/>
  <c r="T233" i="1"/>
  <c r="T229" i="1"/>
  <c r="T225" i="1"/>
  <c r="T221" i="1"/>
  <c r="T217" i="1"/>
  <c r="U275" i="1"/>
  <c r="U271" i="1"/>
  <c r="U267" i="1"/>
  <c r="U263" i="1"/>
  <c r="U259" i="1"/>
  <c r="U255" i="1"/>
  <c r="U251" i="1"/>
  <c r="U247" i="1"/>
  <c r="U243" i="1"/>
  <c r="U239" i="1"/>
  <c r="U235" i="1"/>
  <c r="U231" i="1"/>
  <c r="U227" i="1"/>
  <c r="U223" i="1"/>
  <c r="U219" i="1"/>
  <c r="U215" i="1"/>
  <c r="U211" i="1"/>
  <c r="U207" i="1"/>
  <c r="T114" i="1"/>
  <c r="T110" i="1"/>
  <c r="T106" i="1"/>
  <c r="T102" i="1"/>
  <c r="T98" i="1"/>
  <c r="T94" i="1"/>
  <c r="T90" i="1"/>
  <c r="T86" i="1"/>
  <c r="T82" i="1"/>
  <c r="T78" i="1"/>
  <c r="T74" i="1"/>
  <c r="T70" i="1"/>
  <c r="T66" i="1"/>
  <c r="U200" i="1"/>
  <c r="U196" i="1"/>
  <c r="U192" i="1"/>
  <c r="U188" i="1"/>
  <c r="U184" i="1"/>
  <c r="U180" i="1"/>
  <c r="U176" i="1"/>
  <c r="U172" i="1"/>
  <c r="U168" i="1"/>
  <c r="U164" i="1"/>
  <c r="U160" i="1"/>
  <c r="U156" i="1"/>
  <c r="U152" i="1"/>
  <c r="U148" i="1"/>
  <c r="U144" i="1"/>
  <c r="U140" i="1"/>
  <c r="U136" i="1"/>
  <c r="U132" i="1"/>
  <c r="U128" i="1"/>
  <c r="U124" i="1"/>
  <c r="U120" i="1"/>
  <c r="T96" i="1"/>
  <c r="T92" i="1"/>
  <c r="T88" i="1"/>
  <c r="T84" i="1"/>
  <c r="T80" i="1"/>
  <c r="T76" i="1"/>
  <c r="T64" i="1"/>
  <c r="T60" i="1"/>
  <c r="T56" i="1"/>
  <c r="T52" i="1"/>
  <c r="T44" i="1"/>
  <c r="T40" i="1"/>
  <c r="T36" i="1"/>
  <c r="T22" i="1"/>
  <c r="T18" i="1"/>
  <c r="T14" i="1"/>
  <c r="T10" i="1"/>
  <c r="T6" i="1"/>
  <c r="U24" i="1"/>
  <c r="O277" i="1"/>
  <c r="T277" i="1" l="1"/>
  <c r="U277" i="1"/>
</calcChain>
</file>

<file path=xl/sharedStrings.xml><?xml version="1.0" encoding="utf-8"?>
<sst xmlns="http://schemas.openxmlformats.org/spreadsheetml/2006/main" count="18" uniqueCount="15">
  <si>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</si>
  <si>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</si>
  <si>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</si>
  <si>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</si>
  <si>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</si>
  <si>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</si>
  <si>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</si>
  <si>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</si>
  <si>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accuracy</t>
  </si>
  <si>
    <t xml:space="preserve"> RMSE</t>
  </si>
  <si>
    <t>20일 예측</t>
    <phoneticPr fontId="18" type="noConversion"/>
  </si>
  <si>
    <t>5일 예측</t>
    <phoneticPr fontId="18" type="noConversion"/>
  </si>
  <si>
    <t>평균</t>
    <phoneticPr fontId="18" type="noConversion"/>
  </si>
  <si>
    <t>BT</t>
    <phoneticPr fontId="18" type="noConversion"/>
  </si>
  <si>
    <t>BB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</si>
</sst>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vdiff_l2_reg_65_20_20_0.001_200!$M$1</c:f>
              <c:strCache>
                <c:ptCount val="1"/>
                <c:pt idx="0">
                  <c:v>index_real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vdiff_l2_reg_65_20_20_0.001_200!$L$2:$L$276</c:f>
              <c:numCache>
                <c:formatCode>m/d/yyyy</c:formatCode>
                <c:ptCount val="275"/>
                <c:pt idx="0">
                  <c:v>42916</c:v>
                </c:pt>
                <c:pt idx="1">
                  <c:v>42919</c:v>
                </c:pt>
                <c:pt idx="2">
                  <c:v>42920</c:v>
                </c:pt>
                <c:pt idx="3">
                  <c:v>42921</c:v>
                </c:pt>
                <c:pt idx="4">
                  <c:v>42922</c:v>
                </c:pt>
                <c:pt idx="5">
                  <c:v>42923</c:v>
                </c:pt>
                <c:pt idx="6">
                  <c:v>42926</c:v>
                </c:pt>
                <c:pt idx="7">
                  <c:v>42927</c:v>
                </c:pt>
                <c:pt idx="8">
                  <c:v>42928</c:v>
                </c:pt>
                <c:pt idx="9">
                  <c:v>42929</c:v>
                </c:pt>
                <c:pt idx="10">
                  <c:v>42930</c:v>
                </c:pt>
                <c:pt idx="11">
                  <c:v>42933</c:v>
                </c:pt>
                <c:pt idx="12">
                  <c:v>42934</c:v>
                </c:pt>
                <c:pt idx="13">
                  <c:v>42935</c:v>
                </c:pt>
                <c:pt idx="14">
                  <c:v>42936</c:v>
                </c:pt>
                <c:pt idx="15">
                  <c:v>42937</c:v>
                </c:pt>
                <c:pt idx="16">
                  <c:v>42940</c:v>
                </c:pt>
                <c:pt idx="17">
                  <c:v>42941</c:v>
                </c:pt>
                <c:pt idx="18">
                  <c:v>42942</c:v>
                </c:pt>
                <c:pt idx="19">
                  <c:v>42943</c:v>
                </c:pt>
                <c:pt idx="20">
                  <c:v>42944</c:v>
                </c:pt>
                <c:pt idx="21">
                  <c:v>42947</c:v>
                </c:pt>
                <c:pt idx="22">
                  <c:v>42948</c:v>
                </c:pt>
                <c:pt idx="23">
                  <c:v>42949</c:v>
                </c:pt>
                <c:pt idx="24">
                  <c:v>42950</c:v>
                </c:pt>
                <c:pt idx="25">
                  <c:v>42951</c:v>
                </c:pt>
                <c:pt idx="26">
                  <c:v>42954</c:v>
                </c:pt>
                <c:pt idx="27">
                  <c:v>42955</c:v>
                </c:pt>
                <c:pt idx="28">
                  <c:v>42956</c:v>
                </c:pt>
                <c:pt idx="29">
                  <c:v>42957</c:v>
                </c:pt>
                <c:pt idx="30">
                  <c:v>42958</c:v>
                </c:pt>
                <c:pt idx="31">
                  <c:v>42961</c:v>
                </c:pt>
                <c:pt idx="32">
                  <c:v>42962</c:v>
                </c:pt>
                <c:pt idx="33">
                  <c:v>42963</c:v>
                </c:pt>
                <c:pt idx="34">
                  <c:v>42964</c:v>
                </c:pt>
                <c:pt idx="35">
                  <c:v>42965</c:v>
                </c:pt>
                <c:pt idx="36">
                  <c:v>42968</c:v>
                </c:pt>
                <c:pt idx="37">
                  <c:v>42969</c:v>
                </c:pt>
                <c:pt idx="38">
                  <c:v>42970</c:v>
                </c:pt>
                <c:pt idx="39">
                  <c:v>42971</c:v>
                </c:pt>
                <c:pt idx="40">
                  <c:v>42972</c:v>
                </c:pt>
                <c:pt idx="41">
                  <c:v>42975</c:v>
                </c:pt>
                <c:pt idx="42">
                  <c:v>42976</c:v>
                </c:pt>
                <c:pt idx="43">
                  <c:v>42977</c:v>
                </c:pt>
                <c:pt idx="44">
                  <c:v>42978</c:v>
                </c:pt>
                <c:pt idx="45">
                  <c:v>42979</c:v>
                </c:pt>
                <c:pt idx="46">
                  <c:v>42982</c:v>
                </c:pt>
                <c:pt idx="47">
                  <c:v>42983</c:v>
                </c:pt>
                <c:pt idx="48">
                  <c:v>42984</c:v>
                </c:pt>
                <c:pt idx="49">
                  <c:v>42985</c:v>
                </c:pt>
                <c:pt idx="50">
                  <c:v>42986</c:v>
                </c:pt>
                <c:pt idx="51">
                  <c:v>42989</c:v>
                </c:pt>
                <c:pt idx="52">
                  <c:v>42990</c:v>
                </c:pt>
                <c:pt idx="53">
                  <c:v>42991</c:v>
                </c:pt>
                <c:pt idx="54">
                  <c:v>42992</c:v>
                </c:pt>
                <c:pt idx="55">
                  <c:v>42993</c:v>
                </c:pt>
                <c:pt idx="56">
                  <c:v>42996</c:v>
                </c:pt>
                <c:pt idx="57">
                  <c:v>42997</c:v>
                </c:pt>
                <c:pt idx="58">
                  <c:v>42998</c:v>
                </c:pt>
                <c:pt idx="59">
                  <c:v>42999</c:v>
                </c:pt>
                <c:pt idx="60">
                  <c:v>43000</c:v>
                </c:pt>
                <c:pt idx="61">
                  <c:v>43003</c:v>
                </c:pt>
                <c:pt idx="62">
                  <c:v>43004</c:v>
                </c:pt>
                <c:pt idx="63">
                  <c:v>43005</c:v>
                </c:pt>
                <c:pt idx="64">
                  <c:v>43006</c:v>
                </c:pt>
                <c:pt idx="65">
                  <c:v>43007</c:v>
                </c:pt>
                <c:pt idx="66">
                  <c:v>43010</c:v>
                </c:pt>
                <c:pt idx="67">
                  <c:v>43011</c:v>
                </c:pt>
                <c:pt idx="68">
                  <c:v>43012</c:v>
                </c:pt>
                <c:pt idx="69">
                  <c:v>43013</c:v>
                </c:pt>
                <c:pt idx="70">
                  <c:v>43014</c:v>
                </c:pt>
                <c:pt idx="71">
                  <c:v>43017</c:v>
                </c:pt>
                <c:pt idx="72">
                  <c:v>43018</c:v>
                </c:pt>
                <c:pt idx="73">
                  <c:v>43019</c:v>
                </c:pt>
                <c:pt idx="74">
                  <c:v>43020</c:v>
                </c:pt>
                <c:pt idx="75">
                  <c:v>43021</c:v>
                </c:pt>
                <c:pt idx="76">
                  <c:v>43024</c:v>
                </c:pt>
                <c:pt idx="77">
                  <c:v>43025</c:v>
                </c:pt>
                <c:pt idx="78">
                  <c:v>43026</c:v>
                </c:pt>
                <c:pt idx="79">
                  <c:v>43027</c:v>
                </c:pt>
                <c:pt idx="80">
                  <c:v>43028</c:v>
                </c:pt>
                <c:pt idx="81">
                  <c:v>43031</c:v>
                </c:pt>
                <c:pt idx="82">
                  <c:v>43032</c:v>
                </c:pt>
                <c:pt idx="83">
                  <c:v>43033</c:v>
                </c:pt>
                <c:pt idx="84">
                  <c:v>43034</c:v>
                </c:pt>
                <c:pt idx="85">
                  <c:v>43035</c:v>
                </c:pt>
                <c:pt idx="86">
                  <c:v>43038</c:v>
                </c:pt>
                <c:pt idx="87">
                  <c:v>43039</c:v>
                </c:pt>
                <c:pt idx="88">
                  <c:v>43040</c:v>
                </c:pt>
                <c:pt idx="89">
                  <c:v>43041</c:v>
                </c:pt>
                <c:pt idx="90">
                  <c:v>43042</c:v>
                </c:pt>
                <c:pt idx="91">
                  <c:v>43045</c:v>
                </c:pt>
                <c:pt idx="92">
                  <c:v>43046</c:v>
                </c:pt>
                <c:pt idx="93">
                  <c:v>43047</c:v>
                </c:pt>
                <c:pt idx="94">
                  <c:v>43048</c:v>
                </c:pt>
                <c:pt idx="95">
                  <c:v>43049</c:v>
                </c:pt>
                <c:pt idx="96">
                  <c:v>43052</c:v>
                </c:pt>
                <c:pt idx="97">
                  <c:v>43053</c:v>
                </c:pt>
                <c:pt idx="98">
                  <c:v>43054</c:v>
                </c:pt>
                <c:pt idx="99">
                  <c:v>43055</c:v>
                </c:pt>
                <c:pt idx="100">
                  <c:v>43056</c:v>
                </c:pt>
                <c:pt idx="101">
                  <c:v>43059</c:v>
                </c:pt>
                <c:pt idx="102">
                  <c:v>43060</c:v>
                </c:pt>
                <c:pt idx="103">
                  <c:v>43061</c:v>
                </c:pt>
                <c:pt idx="104">
                  <c:v>43062</c:v>
                </c:pt>
                <c:pt idx="105">
                  <c:v>43063</c:v>
                </c:pt>
                <c:pt idx="106">
                  <c:v>43066</c:v>
                </c:pt>
                <c:pt idx="107">
                  <c:v>43067</c:v>
                </c:pt>
                <c:pt idx="108">
                  <c:v>43068</c:v>
                </c:pt>
                <c:pt idx="109">
                  <c:v>43069</c:v>
                </c:pt>
                <c:pt idx="110">
                  <c:v>43070</c:v>
                </c:pt>
                <c:pt idx="111">
                  <c:v>43073</c:v>
                </c:pt>
                <c:pt idx="112">
                  <c:v>43074</c:v>
                </c:pt>
                <c:pt idx="113">
                  <c:v>43075</c:v>
                </c:pt>
                <c:pt idx="114">
                  <c:v>43076</c:v>
                </c:pt>
                <c:pt idx="115">
                  <c:v>43077</c:v>
                </c:pt>
                <c:pt idx="116">
                  <c:v>43080</c:v>
                </c:pt>
                <c:pt idx="117">
                  <c:v>43081</c:v>
                </c:pt>
                <c:pt idx="118">
                  <c:v>43082</c:v>
                </c:pt>
                <c:pt idx="119">
                  <c:v>43083</c:v>
                </c:pt>
                <c:pt idx="120">
                  <c:v>43084</c:v>
                </c:pt>
                <c:pt idx="121">
                  <c:v>43087</c:v>
                </c:pt>
                <c:pt idx="122">
                  <c:v>43088</c:v>
                </c:pt>
                <c:pt idx="123">
                  <c:v>43089</c:v>
                </c:pt>
                <c:pt idx="124">
                  <c:v>43090</c:v>
                </c:pt>
                <c:pt idx="125">
                  <c:v>43091</c:v>
                </c:pt>
                <c:pt idx="126">
                  <c:v>43094</c:v>
                </c:pt>
                <c:pt idx="127">
                  <c:v>43095</c:v>
                </c:pt>
                <c:pt idx="128">
                  <c:v>43096</c:v>
                </c:pt>
                <c:pt idx="129">
                  <c:v>43097</c:v>
                </c:pt>
                <c:pt idx="130">
                  <c:v>43098</c:v>
                </c:pt>
                <c:pt idx="131">
                  <c:v>43101</c:v>
                </c:pt>
                <c:pt idx="132">
                  <c:v>43102</c:v>
                </c:pt>
                <c:pt idx="133">
                  <c:v>43103</c:v>
                </c:pt>
                <c:pt idx="134">
                  <c:v>43104</c:v>
                </c:pt>
                <c:pt idx="135">
                  <c:v>43105</c:v>
                </c:pt>
                <c:pt idx="136">
                  <c:v>43108</c:v>
                </c:pt>
                <c:pt idx="137">
                  <c:v>43109</c:v>
                </c:pt>
                <c:pt idx="138">
                  <c:v>43110</c:v>
                </c:pt>
                <c:pt idx="139">
                  <c:v>43111</c:v>
                </c:pt>
                <c:pt idx="140">
                  <c:v>43112</c:v>
                </c:pt>
                <c:pt idx="141">
                  <c:v>43115</c:v>
                </c:pt>
                <c:pt idx="142">
                  <c:v>43116</c:v>
                </c:pt>
                <c:pt idx="143">
                  <c:v>43117</c:v>
                </c:pt>
                <c:pt idx="144">
                  <c:v>43118</c:v>
                </c:pt>
                <c:pt idx="145">
                  <c:v>43119</c:v>
                </c:pt>
                <c:pt idx="146">
                  <c:v>43122</c:v>
                </c:pt>
                <c:pt idx="147">
                  <c:v>43123</c:v>
                </c:pt>
                <c:pt idx="148">
                  <c:v>43124</c:v>
                </c:pt>
                <c:pt idx="149">
                  <c:v>43125</c:v>
                </c:pt>
                <c:pt idx="150">
                  <c:v>43126</c:v>
                </c:pt>
                <c:pt idx="151">
                  <c:v>43129</c:v>
                </c:pt>
                <c:pt idx="152">
                  <c:v>43130</c:v>
                </c:pt>
                <c:pt idx="153">
                  <c:v>43131</c:v>
                </c:pt>
                <c:pt idx="154">
                  <c:v>43132</c:v>
                </c:pt>
                <c:pt idx="155">
                  <c:v>43133</c:v>
                </c:pt>
                <c:pt idx="156">
                  <c:v>43136</c:v>
                </c:pt>
                <c:pt idx="157">
                  <c:v>43137</c:v>
                </c:pt>
                <c:pt idx="158">
                  <c:v>43138</c:v>
                </c:pt>
                <c:pt idx="159">
                  <c:v>43139</c:v>
                </c:pt>
                <c:pt idx="160">
                  <c:v>43140</c:v>
                </c:pt>
                <c:pt idx="161">
                  <c:v>43143</c:v>
                </c:pt>
                <c:pt idx="162">
                  <c:v>43144</c:v>
                </c:pt>
                <c:pt idx="163">
                  <c:v>43145</c:v>
                </c:pt>
                <c:pt idx="164">
                  <c:v>43146</c:v>
                </c:pt>
                <c:pt idx="165">
                  <c:v>43147</c:v>
                </c:pt>
                <c:pt idx="166">
                  <c:v>43150</c:v>
                </c:pt>
                <c:pt idx="167">
                  <c:v>43151</c:v>
                </c:pt>
                <c:pt idx="168">
                  <c:v>43152</c:v>
                </c:pt>
                <c:pt idx="169">
                  <c:v>43153</c:v>
                </c:pt>
                <c:pt idx="170">
                  <c:v>43154</c:v>
                </c:pt>
                <c:pt idx="171">
                  <c:v>43157</c:v>
                </c:pt>
                <c:pt idx="172">
                  <c:v>43158</c:v>
                </c:pt>
                <c:pt idx="173">
                  <c:v>43159</c:v>
                </c:pt>
                <c:pt idx="174">
                  <c:v>43160</c:v>
                </c:pt>
                <c:pt idx="175">
                  <c:v>43161</c:v>
                </c:pt>
                <c:pt idx="176">
                  <c:v>43164</c:v>
                </c:pt>
                <c:pt idx="177">
                  <c:v>43165</c:v>
                </c:pt>
                <c:pt idx="178">
                  <c:v>43166</c:v>
                </c:pt>
                <c:pt idx="179">
                  <c:v>43167</c:v>
                </c:pt>
                <c:pt idx="180">
                  <c:v>43168</c:v>
                </c:pt>
                <c:pt idx="181">
                  <c:v>43171</c:v>
                </c:pt>
                <c:pt idx="182">
                  <c:v>43172</c:v>
                </c:pt>
                <c:pt idx="183">
                  <c:v>43173</c:v>
                </c:pt>
                <c:pt idx="184">
                  <c:v>43174</c:v>
                </c:pt>
                <c:pt idx="185">
                  <c:v>43175</c:v>
                </c:pt>
                <c:pt idx="186">
                  <c:v>43178</c:v>
                </c:pt>
                <c:pt idx="187">
                  <c:v>43179</c:v>
                </c:pt>
                <c:pt idx="188">
                  <c:v>43180</c:v>
                </c:pt>
                <c:pt idx="189">
                  <c:v>43181</c:v>
                </c:pt>
                <c:pt idx="190">
                  <c:v>43182</c:v>
                </c:pt>
                <c:pt idx="191">
                  <c:v>43185</c:v>
                </c:pt>
                <c:pt idx="192">
                  <c:v>43186</c:v>
                </c:pt>
                <c:pt idx="193">
                  <c:v>43187</c:v>
                </c:pt>
                <c:pt idx="194">
                  <c:v>43188</c:v>
                </c:pt>
                <c:pt idx="195">
                  <c:v>43189</c:v>
                </c:pt>
                <c:pt idx="196">
                  <c:v>43192</c:v>
                </c:pt>
                <c:pt idx="197">
                  <c:v>43193</c:v>
                </c:pt>
                <c:pt idx="198">
                  <c:v>43194</c:v>
                </c:pt>
                <c:pt idx="199">
                  <c:v>43195</c:v>
                </c:pt>
                <c:pt idx="200">
                  <c:v>43196</c:v>
                </c:pt>
                <c:pt idx="201">
                  <c:v>43199</c:v>
                </c:pt>
                <c:pt idx="202">
                  <c:v>43200</c:v>
                </c:pt>
                <c:pt idx="203">
                  <c:v>43201</c:v>
                </c:pt>
                <c:pt idx="204">
                  <c:v>43202</c:v>
                </c:pt>
                <c:pt idx="205">
                  <c:v>43203</c:v>
                </c:pt>
                <c:pt idx="206">
                  <c:v>43206</c:v>
                </c:pt>
                <c:pt idx="207">
                  <c:v>43207</c:v>
                </c:pt>
                <c:pt idx="208">
                  <c:v>43208</c:v>
                </c:pt>
                <c:pt idx="209">
                  <c:v>43209</c:v>
                </c:pt>
                <c:pt idx="210">
                  <c:v>43210</c:v>
                </c:pt>
                <c:pt idx="211">
                  <c:v>43213</c:v>
                </c:pt>
                <c:pt idx="212">
                  <c:v>43214</c:v>
                </c:pt>
                <c:pt idx="213">
                  <c:v>43215</c:v>
                </c:pt>
                <c:pt idx="214">
                  <c:v>43216</c:v>
                </c:pt>
                <c:pt idx="215">
                  <c:v>43217</c:v>
                </c:pt>
                <c:pt idx="216">
                  <c:v>43220</c:v>
                </c:pt>
                <c:pt idx="217">
                  <c:v>43221</c:v>
                </c:pt>
                <c:pt idx="218">
                  <c:v>43222</c:v>
                </c:pt>
                <c:pt idx="219">
                  <c:v>43223</c:v>
                </c:pt>
                <c:pt idx="220">
                  <c:v>43224</c:v>
                </c:pt>
                <c:pt idx="221">
                  <c:v>43227</c:v>
                </c:pt>
                <c:pt idx="222">
                  <c:v>43228</c:v>
                </c:pt>
                <c:pt idx="223">
                  <c:v>43229</c:v>
                </c:pt>
                <c:pt idx="224">
                  <c:v>43230</c:v>
                </c:pt>
                <c:pt idx="225">
                  <c:v>43231</c:v>
                </c:pt>
                <c:pt idx="226">
                  <c:v>43234</c:v>
                </c:pt>
                <c:pt idx="227">
                  <c:v>43235</c:v>
                </c:pt>
                <c:pt idx="228">
                  <c:v>43236</c:v>
                </c:pt>
                <c:pt idx="229">
                  <c:v>43237</c:v>
                </c:pt>
                <c:pt idx="230">
                  <c:v>43238</c:v>
                </c:pt>
                <c:pt idx="231">
                  <c:v>43241</c:v>
                </c:pt>
                <c:pt idx="232">
                  <c:v>43242</c:v>
                </c:pt>
                <c:pt idx="233">
                  <c:v>43243</c:v>
                </c:pt>
                <c:pt idx="234">
                  <c:v>43244</c:v>
                </c:pt>
                <c:pt idx="235">
                  <c:v>43245</c:v>
                </c:pt>
                <c:pt idx="236">
                  <c:v>43248</c:v>
                </c:pt>
                <c:pt idx="237">
                  <c:v>43249</c:v>
                </c:pt>
                <c:pt idx="238">
                  <c:v>43250</c:v>
                </c:pt>
                <c:pt idx="239">
                  <c:v>43251</c:v>
                </c:pt>
                <c:pt idx="240">
                  <c:v>43252</c:v>
                </c:pt>
                <c:pt idx="241">
                  <c:v>43255</c:v>
                </c:pt>
                <c:pt idx="242">
                  <c:v>43256</c:v>
                </c:pt>
                <c:pt idx="243">
                  <c:v>43257</c:v>
                </c:pt>
                <c:pt idx="244">
                  <c:v>43258</c:v>
                </c:pt>
                <c:pt idx="245">
                  <c:v>43259</c:v>
                </c:pt>
                <c:pt idx="246">
                  <c:v>43262</c:v>
                </c:pt>
                <c:pt idx="247">
                  <c:v>43263</c:v>
                </c:pt>
                <c:pt idx="248">
                  <c:v>43264</c:v>
                </c:pt>
                <c:pt idx="249">
                  <c:v>43265</c:v>
                </c:pt>
                <c:pt idx="250">
                  <c:v>43266</c:v>
                </c:pt>
                <c:pt idx="251">
                  <c:v>43269</c:v>
                </c:pt>
                <c:pt idx="252">
                  <c:v>43270</c:v>
                </c:pt>
                <c:pt idx="253">
                  <c:v>43271</c:v>
                </c:pt>
                <c:pt idx="254">
                  <c:v>43272</c:v>
                </c:pt>
                <c:pt idx="255">
                  <c:v>43273</c:v>
                </c:pt>
                <c:pt idx="256">
                  <c:v>43276</c:v>
                </c:pt>
                <c:pt idx="257">
                  <c:v>43277</c:v>
                </c:pt>
                <c:pt idx="258">
                  <c:v>43278</c:v>
                </c:pt>
                <c:pt idx="259">
                  <c:v>43279</c:v>
                </c:pt>
                <c:pt idx="260">
                  <c:v>43280</c:v>
                </c:pt>
                <c:pt idx="261">
                  <c:v>43283</c:v>
                </c:pt>
                <c:pt idx="262">
                  <c:v>43284</c:v>
                </c:pt>
                <c:pt idx="263">
                  <c:v>43285</c:v>
                </c:pt>
                <c:pt idx="264">
                  <c:v>43286</c:v>
                </c:pt>
                <c:pt idx="265">
                  <c:v>43287</c:v>
                </c:pt>
                <c:pt idx="266">
                  <c:v>43290</c:v>
                </c:pt>
                <c:pt idx="267">
                  <c:v>43291</c:v>
                </c:pt>
                <c:pt idx="268">
                  <c:v>43292</c:v>
                </c:pt>
                <c:pt idx="269">
                  <c:v>43293</c:v>
                </c:pt>
                <c:pt idx="270">
                  <c:v>43294</c:v>
                </c:pt>
                <c:pt idx="271">
                  <c:v>43297</c:v>
                </c:pt>
                <c:pt idx="272">
                  <c:v>43298</c:v>
                </c:pt>
                <c:pt idx="273">
                  <c:v>43299</c:v>
                </c:pt>
                <c:pt idx="274">
                  <c:v>43300</c:v>
                </c:pt>
              </c:numCache>
            </c:numRef>
          </c:cat>
          <c:val>
            <c:numRef>
              <c:f>vdiff_l2_reg_65_20_20_0.001_200!$M$2:$M$276</c:f>
              <c:numCache>
                <c:formatCode>General</c:formatCode>
                <c:ptCount val="275"/>
                <c:pt idx="0">
                  <c:v>311.55000076293902</c:v>
                </c:pt>
                <c:pt idx="1">
                  <c:v>311.94999923706001</c:v>
                </c:pt>
                <c:pt idx="2">
                  <c:v>309.64999923706</c:v>
                </c:pt>
                <c:pt idx="3">
                  <c:v>311.10000000000002</c:v>
                </c:pt>
                <c:pt idx="4">
                  <c:v>311.10000076293898</c:v>
                </c:pt>
                <c:pt idx="5">
                  <c:v>310.25</c:v>
                </c:pt>
                <c:pt idx="6">
                  <c:v>310.80000152587797</c:v>
                </c:pt>
                <c:pt idx="7">
                  <c:v>312.69999923706001</c:v>
                </c:pt>
                <c:pt idx="8">
                  <c:v>312.60000152587799</c:v>
                </c:pt>
                <c:pt idx="9">
                  <c:v>316.55000152587797</c:v>
                </c:pt>
                <c:pt idx="10">
                  <c:v>316.7</c:v>
                </c:pt>
                <c:pt idx="11">
                  <c:v>317.49999847412101</c:v>
                </c:pt>
                <c:pt idx="12">
                  <c:v>318.05000076293902</c:v>
                </c:pt>
                <c:pt idx="13">
                  <c:v>318.699998474121</c:v>
                </c:pt>
                <c:pt idx="14">
                  <c:v>319.59999847412098</c:v>
                </c:pt>
                <c:pt idx="15">
                  <c:v>321.10000152587799</c:v>
                </c:pt>
                <c:pt idx="16">
                  <c:v>321.25000152587802</c:v>
                </c:pt>
                <c:pt idx="17">
                  <c:v>319.65000076293899</c:v>
                </c:pt>
                <c:pt idx="18">
                  <c:v>318.95</c:v>
                </c:pt>
                <c:pt idx="19">
                  <c:v>319.85000000000002</c:v>
                </c:pt>
                <c:pt idx="20">
                  <c:v>312.55</c:v>
                </c:pt>
                <c:pt idx="21">
                  <c:v>313.55</c:v>
                </c:pt>
                <c:pt idx="22">
                  <c:v>316.55</c:v>
                </c:pt>
                <c:pt idx="23">
                  <c:v>317.150000381469</c:v>
                </c:pt>
                <c:pt idx="24">
                  <c:v>311.64999961852999</c:v>
                </c:pt>
                <c:pt idx="25">
                  <c:v>312.85000038146899</c:v>
                </c:pt>
                <c:pt idx="26">
                  <c:v>312.89999980926501</c:v>
                </c:pt>
                <c:pt idx="27">
                  <c:v>312.84999961852998</c:v>
                </c:pt>
                <c:pt idx="28">
                  <c:v>308.64999980926501</c:v>
                </c:pt>
                <c:pt idx="29">
                  <c:v>307.250000095367</c:v>
                </c:pt>
                <c:pt idx="30">
                  <c:v>301.49999990463198</c:v>
                </c:pt>
                <c:pt idx="31">
                  <c:v>304.599999809265</c:v>
                </c:pt>
                <c:pt idx="32">
                  <c:v>304.599999904632</c:v>
                </c:pt>
                <c:pt idx="33">
                  <c:v>306.25</c:v>
                </c:pt>
                <c:pt idx="34">
                  <c:v>307.89999999999998</c:v>
                </c:pt>
                <c:pt idx="35">
                  <c:v>307.75</c:v>
                </c:pt>
                <c:pt idx="36">
                  <c:v>307.04999980926499</c:v>
                </c:pt>
                <c:pt idx="37">
                  <c:v>308.70000009536699</c:v>
                </c:pt>
                <c:pt idx="38">
                  <c:v>308.599999809265</c:v>
                </c:pt>
                <c:pt idx="39">
                  <c:v>310.099999904632</c:v>
                </c:pt>
                <c:pt idx="40">
                  <c:v>310.250000095367</c:v>
                </c:pt>
                <c:pt idx="41">
                  <c:v>308.19999997615798</c:v>
                </c:pt>
                <c:pt idx="42">
                  <c:v>307.14999995231602</c:v>
                </c:pt>
                <c:pt idx="43">
                  <c:v>309.00000004768299</c:v>
                </c:pt>
                <c:pt idx="44">
                  <c:v>306.64999999999998</c:v>
                </c:pt>
                <c:pt idx="45">
                  <c:v>306.299999952316</c:v>
                </c:pt>
                <c:pt idx="46">
                  <c:v>303.500000095367</c:v>
                </c:pt>
                <c:pt idx="47">
                  <c:v>302.69999990463202</c:v>
                </c:pt>
                <c:pt idx="48">
                  <c:v>302.30000009536701</c:v>
                </c:pt>
                <c:pt idx="49">
                  <c:v>306.20000001192</c:v>
                </c:pt>
                <c:pt idx="50">
                  <c:v>306.25000004768299</c:v>
                </c:pt>
                <c:pt idx="51">
                  <c:v>309.25000004768299</c:v>
                </c:pt>
                <c:pt idx="52">
                  <c:v>309.20000009536699</c:v>
                </c:pt>
                <c:pt idx="53">
                  <c:v>308.54999997615801</c:v>
                </c:pt>
                <c:pt idx="54">
                  <c:v>310.24999990463198</c:v>
                </c:pt>
                <c:pt idx="55">
                  <c:v>311.19999980926502</c:v>
                </c:pt>
                <c:pt idx="56">
                  <c:v>316.69999961853</c:v>
                </c:pt>
                <c:pt idx="57">
                  <c:v>316.04999980926499</c:v>
                </c:pt>
                <c:pt idx="58">
                  <c:v>315.8</c:v>
                </c:pt>
                <c:pt idx="59">
                  <c:v>316.05</c:v>
                </c:pt>
                <c:pt idx="60">
                  <c:v>313.75</c:v>
                </c:pt>
                <c:pt idx="61">
                  <c:v>313.8</c:v>
                </c:pt>
                <c:pt idx="62">
                  <c:v>311.79999998807898</c:v>
                </c:pt>
                <c:pt idx="63">
                  <c:v>311.39999997615803</c:v>
                </c:pt>
                <c:pt idx="64">
                  <c:v>311.60000000000002</c:v>
                </c:pt>
                <c:pt idx="65">
                  <c:v>314.3</c:v>
                </c:pt>
                <c:pt idx="66">
                  <c:v>314.29999990463199</c:v>
                </c:pt>
                <c:pt idx="67">
                  <c:v>314.30000009536701</c:v>
                </c:pt>
                <c:pt idx="68">
                  <c:v>314.300000047683</c:v>
                </c:pt>
                <c:pt idx="69">
                  <c:v>314.300000047683</c:v>
                </c:pt>
                <c:pt idx="70">
                  <c:v>314.30000019073401</c:v>
                </c:pt>
                <c:pt idx="71">
                  <c:v>314.3</c:v>
                </c:pt>
                <c:pt idx="72">
                  <c:v>320.14999980926501</c:v>
                </c:pt>
                <c:pt idx="73">
                  <c:v>323.24999961853001</c:v>
                </c:pt>
                <c:pt idx="74">
                  <c:v>325.650000381469</c:v>
                </c:pt>
                <c:pt idx="75">
                  <c:v>325.30000038146898</c:v>
                </c:pt>
                <c:pt idx="76">
                  <c:v>325.5</c:v>
                </c:pt>
                <c:pt idx="77">
                  <c:v>325.8</c:v>
                </c:pt>
                <c:pt idx="78">
                  <c:v>325.85000009536702</c:v>
                </c:pt>
                <c:pt idx="79">
                  <c:v>324.10000000000002</c:v>
                </c:pt>
                <c:pt idx="80">
                  <c:v>326.250000095367</c:v>
                </c:pt>
                <c:pt idx="81">
                  <c:v>327.05000019073401</c:v>
                </c:pt>
                <c:pt idx="82">
                  <c:v>326.55000009536701</c:v>
                </c:pt>
                <c:pt idx="83">
                  <c:v>326.750000190734</c:v>
                </c:pt>
                <c:pt idx="84">
                  <c:v>323.750000095367</c:v>
                </c:pt>
                <c:pt idx="85">
                  <c:v>326.85000019073402</c:v>
                </c:pt>
                <c:pt idx="86">
                  <c:v>327.44999961853</c:v>
                </c:pt>
                <c:pt idx="87">
                  <c:v>331.05</c:v>
                </c:pt>
                <c:pt idx="88">
                  <c:v>336.54999961853002</c:v>
                </c:pt>
                <c:pt idx="89">
                  <c:v>335.04999961853002</c:v>
                </c:pt>
                <c:pt idx="90">
                  <c:v>336.35</c:v>
                </c:pt>
                <c:pt idx="91">
                  <c:v>334.15</c:v>
                </c:pt>
                <c:pt idx="92">
                  <c:v>333.74999961853001</c:v>
                </c:pt>
                <c:pt idx="93">
                  <c:v>335.25000038146902</c:v>
                </c:pt>
                <c:pt idx="94">
                  <c:v>333.64999961852999</c:v>
                </c:pt>
                <c:pt idx="95">
                  <c:v>332.89999961852999</c:v>
                </c:pt>
                <c:pt idx="96">
                  <c:v>331.55000076293902</c:v>
                </c:pt>
                <c:pt idx="97">
                  <c:v>331.30000076293902</c:v>
                </c:pt>
                <c:pt idx="98">
                  <c:v>329.14999961852999</c:v>
                </c:pt>
                <c:pt idx="99">
                  <c:v>331.29999961853002</c:v>
                </c:pt>
                <c:pt idx="100">
                  <c:v>330.950000762939</c:v>
                </c:pt>
                <c:pt idx="101">
                  <c:v>329.44999961853</c:v>
                </c:pt>
                <c:pt idx="102">
                  <c:v>330.84999961852998</c:v>
                </c:pt>
                <c:pt idx="103">
                  <c:v>332.55000076293902</c:v>
                </c:pt>
                <c:pt idx="104">
                  <c:v>331.45000038146901</c:v>
                </c:pt>
                <c:pt idx="105">
                  <c:v>332.25</c:v>
                </c:pt>
                <c:pt idx="106">
                  <c:v>325.90000076293899</c:v>
                </c:pt>
                <c:pt idx="107">
                  <c:v>327.69999923706001</c:v>
                </c:pt>
                <c:pt idx="108">
                  <c:v>327.700000762939</c:v>
                </c:pt>
                <c:pt idx="109">
                  <c:v>322.25000038146902</c:v>
                </c:pt>
                <c:pt idx="110">
                  <c:v>321.85000019073402</c:v>
                </c:pt>
                <c:pt idx="111">
                  <c:v>325</c:v>
                </c:pt>
                <c:pt idx="112">
                  <c:v>326.59999961852998</c:v>
                </c:pt>
                <c:pt idx="113">
                  <c:v>321.650000381469</c:v>
                </c:pt>
                <c:pt idx="114">
                  <c:v>320.7</c:v>
                </c:pt>
                <c:pt idx="115">
                  <c:v>321.39999961852999</c:v>
                </c:pt>
                <c:pt idx="116">
                  <c:v>321.5</c:v>
                </c:pt>
                <c:pt idx="117">
                  <c:v>320.45</c:v>
                </c:pt>
                <c:pt idx="118">
                  <c:v>322.85000019073402</c:v>
                </c:pt>
                <c:pt idx="119">
                  <c:v>324.30000019073401</c:v>
                </c:pt>
                <c:pt idx="120">
                  <c:v>322.750000190734</c:v>
                </c:pt>
                <c:pt idx="121">
                  <c:v>324.14999980926501</c:v>
                </c:pt>
                <c:pt idx="122">
                  <c:v>323.85000019073402</c:v>
                </c:pt>
                <c:pt idx="123">
                  <c:v>323.55</c:v>
                </c:pt>
                <c:pt idx="124">
                  <c:v>316.85000001191997</c:v>
                </c:pt>
                <c:pt idx="125">
                  <c:v>318.5</c:v>
                </c:pt>
                <c:pt idx="126">
                  <c:v>318.49999980926498</c:v>
                </c:pt>
                <c:pt idx="127">
                  <c:v>317.45000009536699</c:v>
                </c:pt>
                <c:pt idx="128">
                  <c:v>321.20000019073399</c:v>
                </c:pt>
                <c:pt idx="129">
                  <c:v>325.65000019073398</c:v>
                </c:pt>
                <c:pt idx="130">
                  <c:v>325.650000381469</c:v>
                </c:pt>
                <c:pt idx="131">
                  <c:v>325.650000381469</c:v>
                </c:pt>
                <c:pt idx="132">
                  <c:v>326.49999980926498</c:v>
                </c:pt>
                <c:pt idx="133">
                  <c:v>327.69999961853</c:v>
                </c:pt>
                <c:pt idx="134">
                  <c:v>324.99999980926498</c:v>
                </c:pt>
                <c:pt idx="135">
                  <c:v>328.94999961853</c:v>
                </c:pt>
                <c:pt idx="136">
                  <c:v>331.25000076293901</c:v>
                </c:pt>
                <c:pt idx="137">
                  <c:v>330.45000019073399</c:v>
                </c:pt>
                <c:pt idx="138">
                  <c:v>327.849999904632</c:v>
                </c:pt>
                <c:pt idx="139">
                  <c:v>326.50000002384098</c:v>
                </c:pt>
                <c:pt idx="140">
                  <c:v>326.84999995231601</c:v>
                </c:pt>
                <c:pt idx="141">
                  <c:v>327.299999952316</c:v>
                </c:pt>
                <c:pt idx="142">
                  <c:v>330.49999980926498</c:v>
                </c:pt>
                <c:pt idx="143">
                  <c:v>329.19999990463202</c:v>
                </c:pt>
                <c:pt idx="144">
                  <c:v>329.40000019073398</c:v>
                </c:pt>
                <c:pt idx="145">
                  <c:v>329.599999904632</c:v>
                </c:pt>
                <c:pt idx="146">
                  <c:v>326.24999998807903</c:v>
                </c:pt>
                <c:pt idx="147">
                  <c:v>331.24999980926498</c:v>
                </c:pt>
                <c:pt idx="148">
                  <c:v>331.599999904632</c:v>
                </c:pt>
                <c:pt idx="149">
                  <c:v>334.30000019073401</c:v>
                </c:pt>
                <c:pt idx="150">
                  <c:v>335.95000038146901</c:v>
                </c:pt>
                <c:pt idx="151">
                  <c:v>338.500000190734</c:v>
                </c:pt>
                <c:pt idx="152">
                  <c:v>333.89999990463201</c:v>
                </c:pt>
                <c:pt idx="153">
                  <c:v>334.45000009536699</c:v>
                </c:pt>
                <c:pt idx="154">
                  <c:v>333.65000002384102</c:v>
                </c:pt>
                <c:pt idx="155">
                  <c:v>327.40000019073398</c:v>
                </c:pt>
                <c:pt idx="156">
                  <c:v>323.00000038146902</c:v>
                </c:pt>
                <c:pt idx="157">
                  <c:v>317.64999961852999</c:v>
                </c:pt>
                <c:pt idx="158">
                  <c:v>309.5</c:v>
                </c:pt>
                <c:pt idx="159">
                  <c:v>312.50000038146902</c:v>
                </c:pt>
                <c:pt idx="160">
                  <c:v>303.85000076293898</c:v>
                </c:pt>
                <c:pt idx="161">
                  <c:v>308.09999923705999</c:v>
                </c:pt>
                <c:pt idx="162">
                  <c:v>311.400000381469</c:v>
                </c:pt>
                <c:pt idx="163">
                  <c:v>314.29999961853002</c:v>
                </c:pt>
                <c:pt idx="164">
                  <c:v>314.3</c:v>
                </c:pt>
                <c:pt idx="165">
                  <c:v>314.30000038146898</c:v>
                </c:pt>
                <c:pt idx="166">
                  <c:v>316.250000190734</c:v>
                </c:pt>
                <c:pt idx="167">
                  <c:v>311.99999961853001</c:v>
                </c:pt>
                <c:pt idx="168">
                  <c:v>314.05</c:v>
                </c:pt>
                <c:pt idx="169">
                  <c:v>311.84999961852998</c:v>
                </c:pt>
                <c:pt idx="170">
                  <c:v>316.94999980926502</c:v>
                </c:pt>
                <c:pt idx="171">
                  <c:v>317.099999809265</c:v>
                </c:pt>
                <c:pt idx="172">
                  <c:v>315.750000190734</c:v>
                </c:pt>
                <c:pt idx="173">
                  <c:v>312.45</c:v>
                </c:pt>
                <c:pt idx="174">
                  <c:v>312.44999980926502</c:v>
                </c:pt>
                <c:pt idx="175">
                  <c:v>308.15000019073398</c:v>
                </c:pt>
                <c:pt idx="176">
                  <c:v>303.85000038146899</c:v>
                </c:pt>
                <c:pt idx="177">
                  <c:v>310.30000076293902</c:v>
                </c:pt>
                <c:pt idx="178">
                  <c:v>310.45000019073399</c:v>
                </c:pt>
                <c:pt idx="179">
                  <c:v>313.60000009536702</c:v>
                </c:pt>
                <c:pt idx="180">
                  <c:v>317.099999809265</c:v>
                </c:pt>
                <c:pt idx="181">
                  <c:v>320.10000002384101</c:v>
                </c:pt>
                <c:pt idx="182">
                  <c:v>321.49999995231599</c:v>
                </c:pt>
                <c:pt idx="183">
                  <c:v>321.550000047683</c:v>
                </c:pt>
                <c:pt idx="184">
                  <c:v>322.84999995231601</c:v>
                </c:pt>
                <c:pt idx="185">
                  <c:v>322</c:v>
                </c:pt>
                <c:pt idx="186">
                  <c:v>319.849999809265</c:v>
                </c:pt>
                <c:pt idx="187">
                  <c:v>321.300000047683</c:v>
                </c:pt>
                <c:pt idx="188">
                  <c:v>321.59999995231601</c:v>
                </c:pt>
                <c:pt idx="189">
                  <c:v>322.10000000000002</c:v>
                </c:pt>
                <c:pt idx="190">
                  <c:v>311.5</c:v>
                </c:pt>
                <c:pt idx="191">
                  <c:v>314.5</c:v>
                </c:pt>
                <c:pt idx="192">
                  <c:v>315.15000004768302</c:v>
                </c:pt>
                <c:pt idx="193">
                  <c:v>310.64999980926501</c:v>
                </c:pt>
                <c:pt idx="194">
                  <c:v>314.45000019073399</c:v>
                </c:pt>
                <c:pt idx="195">
                  <c:v>314.54999961853002</c:v>
                </c:pt>
                <c:pt idx="196">
                  <c:v>313.45000019073399</c:v>
                </c:pt>
                <c:pt idx="197">
                  <c:v>312.80000019073401</c:v>
                </c:pt>
                <c:pt idx="198">
                  <c:v>307.55000038146898</c:v>
                </c:pt>
                <c:pt idx="199">
                  <c:v>312.94999980926502</c:v>
                </c:pt>
                <c:pt idx="200">
                  <c:v>311.2</c:v>
                </c:pt>
                <c:pt idx="201">
                  <c:v>312.950000762939</c:v>
                </c:pt>
                <c:pt idx="202">
                  <c:v>313.45</c:v>
                </c:pt>
                <c:pt idx="203">
                  <c:v>312.45000038146901</c:v>
                </c:pt>
                <c:pt idx="204">
                  <c:v>311.75</c:v>
                </c:pt>
                <c:pt idx="205">
                  <c:v>314.45000038146901</c:v>
                </c:pt>
                <c:pt idx="206">
                  <c:v>314.3</c:v>
                </c:pt>
                <c:pt idx="207">
                  <c:v>314.39999961852999</c:v>
                </c:pt>
                <c:pt idx="208">
                  <c:v>317.59999961852998</c:v>
                </c:pt>
                <c:pt idx="209">
                  <c:v>319.00000038146902</c:v>
                </c:pt>
                <c:pt idx="210">
                  <c:v>316.90000019073398</c:v>
                </c:pt>
                <c:pt idx="211">
                  <c:v>317.10000038146899</c:v>
                </c:pt>
                <c:pt idx="212">
                  <c:v>315.35000038146899</c:v>
                </c:pt>
                <c:pt idx="213">
                  <c:v>312.95000038146901</c:v>
                </c:pt>
                <c:pt idx="214">
                  <c:v>317.44999961853</c:v>
                </c:pt>
                <c:pt idx="215">
                  <c:v>320.14999980926501</c:v>
                </c:pt>
                <c:pt idx="216">
                  <c:v>321.64999961852999</c:v>
                </c:pt>
                <c:pt idx="217">
                  <c:v>321.64999999999998</c:v>
                </c:pt>
                <c:pt idx="218">
                  <c:v>319.750000190734</c:v>
                </c:pt>
                <c:pt idx="219">
                  <c:v>318.00000038146902</c:v>
                </c:pt>
                <c:pt idx="220">
                  <c:v>316.45000019073399</c:v>
                </c:pt>
                <c:pt idx="221">
                  <c:v>316.44999980926502</c:v>
                </c:pt>
                <c:pt idx="222">
                  <c:v>314.05000009536701</c:v>
                </c:pt>
                <c:pt idx="223">
                  <c:v>314.05000019073401</c:v>
                </c:pt>
                <c:pt idx="224">
                  <c:v>315.849999904632</c:v>
                </c:pt>
                <c:pt idx="225">
                  <c:v>317.65000019073398</c:v>
                </c:pt>
                <c:pt idx="226">
                  <c:v>316.85000000000002</c:v>
                </c:pt>
                <c:pt idx="227">
                  <c:v>313.74999990463198</c:v>
                </c:pt>
                <c:pt idx="228">
                  <c:v>314.90000002384102</c:v>
                </c:pt>
                <c:pt idx="229">
                  <c:v>313.40000002384102</c:v>
                </c:pt>
                <c:pt idx="230">
                  <c:v>314.74999998807903</c:v>
                </c:pt>
                <c:pt idx="231">
                  <c:v>315.10000002384101</c:v>
                </c:pt>
                <c:pt idx="232">
                  <c:v>315.099999904632</c:v>
                </c:pt>
                <c:pt idx="233">
                  <c:v>317.14999990463201</c:v>
                </c:pt>
                <c:pt idx="234">
                  <c:v>316.54999980926499</c:v>
                </c:pt>
                <c:pt idx="235">
                  <c:v>317.29999999403901</c:v>
                </c:pt>
                <c:pt idx="236">
                  <c:v>318.10000000000002</c:v>
                </c:pt>
                <c:pt idx="237">
                  <c:v>314.89999997615803</c:v>
                </c:pt>
                <c:pt idx="238">
                  <c:v>307.54999990463199</c:v>
                </c:pt>
                <c:pt idx="239">
                  <c:v>309.15000004768302</c:v>
                </c:pt>
                <c:pt idx="240">
                  <c:v>311.39999999999998</c:v>
                </c:pt>
                <c:pt idx="241">
                  <c:v>313.15000019073398</c:v>
                </c:pt>
                <c:pt idx="242">
                  <c:v>313.75000004768299</c:v>
                </c:pt>
                <c:pt idx="243">
                  <c:v>313.74999995231599</c:v>
                </c:pt>
                <c:pt idx="244">
                  <c:v>316.85000000000002</c:v>
                </c:pt>
                <c:pt idx="245">
                  <c:v>313.300000047683</c:v>
                </c:pt>
                <c:pt idx="246">
                  <c:v>316.14999995231602</c:v>
                </c:pt>
                <c:pt idx="247">
                  <c:v>315.65000009536698</c:v>
                </c:pt>
                <c:pt idx="248">
                  <c:v>315.64999990463201</c:v>
                </c:pt>
                <c:pt idx="249">
                  <c:v>310.40000019073398</c:v>
                </c:pt>
                <c:pt idx="250">
                  <c:v>309.19999980926502</c:v>
                </c:pt>
                <c:pt idx="251">
                  <c:v>305.85000000000002</c:v>
                </c:pt>
                <c:pt idx="252">
                  <c:v>301.34999923705999</c:v>
                </c:pt>
                <c:pt idx="253">
                  <c:v>304.20000038146901</c:v>
                </c:pt>
                <c:pt idx="254">
                  <c:v>300.74999961853001</c:v>
                </c:pt>
                <c:pt idx="255">
                  <c:v>303.65000009536698</c:v>
                </c:pt>
                <c:pt idx="256">
                  <c:v>303.25</c:v>
                </c:pt>
                <c:pt idx="257">
                  <c:v>302.39999999999998</c:v>
                </c:pt>
                <c:pt idx="258">
                  <c:v>301.54999961853002</c:v>
                </c:pt>
                <c:pt idx="259">
                  <c:v>299.09999961852998</c:v>
                </c:pt>
                <c:pt idx="260">
                  <c:v>299.99999980926498</c:v>
                </c:pt>
                <c:pt idx="261">
                  <c:v>292.90000076293899</c:v>
                </c:pt>
                <c:pt idx="262">
                  <c:v>293.75000076293901</c:v>
                </c:pt>
                <c:pt idx="263">
                  <c:v>292.55</c:v>
                </c:pt>
                <c:pt idx="264">
                  <c:v>291.99999923706002</c:v>
                </c:pt>
                <c:pt idx="265">
                  <c:v>293.59999961852998</c:v>
                </c:pt>
                <c:pt idx="266">
                  <c:v>296.24999923706002</c:v>
                </c:pt>
                <c:pt idx="267">
                  <c:v>296.95</c:v>
                </c:pt>
                <c:pt idx="268">
                  <c:v>295.30000038146898</c:v>
                </c:pt>
                <c:pt idx="269">
                  <c:v>296</c:v>
                </c:pt>
                <c:pt idx="270">
                  <c:v>299.09999961852998</c:v>
                </c:pt>
                <c:pt idx="271">
                  <c:v>298.19999961853</c:v>
                </c:pt>
                <c:pt idx="272">
                  <c:v>297.35000076293898</c:v>
                </c:pt>
                <c:pt idx="273">
                  <c:v>297.05000076293902</c:v>
                </c:pt>
                <c:pt idx="274">
                  <c:v>296.04999923705998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vdiff_l2_reg_65_20_20_0.001_200!$N$1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vdiff_l2_reg_65_20_20_0.001_200!$L$2:$L$276</c:f>
              <c:numCache>
                <c:formatCode>m/d/yyyy</c:formatCode>
                <c:ptCount val="275"/>
                <c:pt idx="0">
                  <c:v>42916</c:v>
                </c:pt>
                <c:pt idx="1">
                  <c:v>42919</c:v>
                </c:pt>
                <c:pt idx="2">
                  <c:v>42920</c:v>
                </c:pt>
                <c:pt idx="3">
                  <c:v>42921</c:v>
                </c:pt>
                <c:pt idx="4">
                  <c:v>42922</c:v>
                </c:pt>
                <c:pt idx="5">
                  <c:v>42923</c:v>
                </c:pt>
                <c:pt idx="6">
                  <c:v>42926</c:v>
                </c:pt>
                <c:pt idx="7">
                  <c:v>42927</c:v>
                </c:pt>
                <c:pt idx="8">
                  <c:v>42928</c:v>
                </c:pt>
                <c:pt idx="9">
                  <c:v>42929</c:v>
                </c:pt>
                <c:pt idx="10">
                  <c:v>42930</c:v>
                </c:pt>
                <c:pt idx="11">
                  <c:v>42933</c:v>
                </c:pt>
                <c:pt idx="12">
                  <c:v>42934</c:v>
                </c:pt>
                <c:pt idx="13">
                  <c:v>42935</c:v>
                </c:pt>
                <c:pt idx="14">
                  <c:v>42936</c:v>
                </c:pt>
                <c:pt idx="15">
                  <c:v>42937</c:v>
                </c:pt>
                <c:pt idx="16">
                  <c:v>42940</c:v>
                </c:pt>
                <c:pt idx="17">
                  <c:v>42941</c:v>
                </c:pt>
                <c:pt idx="18">
                  <c:v>42942</c:v>
                </c:pt>
                <c:pt idx="19">
                  <c:v>42943</c:v>
                </c:pt>
                <c:pt idx="20">
                  <c:v>42944</c:v>
                </c:pt>
                <c:pt idx="21">
                  <c:v>42947</c:v>
                </c:pt>
                <c:pt idx="22">
                  <c:v>42948</c:v>
                </c:pt>
                <c:pt idx="23">
                  <c:v>42949</c:v>
                </c:pt>
                <c:pt idx="24">
                  <c:v>42950</c:v>
                </c:pt>
                <c:pt idx="25">
                  <c:v>42951</c:v>
                </c:pt>
                <c:pt idx="26">
                  <c:v>42954</c:v>
                </c:pt>
                <c:pt idx="27">
                  <c:v>42955</c:v>
                </c:pt>
                <c:pt idx="28">
                  <c:v>42956</c:v>
                </c:pt>
                <c:pt idx="29">
                  <c:v>42957</c:v>
                </c:pt>
                <c:pt idx="30">
                  <c:v>42958</c:v>
                </c:pt>
                <c:pt idx="31">
                  <c:v>42961</c:v>
                </c:pt>
                <c:pt idx="32">
                  <c:v>42962</c:v>
                </c:pt>
                <c:pt idx="33">
                  <c:v>42963</c:v>
                </c:pt>
                <c:pt idx="34">
                  <c:v>42964</c:v>
                </c:pt>
                <c:pt idx="35">
                  <c:v>42965</c:v>
                </c:pt>
                <c:pt idx="36">
                  <c:v>42968</c:v>
                </c:pt>
                <c:pt idx="37">
                  <c:v>42969</c:v>
                </c:pt>
                <c:pt idx="38">
                  <c:v>42970</c:v>
                </c:pt>
                <c:pt idx="39">
                  <c:v>42971</c:v>
                </c:pt>
                <c:pt idx="40">
                  <c:v>42972</c:v>
                </c:pt>
                <c:pt idx="41">
                  <c:v>42975</c:v>
                </c:pt>
                <c:pt idx="42">
                  <c:v>42976</c:v>
                </c:pt>
                <c:pt idx="43">
                  <c:v>42977</c:v>
                </c:pt>
                <c:pt idx="44">
                  <c:v>42978</c:v>
                </c:pt>
                <c:pt idx="45">
                  <c:v>42979</c:v>
                </c:pt>
                <c:pt idx="46">
                  <c:v>42982</c:v>
                </c:pt>
                <c:pt idx="47">
                  <c:v>42983</c:v>
                </c:pt>
                <c:pt idx="48">
                  <c:v>42984</c:v>
                </c:pt>
                <c:pt idx="49">
                  <c:v>42985</c:v>
                </c:pt>
                <c:pt idx="50">
                  <c:v>42986</c:v>
                </c:pt>
                <c:pt idx="51">
                  <c:v>42989</c:v>
                </c:pt>
                <c:pt idx="52">
                  <c:v>42990</c:v>
                </c:pt>
                <c:pt idx="53">
                  <c:v>42991</c:v>
                </c:pt>
                <c:pt idx="54">
                  <c:v>42992</c:v>
                </c:pt>
                <c:pt idx="55">
                  <c:v>42993</c:v>
                </c:pt>
                <c:pt idx="56">
                  <c:v>42996</c:v>
                </c:pt>
                <c:pt idx="57">
                  <c:v>42997</c:v>
                </c:pt>
                <c:pt idx="58">
                  <c:v>42998</c:v>
                </c:pt>
                <c:pt idx="59">
                  <c:v>42999</c:v>
                </c:pt>
                <c:pt idx="60">
                  <c:v>43000</c:v>
                </c:pt>
                <c:pt idx="61">
                  <c:v>43003</c:v>
                </c:pt>
                <c:pt idx="62">
                  <c:v>43004</c:v>
                </c:pt>
                <c:pt idx="63">
                  <c:v>43005</c:v>
                </c:pt>
                <c:pt idx="64">
                  <c:v>43006</c:v>
                </c:pt>
                <c:pt idx="65">
                  <c:v>43007</c:v>
                </c:pt>
                <c:pt idx="66">
                  <c:v>43010</c:v>
                </c:pt>
                <c:pt idx="67">
                  <c:v>43011</c:v>
                </c:pt>
                <c:pt idx="68">
                  <c:v>43012</c:v>
                </c:pt>
                <c:pt idx="69">
                  <c:v>43013</c:v>
                </c:pt>
                <c:pt idx="70">
                  <c:v>43014</c:v>
                </c:pt>
                <c:pt idx="71">
                  <c:v>43017</c:v>
                </c:pt>
                <c:pt idx="72">
                  <c:v>43018</c:v>
                </c:pt>
                <c:pt idx="73">
                  <c:v>43019</c:v>
                </c:pt>
                <c:pt idx="74">
                  <c:v>43020</c:v>
                </c:pt>
                <c:pt idx="75">
                  <c:v>43021</c:v>
                </c:pt>
                <c:pt idx="76">
                  <c:v>43024</c:v>
                </c:pt>
                <c:pt idx="77">
                  <c:v>43025</c:v>
                </c:pt>
                <c:pt idx="78">
                  <c:v>43026</c:v>
                </c:pt>
                <c:pt idx="79">
                  <c:v>43027</c:v>
                </c:pt>
                <c:pt idx="80">
                  <c:v>43028</c:v>
                </c:pt>
                <c:pt idx="81">
                  <c:v>43031</c:v>
                </c:pt>
                <c:pt idx="82">
                  <c:v>43032</c:v>
                </c:pt>
                <c:pt idx="83">
                  <c:v>43033</c:v>
                </c:pt>
                <c:pt idx="84">
                  <c:v>43034</c:v>
                </c:pt>
                <c:pt idx="85">
                  <c:v>43035</c:v>
                </c:pt>
                <c:pt idx="86">
                  <c:v>43038</c:v>
                </c:pt>
                <c:pt idx="87">
                  <c:v>43039</c:v>
                </c:pt>
                <c:pt idx="88">
                  <c:v>43040</c:v>
                </c:pt>
                <c:pt idx="89">
                  <c:v>43041</c:v>
                </c:pt>
                <c:pt idx="90">
                  <c:v>43042</c:v>
                </c:pt>
                <c:pt idx="91">
                  <c:v>43045</c:v>
                </c:pt>
                <c:pt idx="92">
                  <c:v>43046</c:v>
                </c:pt>
                <c:pt idx="93">
                  <c:v>43047</c:v>
                </c:pt>
                <c:pt idx="94">
                  <c:v>43048</c:v>
                </c:pt>
                <c:pt idx="95">
                  <c:v>43049</c:v>
                </c:pt>
                <c:pt idx="96">
                  <c:v>43052</c:v>
                </c:pt>
                <c:pt idx="97">
                  <c:v>43053</c:v>
                </c:pt>
                <c:pt idx="98">
                  <c:v>43054</c:v>
                </c:pt>
                <c:pt idx="99">
                  <c:v>43055</c:v>
                </c:pt>
                <c:pt idx="100">
                  <c:v>43056</c:v>
                </c:pt>
                <c:pt idx="101">
                  <c:v>43059</c:v>
                </c:pt>
                <c:pt idx="102">
                  <c:v>43060</c:v>
                </c:pt>
                <c:pt idx="103">
                  <c:v>43061</c:v>
                </c:pt>
                <c:pt idx="104">
                  <c:v>43062</c:v>
                </c:pt>
                <c:pt idx="105">
                  <c:v>43063</c:v>
                </c:pt>
                <c:pt idx="106">
                  <c:v>43066</c:v>
                </c:pt>
                <c:pt idx="107">
                  <c:v>43067</c:v>
                </c:pt>
                <c:pt idx="108">
                  <c:v>43068</c:v>
                </c:pt>
                <c:pt idx="109">
                  <c:v>43069</c:v>
                </c:pt>
                <c:pt idx="110">
                  <c:v>43070</c:v>
                </c:pt>
                <c:pt idx="111">
                  <c:v>43073</c:v>
                </c:pt>
                <c:pt idx="112">
                  <c:v>43074</c:v>
                </c:pt>
                <c:pt idx="113">
                  <c:v>43075</c:v>
                </c:pt>
                <c:pt idx="114">
                  <c:v>43076</c:v>
                </c:pt>
                <c:pt idx="115">
                  <c:v>43077</c:v>
                </c:pt>
                <c:pt idx="116">
                  <c:v>43080</c:v>
                </c:pt>
                <c:pt idx="117">
                  <c:v>43081</c:v>
                </c:pt>
                <c:pt idx="118">
                  <c:v>43082</c:v>
                </c:pt>
                <c:pt idx="119">
                  <c:v>43083</c:v>
                </c:pt>
                <c:pt idx="120">
                  <c:v>43084</c:v>
                </c:pt>
                <c:pt idx="121">
                  <c:v>43087</c:v>
                </c:pt>
                <c:pt idx="122">
                  <c:v>43088</c:v>
                </c:pt>
                <c:pt idx="123">
                  <c:v>43089</c:v>
                </c:pt>
                <c:pt idx="124">
                  <c:v>43090</c:v>
                </c:pt>
                <c:pt idx="125">
                  <c:v>43091</c:v>
                </c:pt>
                <c:pt idx="126">
                  <c:v>43094</c:v>
                </c:pt>
                <c:pt idx="127">
                  <c:v>43095</c:v>
                </c:pt>
                <c:pt idx="128">
                  <c:v>43096</c:v>
                </c:pt>
                <c:pt idx="129">
                  <c:v>43097</c:v>
                </c:pt>
                <c:pt idx="130">
                  <c:v>43098</c:v>
                </c:pt>
                <c:pt idx="131">
                  <c:v>43101</c:v>
                </c:pt>
                <c:pt idx="132">
                  <c:v>43102</c:v>
                </c:pt>
                <c:pt idx="133">
                  <c:v>43103</c:v>
                </c:pt>
                <c:pt idx="134">
                  <c:v>43104</c:v>
                </c:pt>
                <c:pt idx="135">
                  <c:v>43105</c:v>
                </c:pt>
                <c:pt idx="136">
                  <c:v>43108</c:v>
                </c:pt>
                <c:pt idx="137">
                  <c:v>43109</c:v>
                </c:pt>
                <c:pt idx="138">
                  <c:v>43110</c:v>
                </c:pt>
                <c:pt idx="139">
                  <c:v>43111</c:v>
                </c:pt>
                <c:pt idx="140">
                  <c:v>43112</c:v>
                </c:pt>
                <c:pt idx="141">
                  <c:v>43115</c:v>
                </c:pt>
                <c:pt idx="142">
                  <c:v>43116</c:v>
                </c:pt>
                <c:pt idx="143">
                  <c:v>43117</c:v>
                </c:pt>
                <c:pt idx="144">
                  <c:v>43118</c:v>
                </c:pt>
                <c:pt idx="145">
                  <c:v>43119</c:v>
                </c:pt>
                <c:pt idx="146">
                  <c:v>43122</c:v>
                </c:pt>
                <c:pt idx="147">
                  <c:v>43123</c:v>
                </c:pt>
                <c:pt idx="148">
                  <c:v>43124</c:v>
                </c:pt>
                <c:pt idx="149">
                  <c:v>43125</c:v>
                </c:pt>
                <c:pt idx="150">
                  <c:v>43126</c:v>
                </c:pt>
                <c:pt idx="151">
                  <c:v>43129</c:v>
                </c:pt>
                <c:pt idx="152">
                  <c:v>43130</c:v>
                </c:pt>
                <c:pt idx="153">
                  <c:v>43131</c:v>
                </c:pt>
                <c:pt idx="154">
                  <c:v>43132</c:v>
                </c:pt>
                <c:pt idx="155">
                  <c:v>43133</c:v>
                </c:pt>
                <c:pt idx="156">
                  <c:v>43136</c:v>
                </c:pt>
                <c:pt idx="157">
                  <c:v>43137</c:v>
                </c:pt>
                <c:pt idx="158">
                  <c:v>43138</c:v>
                </c:pt>
                <c:pt idx="159">
                  <c:v>43139</c:v>
                </c:pt>
                <c:pt idx="160">
                  <c:v>43140</c:v>
                </c:pt>
                <c:pt idx="161">
                  <c:v>43143</c:v>
                </c:pt>
                <c:pt idx="162">
                  <c:v>43144</c:v>
                </c:pt>
                <c:pt idx="163">
                  <c:v>43145</c:v>
                </c:pt>
                <c:pt idx="164">
                  <c:v>43146</c:v>
                </c:pt>
                <c:pt idx="165">
                  <c:v>43147</c:v>
                </c:pt>
                <c:pt idx="166">
                  <c:v>43150</c:v>
                </c:pt>
                <c:pt idx="167">
                  <c:v>43151</c:v>
                </c:pt>
                <c:pt idx="168">
                  <c:v>43152</c:v>
                </c:pt>
                <c:pt idx="169">
                  <c:v>43153</c:v>
                </c:pt>
                <c:pt idx="170">
                  <c:v>43154</c:v>
                </c:pt>
                <c:pt idx="171">
                  <c:v>43157</c:v>
                </c:pt>
                <c:pt idx="172">
                  <c:v>43158</c:v>
                </c:pt>
                <c:pt idx="173">
                  <c:v>43159</c:v>
                </c:pt>
                <c:pt idx="174">
                  <c:v>43160</c:v>
                </c:pt>
                <c:pt idx="175">
                  <c:v>43161</c:v>
                </c:pt>
                <c:pt idx="176">
                  <c:v>43164</c:v>
                </c:pt>
                <c:pt idx="177">
                  <c:v>43165</c:v>
                </c:pt>
                <c:pt idx="178">
                  <c:v>43166</c:v>
                </c:pt>
                <c:pt idx="179">
                  <c:v>43167</c:v>
                </c:pt>
                <c:pt idx="180">
                  <c:v>43168</c:v>
                </c:pt>
                <c:pt idx="181">
                  <c:v>43171</c:v>
                </c:pt>
                <c:pt idx="182">
                  <c:v>43172</c:v>
                </c:pt>
                <c:pt idx="183">
                  <c:v>43173</c:v>
                </c:pt>
                <c:pt idx="184">
                  <c:v>43174</c:v>
                </c:pt>
                <c:pt idx="185">
                  <c:v>43175</c:v>
                </c:pt>
                <c:pt idx="186">
                  <c:v>43178</c:v>
                </c:pt>
                <c:pt idx="187">
                  <c:v>43179</c:v>
                </c:pt>
                <c:pt idx="188">
                  <c:v>43180</c:v>
                </c:pt>
                <c:pt idx="189">
                  <c:v>43181</c:v>
                </c:pt>
                <c:pt idx="190">
                  <c:v>43182</c:v>
                </c:pt>
                <c:pt idx="191">
                  <c:v>43185</c:v>
                </c:pt>
                <c:pt idx="192">
                  <c:v>43186</c:v>
                </c:pt>
                <c:pt idx="193">
                  <c:v>43187</c:v>
                </c:pt>
                <c:pt idx="194">
                  <c:v>43188</c:v>
                </c:pt>
                <c:pt idx="195">
                  <c:v>43189</c:v>
                </c:pt>
                <c:pt idx="196">
                  <c:v>43192</c:v>
                </c:pt>
                <c:pt idx="197">
                  <c:v>43193</c:v>
                </c:pt>
                <c:pt idx="198">
                  <c:v>43194</c:v>
                </c:pt>
                <c:pt idx="199">
                  <c:v>43195</c:v>
                </c:pt>
                <c:pt idx="200">
                  <c:v>43196</c:v>
                </c:pt>
                <c:pt idx="201">
                  <c:v>43199</c:v>
                </c:pt>
                <c:pt idx="202">
                  <c:v>43200</c:v>
                </c:pt>
                <c:pt idx="203">
                  <c:v>43201</c:v>
                </c:pt>
                <c:pt idx="204">
                  <c:v>43202</c:v>
                </c:pt>
                <c:pt idx="205">
                  <c:v>43203</c:v>
                </c:pt>
                <c:pt idx="206">
                  <c:v>43206</c:v>
                </c:pt>
                <c:pt idx="207">
                  <c:v>43207</c:v>
                </c:pt>
                <c:pt idx="208">
                  <c:v>43208</c:v>
                </c:pt>
                <c:pt idx="209">
                  <c:v>43209</c:v>
                </c:pt>
                <c:pt idx="210">
                  <c:v>43210</c:v>
                </c:pt>
                <c:pt idx="211">
                  <c:v>43213</c:v>
                </c:pt>
                <c:pt idx="212">
                  <c:v>43214</c:v>
                </c:pt>
                <c:pt idx="213">
                  <c:v>43215</c:v>
                </c:pt>
                <c:pt idx="214">
                  <c:v>43216</c:v>
                </c:pt>
                <c:pt idx="215">
                  <c:v>43217</c:v>
                </c:pt>
                <c:pt idx="216">
                  <c:v>43220</c:v>
                </c:pt>
                <c:pt idx="217">
                  <c:v>43221</c:v>
                </c:pt>
                <c:pt idx="218">
                  <c:v>43222</c:v>
                </c:pt>
                <c:pt idx="219">
                  <c:v>43223</c:v>
                </c:pt>
                <c:pt idx="220">
                  <c:v>43224</c:v>
                </c:pt>
                <c:pt idx="221">
                  <c:v>43227</c:v>
                </c:pt>
                <c:pt idx="222">
                  <c:v>43228</c:v>
                </c:pt>
                <c:pt idx="223">
                  <c:v>43229</c:v>
                </c:pt>
                <c:pt idx="224">
                  <c:v>43230</c:v>
                </c:pt>
                <c:pt idx="225">
                  <c:v>43231</c:v>
                </c:pt>
                <c:pt idx="226">
                  <c:v>43234</c:v>
                </c:pt>
                <c:pt idx="227">
                  <c:v>43235</c:v>
                </c:pt>
                <c:pt idx="228">
                  <c:v>43236</c:v>
                </c:pt>
                <c:pt idx="229">
                  <c:v>43237</c:v>
                </c:pt>
                <c:pt idx="230">
                  <c:v>43238</c:v>
                </c:pt>
                <c:pt idx="231">
                  <c:v>43241</c:v>
                </c:pt>
                <c:pt idx="232">
                  <c:v>43242</c:v>
                </c:pt>
                <c:pt idx="233">
                  <c:v>43243</c:v>
                </c:pt>
                <c:pt idx="234">
                  <c:v>43244</c:v>
                </c:pt>
                <c:pt idx="235">
                  <c:v>43245</c:v>
                </c:pt>
                <c:pt idx="236">
                  <c:v>43248</c:v>
                </c:pt>
                <c:pt idx="237">
                  <c:v>43249</c:v>
                </c:pt>
                <c:pt idx="238">
                  <c:v>43250</c:v>
                </c:pt>
                <c:pt idx="239">
                  <c:v>43251</c:v>
                </c:pt>
                <c:pt idx="240">
                  <c:v>43252</c:v>
                </c:pt>
                <c:pt idx="241">
                  <c:v>43255</c:v>
                </c:pt>
                <c:pt idx="242">
                  <c:v>43256</c:v>
                </c:pt>
                <c:pt idx="243">
                  <c:v>43257</c:v>
                </c:pt>
                <c:pt idx="244">
                  <c:v>43258</c:v>
                </c:pt>
                <c:pt idx="245">
                  <c:v>43259</c:v>
                </c:pt>
                <c:pt idx="246">
                  <c:v>43262</c:v>
                </c:pt>
                <c:pt idx="247">
                  <c:v>43263</c:v>
                </c:pt>
                <c:pt idx="248">
                  <c:v>43264</c:v>
                </c:pt>
                <c:pt idx="249">
                  <c:v>43265</c:v>
                </c:pt>
                <c:pt idx="250">
                  <c:v>43266</c:v>
                </c:pt>
                <c:pt idx="251">
                  <c:v>43269</c:v>
                </c:pt>
                <c:pt idx="252">
                  <c:v>43270</c:v>
                </c:pt>
                <c:pt idx="253">
                  <c:v>43271</c:v>
                </c:pt>
                <c:pt idx="254">
                  <c:v>43272</c:v>
                </c:pt>
                <c:pt idx="255">
                  <c:v>43273</c:v>
                </c:pt>
                <c:pt idx="256">
                  <c:v>43276</c:v>
                </c:pt>
                <c:pt idx="257">
                  <c:v>43277</c:v>
                </c:pt>
                <c:pt idx="258">
                  <c:v>43278</c:v>
                </c:pt>
                <c:pt idx="259">
                  <c:v>43279</c:v>
                </c:pt>
                <c:pt idx="260">
                  <c:v>43280</c:v>
                </c:pt>
                <c:pt idx="261">
                  <c:v>43283</c:v>
                </c:pt>
                <c:pt idx="262">
                  <c:v>43284</c:v>
                </c:pt>
                <c:pt idx="263">
                  <c:v>43285</c:v>
                </c:pt>
                <c:pt idx="264">
                  <c:v>43286</c:v>
                </c:pt>
                <c:pt idx="265">
                  <c:v>43287</c:v>
                </c:pt>
                <c:pt idx="266">
                  <c:v>43290</c:v>
                </c:pt>
                <c:pt idx="267">
                  <c:v>43291</c:v>
                </c:pt>
                <c:pt idx="268">
                  <c:v>43292</c:v>
                </c:pt>
                <c:pt idx="269">
                  <c:v>43293</c:v>
                </c:pt>
                <c:pt idx="270">
                  <c:v>43294</c:v>
                </c:pt>
                <c:pt idx="271">
                  <c:v>43297</c:v>
                </c:pt>
                <c:pt idx="272">
                  <c:v>43298</c:v>
                </c:pt>
                <c:pt idx="273">
                  <c:v>43299</c:v>
                </c:pt>
                <c:pt idx="274">
                  <c:v>43300</c:v>
                </c:pt>
              </c:numCache>
            </c:numRef>
          </c:cat>
          <c:val>
            <c:numRef>
              <c:f>vdiff_l2_reg_65_20_20_0.001_200!$N$2:$N$276</c:f>
              <c:numCache>
                <c:formatCode>General</c:formatCode>
                <c:ptCount val="275"/>
                <c:pt idx="0">
                  <c:v>286.75419588486329</c:v>
                </c:pt>
                <c:pt idx="1">
                  <c:v>286.70591237544971</c:v>
                </c:pt>
                <c:pt idx="2">
                  <c:v>286.29512955347667</c:v>
                </c:pt>
                <c:pt idx="3">
                  <c:v>289.09737230936668</c:v>
                </c:pt>
                <c:pt idx="4">
                  <c:v>289.37581799825</c:v>
                </c:pt>
                <c:pt idx="5">
                  <c:v>286.45030554135604</c:v>
                </c:pt>
                <c:pt idx="6">
                  <c:v>290.01753988265932</c:v>
                </c:pt>
                <c:pt idx="7">
                  <c:v>287.26662427584267</c:v>
                </c:pt>
                <c:pt idx="8">
                  <c:v>286.86318082809368</c:v>
                </c:pt>
                <c:pt idx="9">
                  <c:v>283.60476748545904</c:v>
                </c:pt>
                <c:pt idx="10">
                  <c:v>283.62093873023929</c:v>
                </c:pt>
                <c:pt idx="11">
                  <c:v>283.1886894543963</c:v>
                </c:pt>
                <c:pt idx="12">
                  <c:v>285.73830043623798</c:v>
                </c:pt>
                <c:pt idx="13">
                  <c:v>284.14662017027467</c:v>
                </c:pt>
                <c:pt idx="14">
                  <c:v>286.40602378050465</c:v>
                </c:pt>
                <c:pt idx="15">
                  <c:v>283.75322416623402</c:v>
                </c:pt>
                <c:pt idx="16">
                  <c:v>287.32381126880597</c:v>
                </c:pt>
                <c:pt idx="17">
                  <c:v>290.58824172814633</c:v>
                </c:pt>
                <c:pt idx="18">
                  <c:v>291.20792501370062</c:v>
                </c:pt>
                <c:pt idx="19">
                  <c:v>294.00576934814404</c:v>
                </c:pt>
                <c:pt idx="20">
                  <c:v>292.31977046330729</c:v>
                </c:pt>
                <c:pt idx="21">
                  <c:v>287.81537175973227</c:v>
                </c:pt>
                <c:pt idx="22">
                  <c:v>289.22557817697498</c:v>
                </c:pt>
                <c:pt idx="23">
                  <c:v>289.34083410898762</c:v>
                </c:pt>
                <c:pt idx="24">
                  <c:v>291.43475313981338</c:v>
                </c:pt>
                <c:pt idx="25">
                  <c:v>291.70836993058469</c:v>
                </c:pt>
                <c:pt idx="26">
                  <c:v>298.02049489021266</c:v>
                </c:pt>
                <c:pt idx="27">
                  <c:v>298.11250495115866</c:v>
                </c:pt>
                <c:pt idx="28">
                  <c:v>296.09757613340975</c:v>
                </c:pt>
                <c:pt idx="29">
                  <c:v>298.64308271408032</c:v>
                </c:pt>
                <c:pt idx="30">
                  <c:v>297.71751555204332</c:v>
                </c:pt>
                <c:pt idx="31">
                  <c:v>298.29616349339432</c:v>
                </c:pt>
                <c:pt idx="32">
                  <c:v>297.64910995960201</c:v>
                </c:pt>
                <c:pt idx="33">
                  <c:v>297.36011902491236</c:v>
                </c:pt>
                <c:pt idx="34">
                  <c:v>295.83498333295137</c:v>
                </c:pt>
                <c:pt idx="35">
                  <c:v>295.12909841537436</c:v>
                </c:pt>
                <c:pt idx="36">
                  <c:v>296.70045440991697</c:v>
                </c:pt>
                <c:pt idx="37">
                  <c:v>299.02127739588366</c:v>
                </c:pt>
                <c:pt idx="38">
                  <c:v>303.81908987363136</c:v>
                </c:pt>
                <c:pt idx="39">
                  <c:v>306.15497851371697</c:v>
                </c:pt>
                <c:pt idx="40">
                  <c:v>310.68940517902337</c:v>
                </c:pt>
                <c:pt idx="41">
                  <c:v>308.00028575261399</c:v>
                </c:pt>
                <c:pt idx="42">
                  <c:v>306.64060027996669</c:v>
                </c:pt>
                <c:pt idx="43">
                  <c:v>307.16036442716864</c:v>
                </c:pt>
                <c:pt idx="44">
                  <c:v>305.52907842794997</c:v>
                </c:pt>
                <c:pt idx="45">
                  <c:v>309.86842366059568</c:v>
                </c:pt>
                <c:pt idx="46">
                  <c:v>309.23662377993236</c:v>
                </c:pt>
                <c:pt idx="47">
                  <c:v>308.6818936030067</c:v>
                </c:pt>
                <c:pt idx="48">
                  <c:v>309.07405601342504</c:v>
                </c:pt>
                <c:pt idx="49">
                  <c:v>311.79095870653737</c:v>
                </c:pt>
                <c:pt idx="50">
                  <c:v>312.9249997218447</c:v>
                </c:pt>
                <c:pt idx="51">
                  <c:v>313.16198488871237</c:v>
                </c:pt>
                <c:pt idx="52">
                  <c:v>312.05471564133899</c:v>
                </c:pt>
                <c:pt idx="53">
                  <c:v>313.28349525133734</c:v>
                </c:pt>
                <c:pt idx="54">
                  <c:v>310.87710116704233</c:v>
                </c:pt>
                <c:pt idx="55">
                  <c:v>312.43449966112735</c:v>
                </c:pt>
                <c:pt idx="56">
                  <c:v>312.89637880325267</c:v>
                </c:pt>
                <c:pt idx="57">
                  <c:v>312.93648514747565</c:v>
                </c:pt>
                <c:pt idx="58">
                  <c:v>315.98287849426237</c:v>
                </c:pt>
                <c:pt idx="59">
                  <c:v>316.98364683786968</c:v>
                </c:pt>
                <c:pt idx="60">
                  <c:v>312.55348896980269</c:v>
                </c:pt>
                <c:pt idx="61">
                  <c:v>312.00702567696533</c:v>
                </c:pt>
                <c:pt idx="62">
                  <c:v>309.43534248669897</c:v>
                </c:pt>
                <c:pt idx="63">
                  <c:v>314.08649309476164</c:v>
                </c:pt>
                <c:pt idx="64">
                  <c:v>313.35186999638802</c:v>
                </c:pt>
                <c:pt idx="65">
                  <c:v>318.2571918944513</c:v>
                </c:pt>
                <c:pt idx="66">
                  <c:v>318.01815969943931</c:v>
                </c:pt>
                <c:pt idx="67">
                  <c:v>315.79036305745404</c:v>
                </c:pt>
                <c:pt idx="68">
                  <c:v>315.93429050445502</c:v>
                </c:pt>
                <c:pt idx="69">
                  <c:v>314.205986456076</c:v>
                </c:pt>
                <c:pt idx="70">
                  <c:v>314.90262488524064</c:v>
                </c:pt>
                <c:pt idx="71">
                  <c:v>315.45284214913801</c:v>
                </c:pt>
                <c:pt idx="72">
                  <c:v>315.50114482839871</c:v>
                </c:pt>
                <c:pt idx="73">
                  <c:v>316.99112365245765</c:v>
                </c:pt>
                <c:pt idx="74">
                  <c:v>316.99194904963133</c:v>
                </c:pt>
                <c:pt idx="75">
                  <c:v>318.29362959861697</c:v>
                </c:pt>
                <c:pt idx="76">
                  <c:v>317.00733828544566</c:v>
                </c:pt>
                <c:pt idx="77">
                  <c:v>319.00340530077568</c:v>
                </c:pt>
                <c:pt idx="78">
                  <c:v>321.10696640809334</c:v>
                </c:pt>
                <c:pt idx="79">
                  <c:v>321.16927205721498</c:v>
                </c:pt>
                <c:pt idx="80">
                  <c:v>324.68739239374764</c:v>
                </c:pt>
                <c:pt idx="81">
                  <c:v>322.23038403193101</c:v>
                </c:pt>
                <c:pt idx="82">
                  <c:v>325.42630882263097</c:v>
                </c:pt>
                <c:pt idx="83">
                  <c:v>325.13908286889335</c:v>
                </c:pt>
                <c:pt idx="84">
                  <c:v>325.82152924537598</c:v>
                </c:pt>
                <c:pt idx="85">
                  <c:v>324.65570953687001</c:v>
                </c:pt>
                <c:pt idx="86">
                  <c:v>318.64227884312396</c:v>
                </c:pt>
                <c:pt idx="87">
                  <c:v>321.27208944956431</c:v>
                </c:pt>
                <c:pt idx="88">
                  <c:v>320.36269666353797</c:v>
                </c:pt>
                <c:pt idx="89">
                  <c:v>319.17368280490172</c:v>
                </c:pt>
                <c:pt idx="90">
                  <c:v>319.91097628672861</c:v>
                </c:pt>
                <c:pt idx="91">
                  <c:v>319.82365826765636</c:v>
                </c:pt>
                <c:pt idx="92">
                  <c:v>321.51806821425703</c:v>
                </c:pt>
                <c:pt idx="93">
                  <c:v>325.67554571429832</c:v>
                </c:pt>
                <c:pt idx="94">
                  <c:v>325.77695351441633</c:v>
                </c:pt>
                <c:pt idx="95">
                  <c:v>324.55919050375564</c:v>
                </c:pt>
                <c:pt idx="96">
                  <c:v>323.03643853664335</c:v>
                </c:pt>
                <c:pt idx="97">
                  <c:v>323.09032444556505</c:v>
                </c:pt>
                <c:pt idx="98">
                  <c:v>323.31224044163997</c:v>
                </c:pt>
                <c:pt idx="99">
                  <c:v>324.61038955449999</c:v>
                </c:pt>
                <c:pt idx="100">
                  <c:v>324.21620381673137</c:v>
                </c:pt>
                <c:pt idx="101">
                  <c:v>321.22083171009967</c:v>
                </c:pt>
                <c:pt idx="102">
                  <c:v>323.42072511116601</c:v>
                </c:pt>
                <c:pt idx="103">
                  <c:v>321.18273285229969</c:v>
                </c:pt>
                <c:pt idx="104">
                  <c:v>324.58757257461502</c:v>
                </c:pt>
                <c:pt idx="105">
                  <c:v>318.95804856618201</c:v>
                </c:pt>
                <c:pt idx="106">
                  <c:v>318.83993533452303</c:v>
                </c:pt>
                <c:pt idx="107">
                  <c:v>317.77786378860429</c:v>
                </c:pt>
                <c:pt idx="108">
                  <c:v>319.28908452987633</c:v>
                </c:pt>
                <c:pt idx="109">
                  <c:v>319.63675101598068</c:v>
                </c:pt>
                <c:pt idx="110">
                  <c:v>319.13648449579802</c:v>
                </c:pt>
                <c:pt idx="111">
                  <c:v>319.75372072855566</c:v>
                </c:pt>
                <c:pt idx="112">
                  <c:v>316.42832328081067</c:v>
                </c:pt>
                <c:pt idx="113">
                  <c:v>317.40672331650995</c:v>
                </c:pt>
                <c:pt idx="114">
                  <c:v>316.03548543453167</c:v>
                </c:pt>
                <c:pt idx="115">
                  <c:v>319.67703683376266</c:v>
                </c:pt>
                <c:pt idx="116">
                  <c:v>319.19507519404067</c:v>
                </c:pt>
                <c:pt idx="117">
                  <c:v>316.73927527666063</c:v>
                </c:pt>
                <c:pt idx="118">
                  <c:v>311.70537773768064</c:v>
                </c:pt>
                <c:pt idx="119">
                  <c:v>314.00804688930435</c:v>
                </c:pt>
                <c:pt idx="120">
                  <c:v>315.30290728410029</c:v>
                </c:pt>
                <c:pt idx="121">
                  <c:v>318.34982522129968</c:v>
                </c:pt>
                <c:pt idx="122">
                  <c:v>319.58915134866965</c:v>
                </c:pt>
                <c:pt idx="123">
                  <c:v>317.10104352633101</c:v>
                </c:pt>
                <c:pt idx="124">
                  <c:v>321.7488860766087</c:v>
                </c:pt>
                <c:pt idx="125">
                  <c:v>318.58228503664299</c:v>
                </c:pt>
                <c:pt idx="126">
                  <c:v>320.97397934397003</c:v>
                </c:pt>
                <c:pt idx="127">
                  <c:v>320.02016399701398</c:v>
                </c:pt>
                <c:pt idx="128">
                  <c:v>319.48223421176232</c:v>
                </c:pt>
                <c:pt idx="129">
                  <c:v>319.50601136286997</c:v>
                </c:pt>
                <c:pt idx="130">
                  <c:v>316.69291556080134</c:v>
                </c:pt>
                <c:pt idx="131">
                  <c:v>318.15396971702535</c:v>
                </c:pt>
                <c:pt idx="132">
                  <c:v>318.68999833712934</c:v>
                </c:pt>
                <c:pt idx="133">
                  <c:v>318.42079524795167</c:v>
                </c:pt>
                <c:pt idx="134">
                  <c:v>319.42734450101835</c:v>
                </c:pt>
                <c:pt idx="135">
                  <c:v>318.35716303189537</c:v>
                </c:pt>
                <c:pt idx="136">
                  <c:v>318.36640736957366</c:v>
                </c:pt>
                <c:pt idx="137">
                  <c:v>321.22805857260965</c:v>
                </c:pt>
                <c:pt idx="138">
                  <c:v>321.98682350317569</c:v>
                </c:pt>
                <c:pt idx="139">
                  <c:v>325.10429187218301</c:v>
                </c:pt>
                <c:pt idx="140">
                  <c:v>323.93341010411535</c:v>
                </c:pt>
                <c:pt idx="141">
                  <c:v>324.26747234662338</c:v>
                </c:pt>
                <c:pt idx="142">
                  <c:v>326.33556721210431</c:v>
                </c:pt>
                <c:pt idx="143">
                  <c:v>325.18453848461269</c:v>
                </c:pt>
                <c:pt idx="144">
                  <c:v>328.26749298373801</c:v>
                </c:pt>
                <c:pt idx="145">
                  <c:v>329.86884572307196</c:v>
                </c:pt>
                <c:pt idx="146">
                  <c:v>327.65422531763664</c:v>
                </c:pt>
                <c:pt idx="147">
                  <c:v>330.4421917716657</c:v>
                </c:pt>
                <c:pt idx="148">
                  <c:v>328.15141402085561</c:v>
                </c:pt>
                <c:pt idx="149">
                  <c:v>328.37422061761168</c:v>
                </c:pt>
                <c:pt idx="150">
                  <c:v>331.22312579154931</c:v>
                </c:pt>
                <c:pt idx="151">
                  <c:v>330.11772915522198</c:v>
                </c:pt>
                <c:pt idx="152">
                  <c:v>333.53650342623337</c:v>
                </c:pt>
                <c:pt idx="153">
                  <c:v>335.46042981147701</c:v>
                </c:pt>
                <c:pt idx="154">
                  <c:v>336.36349986791566</c:v>
                </c:pt>
                <c:pt idx="155">
                  <c:v>337.67822349866202</c:v>
                </c:pt>
                <c:pt idx="156">
                  <c:v>338.10075035293835</c:v>
                </c:pt>
                <c:pt idx="157">
                  <c:v>332.74011815388968</c:v>
                </c:pt>
                <c:pt idx="158">
                  <c:v>335.74037802616698</c:v>
                </c:pt>
                <c:pt idx="159">
                  <c:v>331.53713665803235</c:v>
                </c:pt>
                <c:pt idx="160">
                  <c:v>328.77408494949299</c:v>
                </c:pt>
                <c:pt idx="161">
                  <c:v>326.60224671363767</c:v>
                </c:pt>
                <c:pt idx="162">
                  <c:v>326.15173069635966</c:v>
                </c:pt>
                <c:pt idx="163">
                  <c:v>322.171904857953</c:v>
                </c:pt>
                <c:pt idx="164">
                  <c:v>321.65868315299264</c:v>
                </c:pt>
                <c:pt idx="165">
                  <c:v>316.88453511397</c:v>
                </c:pt>
                <c:pt idx="166">
                  <c:v>321.17282573381999</c:v>
                </c:pt>
                <c:pt idx="167">
                  <c:v>322.04420802195835</c:v>
                </c:pt>
                <c:pt idx="168">
                  <c:v>321.30309872627203</c:v>
                </c:pt>
                <c:pt idx="169">
                  <c:v>326.03945523897767</c:v>
                </c:pt>
                <c:pt idx="170">
                  <c:v>327.407659308115</c:v>
                </c:pt>
                <c:pt idx="171">
                  <c:v>326.51334652403932</c:v>
                </c:pt>
                <c:pt idx="172">
                  <c:v>326.09550445079765</c:v>
                </c:pt>
                <c:pt idx="173">
                  <c:v>325.55942925214737</c:v>
                </c:pt>
                <c:pt idx="174">
                  <c:v>320.73780335187865</c:v>
                </c:pt>
                <c:pt idx="175">
                  <c:v>320.2449983835217</c:v>
                </c:pt>
                <c:pt idx="176">
                  <c:v>322.89235960642463</c:v>
                </c:pt>
                <c:pt idx="177">
                  <c:v>322.51826923489534</c:v>
                </c:pt>
                <c:pt idx="178">
                  <c:v>321.74247558911605</c:v>
                </c:pt>
                <c:pt idx="179">
                  <c:v>320.78163972695597</c:v>
                </c:pt>
                <c:pt idx="180">
                  <c:v>319.30456708272231</c:v>
                </c:pt>
                <c:pt idx="181">
                  <c:v>316.83651295502938</c:v>
                </c:pt>
                <c:pt idx="182">
                  <c:v>319.520130419731</c:v>
                </c:pt>
                <c:pt idx="183">
                  <c:v>317.89500575065563</c:v>
                </c:pt>
                <c:pt idx="184">
                  <c:v>323.82766658464999</c:v>
                </c:pt>
                <c:pt idx="185">
                  <c:v>320.29084216753603</c:v>
                </c:pt>
                <c:pt idx="186">
                  <c:v>323.13392157157233</c:v>
                </c:pt>
                <c:pt idx="187">
                  <c:v>324.83115170796668</c:v>
                </c:pt>
                <c:pt idx="188">
                  <c:v>323.48771810332897</c:v>
                </c:pt>
                <c:pt idx="189">
                  <c:v>322.06259506543432</c:v>
                </c:pt>
                <c:pt idx="190">
                  <c:v>321.32043333351567</c:v>
                </c:pt>
                <c:pt idx="191">
                  <c:v>322.06258395512833</c:v>
                </c:pt>
                <c:pt idx="192">
                  <c:v>321.32873799800836</c:v>
                </c:pt>
                <c:pt idx="193">
                  <c:v>327.60882457097301</c:v>
                </c:pt>
                <c:pt idx="194">
                  <c:v>327.52213848431865</c:v>
                </c:pt>
                <c:pt idx="195">
                  <c:v>323.88650532166133</c:v>
                </c:pt>
                <c:pt idx="196">
                  <c:v>323.13210226694702</c:v>
                </c:pt>
                <c:pt idx="197">
                  <c:v>320.03116159439065</c:v>
                </c:pt>
                <c:pt idx="198">
                  <c:v>321.21206161479068</c:v>
                </c:pt>
                <c:pt idx="199">
                  <c:v>319.73716523647266</c:v>
                </c:pt>
                <c:pt idx="200">
                  <c:v>322.77046629190363</c:v>
                </c:pt>
                <c:pt idx="201">
                  <c:v>324.74796488285034</c:v>
                </c:pt>
                <c:pt idx="202">
                  <c:v>324.44706598321568</c:v>
                </c:pt>
                <c:pt idx="203">
                  <c:v>324.43934706350097</c:v>
                </c:pt>
                <c:pt idx="204">
                  <c:v>325.78137608766497</c:v>
                </c:pt>
                <c:pt idx="205">
                  <c:v>323.96080719232532</c:v>
                </c:pt>
                <c:pt idx="206">
                  <c:v>326.48674342632262</c:v>
                </c:pt>
                <c:pt idx="207">
                  <c:v>326.13300298054997</c:v>
                </c:pt>
                <c:pt idx="208">
                  <c:v>324.11421624024666</c:v>
                </c:pt>
                <c:pt idx="209">
                  <c:v>324.64156370957636</c:v>
                </c:pt>
                <c:pt idx="210">
                  <c:v>324.87827214399931</c:v>
                </c:pt>
                <c:pt idx="211">
                  <c:v>323.61731997728299</c:v>
                </c:pt>
                <c:pt idx="212">
                  <c:v>324.364605633417</c:v>
                </c:pt>
                <c:pt idx="213">
                  <c:v>325.73356300195036</c:v>
                </c:pt>
                <c:pt idx="214">
                  <c:v>326.06322581768035</c:v>
                </c:pt>
                <c:pt idx="215">
                  <c:v>325.72475669383931</c:v>
                </c:pt>
                <c:pt idx="216">
                  <c:v>328.04539341926494</c:v>
                </c:pt>
                <c:pt idx="217">
                  <c:v>328.59351025819734</c:v>
                </c:pt>
                <c:pt idx="218">
                  <c:v>325.69058552583039</c:v>
                </c:pt>
                <c:pt idx="219">
                  <c:v>326.97388468186</c:v>
                </c:pt>
                <c:pt idx="220">
                  <c:v>326.67361297607363</c:v>
                </c:pt>
                <c:pt idx="221">
                  <c:v>326.12437133788995</c:v>
                </c:pt>
                <c:pt idx="222">
                  <c:v>324.79453991254104</c:v>
                </c:pt>
                <c:pt idx="223">
                  <c:v>318.29291764895066</c:v>
                </c:pt>
                <c:pt idx="224">
                  <c:v>315.781224250793</c:v>
                </c:pt>
                <c:pt idx="225">
                  <c:v>310.71469089190128</c:v>
                </c:pt>
                <c:pt idx="226">
                  <c:v>308.649284887313</c:v>
                </c:pt>
                <c:pt idx="227">
                  <c:v>311.11609009106866</c:v>
                </c:pt>
                <c:pt idx="228">
                  <c:v>314.54466228485029</c:v>
                </c:pt>
                <c:pt idx="229">
                  <c:v>314.84095238049798</c:v>
                </c:pt>
                <c:pt idx="230">
                  <c:v>315.34425930182101</c:v>
                </c:pt>
                <c:pt idx="231">
                  <c:v>315.54511384367862</c:v>
                </c:pt>
                <c:pt idx="232">
                  <c:v>313.37310987710902</c:v>
                </c:pt>
                <c:pt idx="233">
                  <c:v>310.75088316202101</c:v>
                </c:pt>
                <c:pt idx="234">
                  <c:v>313.93903993765468</c:v>
                </c:pt>
                <c:pt idx="235">
                  <c:v>314.98882513046237</c:v>
                </c:pt>
                <c:pt idx="236">
                  <c:v>313.98566329081797</c:v>
                </c:pt>
                <c:pt idx="237">
                  <c:v>313.79186181426002</c:v>
                </c:pt>
                <c:pt idx="238">
                  <c:v>313.15398903290367</c:v>
                </c:pt>
                <c:pt idx="239">
                  <c:v>313.31961936155932</c:v>
                </c:pt>
                <c:pt idx="240">
                  <c:v>312.88882632255508</c:v>
                </c:pt>
                <c:pt idx="241">
                  <c:v>312.14802656173669</c:v>
                </c:pt>
                <c:pt idx="242">
                  <c:v>311.30815580983932</c:v>
                </c:pt>
                <c:pt idx="243">
                  <c:v>310.02707233428936</c:v>
                </c:pt>
                <c:pt idx="244">
                  <c:v>311.96476653416931</c:v>
                </c:pt>
                <c:pt idx="245">
                  <c:v>312.89737347960431</c:v>
                </c:pt>
                <c:pt idx="246">
                  <c:v>315.26529975930799</c:v>
                </c:pt>
                <c:pt idx="247">
                  <c:v>315.49070953329368</c:v>
                </c:pt>
                <c:pt idx="248">
                  <c:v>315.08649732867832</c:v>
                </c:pt>
                <c:pt idx="249">
                  <c:v>317.60336069116966</c:v>
                </c:pt>
                <c:pt idx="250">
                  <c:v>315.50196196238164</c:v>
                </c:pt>
                <c:pt idx="251">
                  <c:v>315.74615370432463</c:v>
                </c:pt>
                <c:pt idx="252">
                  <c:v>319.35255765914866</c:v>
                </c:pt>
                <c:pt idx="253">
                  <c:v>321.34020681381202</c:v>
                </c:pt>
                <c:pt idx="254">
                  <c:v>318.90505166053703</c:v>
                </c:pt>
                <c:pt idx="255">
                  <c:v>316.981819588939</c:v>
                </c:pt>
                <c:pt idx="256">
                  <c:v>319.90948688189133</c:v>
                </c:pt>
                <c:pt idx="257">
                  <c:v>314.51222257614103</c:v>
                </c:pt>
                <c:pt idx="258">
                  <c:v>313.16986999909028</c:v>
                </c:pt>
                <c:pt idx="259">
                  <c:v>310.30968229770593</c:v>
                </c:pt>
                <c:pt idx="260">
                  <c:v>311.85697849591537</c:v>
                </c:pt>
                <c:pt idx="261">
                  <c:v>311.47929303646032</c:v>
                </c:pt>
                <c:pt idx="262">
                  <c:v>312.39984099070165</c:v>
                </c:pt>
                <c:pt idx="263">
                  <c:v>309.92692614396367</c:v>
                </c:pt>
                <c:pt idx="264">
                  <c:v>310.43719128767606</c:v>
                </c:pt>
                <c:pt idx="265">
                  <c:v>311.34233558972636</c:v>
                </c:pt>
                <c:pt idx="266">
                  <c:v>309.72496967116967</c:v>
                </c:pt>
                <c:pt idx="267">
                  <c:v>310.35896513660697</c:v>
                </c:pt>
                <c:pt idx="268">
                  <c:v>309.56249331831901</c:v>
                </c:pt>
                <c:pt idx="269">
                  <c:v>310.74091577529862</c:v>
                </c:pt>
                <c:pt idx="270">
                  <c:v>312.75811044375064</c:v>
                </c:pt>
                <c:pt idx="271">
                  <c:v>311.25885680516507</c:v>
                </c:pt>
                <c:pt idx="272">
                  <c:v>314.44160544872233</c:v>
                </c:pt>
                <c:pt idx="273">
                  <c:v>313.603641748428</c:v>
                </c:pt>
                <c:pt idx="274">
                  <c:v>313.35687347253105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113600"/>
        <c:axId val="872115776"/>
      </c:lineChart>
      <c:dateAx>
        <c:axId val="872113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2115776"/>
        <c:crosses val="autoZero"/>
        <c:auto val="1"/>
        <c:lblOffset val="100"/>
        <c:baseTimeUnit val="days"/>
      </c:dateAx>
      <c:valAx>
        <c:axId val="8721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21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252</xdr:row>
      <xdr:rowOff>190499</xdr:rowOff>
    </xdr:from>
    <xdr:to>
      <xdr:col>14</xdr:col>
      <xdr:colOff>190500</xdr:colOff>
      <xdr:row>268</xdr:row>
      <xdr:rowOff>47624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8"/>
  <sheetViews>
    <sheetView tabSelected="1" workbookViewId="0">
      <selection activeCell="N2" sqref="N2:N7"/>
    </sheetView>
  </sheetViews>
  <sheetFormatPr defaultRowHeight="16.5" x14ac:dyDescent="0.3"/>
  <cols>
    <col min="1" max="1" width="10.625" customWidth="1"/>
    <col min="2" max="2" width="10.75" customWidth="1"/>
    <col min="12" max="12" width="10.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10</v>
      </c>
      <c r="K1" t="s">
        <v>11</v>
      </c>
      <c r="L1" t="s">
        <v>1</v>
      </c>
      <c r="M1" t="s">
        <v>3</v>
      </c>
      <c r="N1" t="s">
        <v>12</v>
      </c>
      <c r="R1" t="s">
        <v>13</v>
      </c>
      <c r="S1" t="s">
        <v>14</v>
      </c>
    </row>
    <row r="2" spans="1:21" x14ac:dyDescent="0.3">
      <c r="A2" s="1">
        <v>42825</v>
      </c>
      <c r="B2" s="1">
        <v>42916</v>
      </c>
      <c r="C2">
        <v>291.04844722747799</v>
      </c>
      <c r="D2">
        <v>311.55000076293902</v>
      </c>
      <c r="E2">
        <v>281.60000000000002</v>
      </c>
      <c r="F2">
        <v>29.9500007629394</v>
      </c>
      <c r="G2">
        <v>9.4484472274780202</v>
      </c>
      <c r="H2">
        <v>29.9500007629394</v>
      </c>
      <c r="J2">
        <v>286.83618745803801</v>
      </c>
      <c r="K2">
        <v>282.37795296907399</v>
      </c>
      <c r="L2" s="1">
        <v>42916</v>
      </c>
      <c r="M2">
        <v>311.55000076293902</v>
      </c>
      <c r="N2">
        <f>AVERAGE(C2, J2:K2)</f>
        <v>286.75419588486329</v>
      </c>
      <c r="O2">
        <f>IF((D2-E2)*(D2-N2)&gt;0,1,0)</f>
        <v>1</v>
      </c>
      <c r="P2">
        <v>5.7696953659999997</v>
      </c>
      <c r="R2">
        <f>D2+1.65*P2</f>
        <v>321.06999811683903</v>
      </c>
      <c r="S2">
        <f>D2-1.65*P2</f>
        <v>302.03000340903901</v>
      </c>
      <c r="T2">
        <f>IF(AND((N2-E2)*(D2-E2)&gt;0,AND(N2&lt;R2,N2&gt;S2)),1,0)</f>
        <v>0</v>
      </c>
      <c r="U2">
        <f>IF(AND((C2-E2)*(D2-E2)&gt;0,AND(C2&lt;R2,C2&gt;S2)),1,0)</f>
        <v>0</v>
      </c>
    </row>
    <row r="3" spans="1:21" x14ac:dyDescent="0.3">
      <c r="A3" s="1">
        <v>42828</v>
      </c>
      <c r="B3" s="1">
        <v>42919</v>
      </c>
      <c r="C3">
        <v>288.91501417159998</v>
      </c>
      <c r="D3">
        <v>311.94999923706001</v>
      </c>
      <c r="E3">
        <v>281.89999999999998</v>
      </c>
      <c r="F3">
        <v>30.049999237060501</v>
      </c>
      <c r="G3">
        <v>7.01501417160034</v>
      </c>
      <c r="H3">
        <v>30.049999237060501</v>
      </c>
      <c r="J3">
        <v>288.283843898773</v>
      </c>
      <c r="K3">
        <v>282.91887905597599</v>
      </c>
      <c r="L3" s="1">
        <v>42919</v>
      </c>
      <c r="M3">
        <v>311.94999923706001</v>
      </c>
      <c r="N3">
        <f t="shared" ref="N3:N66" si="0">AVERAGE(C3, J3:K3)</f>
        <v>286.70591237544971</v>
      </c>
      <c r="O3">
        <f t="shared" ref="O3:O66" si="1">IF((D3-E3)*(D3-N3)&gt;0,1,0)</f>
        <v>1</v>
      </c>
      <c r="P3">
        <v>5.7566349680000002</v>
      </c>
      <c r="R3">
        <f t="shared" ref="R3:R66" si="2">D3+1.65*P3</f>
        <v>321.44844693426001</v>
      </c>
      <c r="S3">
        <f t="shared" ref="S3:S66" si="3">D3-1.65*P3</f>
        <v>302.45155153986002</v>
      </c>
      <c r="T3">
        <f t="shared" ref="T3:T20" si="4">IF(AND((N3-E3)*(D3-E3)&gt;0,AND(N3&lt;R3,N3&gt;S3)),1,0)</f>
        <v>0</v>
      </c>
      <c r="U3">
        <f t="shared" ref="U3:U67" si="5">IF(AND((C3-E3)*(D3-E3)&gt;0,AND(C3&lt;R3,C3&gt;S3)),1,0)</f>
        <v>0</v>
      </c>
    </row>
    <row r="4" spans="1:21" x14ac:dyDescent="0.3">
      <c r="A4" s="1">
        <v>42829</v>
      </c>
      <c r="B4" s="1">
        <v>42920</v>
      </c>
      <c r="C4">
        <v>289.58252487182602</v>
      </c>
      <c r="D4">
        <v>309.64999923706</v>
      </c>
      <c r="E4">
        <v>281.35000000000002</v>
      </c>
      <c r="F4">
        <v>28.299999237060501</v>
      </c>
      <c r="G4">
        <v>8.2325248718261701</v>
      </c>
      <c r="H4">
        <v>28.299999237060501</v>
      </c>
      <c r="J4">
        <v>285.54253873825002</v>
      </c>
      <c r="K4">
        <v>283.76032505035403</v>
      </c>
      <c r="L4" s="1">
        <v>42920</v>
      </c>
      <c r="M4">
        <v>309.64999923706</v>
      </c>
      <c r="N4">
        <f t="shared" si="0"/>
        <v>286.29512955347667</v>
      </c>
      <c r="O4">
        <f t="shared" si="1"/>
        <v>1</v>
      </c>
      <c r="P4">
        <v>5.7661241319999998</v>
      </c>
      <c r="R4">
        <f t="shared" si="2"/>
        <v>319.16410405485999</v>
      </c>
      <c r="S4">
        <f t="shared" si="3"/>
        <v>300.13589441926001</v>
      </c>
      <c r="T4">
        <f t="shared" si="4"/>
        <v>0</v>
      </c>
      <c r="U4">
        <f t="shared" si="5"/>
        <v>0</v>
      </c>
    </row>
    <row r="5" spans="1:21" x14ac:dyDescent="0.3">
      <c r="A5" s="1">
        <v>42830</v>
      </c>
      <c r="B5" s="1">
        <v>42921</v>
      </c>
      <c r="C5">
        <v>292.48433361053401</v>
      </c>
      <c r="D5">
        <v>311.10000000000002</v>
      </c>
      <c r="E5">
        <v>280.85000000000002</v>
      </c>
      <c r="F5">
        <v>30.25</v>
      </c>
      <c r="G5">
        <v>11.6343336105346</v>
      </c>
      <c r="H5">
        <v>30.25</v>
      </c>
      <c r="J5">
        <v>289.38183460235598</v>
      </c>
      <c r="K5">
        <v>285.42594871520998</v>
      </c>
      <c r="L5" s="1">
        <v>42921</v>
      </c>
      <c r="M5">
        <v>311.10000000000002</v>
      </c>
      <c r="N5">
        <f t="shared" si="0"/>
        <v>289.09737230936668</v>
      </c>
      <c r="O5">
        <f t="shared" si="1"/>
        <v>1</v>
      </c>
      <c r="P5">
        <v>5.7541427379999996</v>
      </c>
      <c r="R5">
        <f t="shared" si="2"/>
        <v>320.59433551770002</v>
      </c>
      <c r="S5">
        <f t="shared" si="3"/>
        <v>301.60566448230003</v>
      </c>
      <c r="T5">
        <f t="shared" si="4"/>
        <v>0</v>
      </c>
      <c r="U5">
        <f t="shared" si="5"/>
        <v>0</v>
      </c>
    </row>
    <row r="6" spans="1:21" x14ac:dyDescent="0.3">
      <c r="A6" s="1">
        <v>42831</v>
      </c>
      <c r="B6" s="1">
        <v>42922</v>
      </c>
      <c r="C6">
        <v>293.31998100280703</v>
      </c>
      <c r="D6">
        <v>311.10000076293898</v>
      </c>
      <c r="E6">
        <v>279.89999999999998</v>
      </c>
      <c r="F6">
        <v>31.2000007629394</v>
      </c>
      <c r="G6">
        <v>13.419981002807599</v>
      </c>
      <c r="H6">
        <v>31.2000007629394</v>
      </c>
      <c r="J6">
        <v>288.84624423980699</v>
      </c>
      <c r="K6">
        <v>285.96122875213598</v>
      </c>
      <c r="L6" s="1">
        <v>42922</v>
      </c>
      <c r="M6">
        <v>311.10000076293898</v>
      </c>
      <c r="N6">
        <f t="shared" si="0"/>
        <v>289.37581799825</v>
      </c>
      <c r="O6">
        <f t="shared" si="1"/>
        <v>1</v>
      </c>
      <c r="P6">
        <v>5.6911799170000004</v>
      </c>
      <c r="R6">
        <f t="shared" si="2"/>
        <v>320.49044762598896</v>
      </c>
      <c r="S6">
        <f t="shared" si="3"/>
        <v>301.70955389988899</v>
      </c>
      <c r="T6">
        <f t="shared" si="4"/>
        <v>0</v>
      </c>
      <c r="U6">
        <f t="shared" si="5"/>
        <v>0</v>
      </c>
    </row>
    <row r="7" spans="1:21" x14ac:dyDescent="0.3">
      <c r="A7" s="1">
        <v>42832</v>
      </c>
      <c r="B7" s="1">
        <v>42923</v>
      </c>
      <c r="C7">
        <v>291.26867675781199</v>
      </c>
      <c r="D7">
        <v>310.25</v>
      </c>
      <c r="E7">
        <v>279.25</v>
      </c>
      <c r="F7">
        <v>31</v>
      </c>
      <c r="G7">
        <v>12.0186767578125</v>
      </c>
      <c r="H7">
        <v>31</v>
      </c>
      <c r="J7">
        <v>282.94781565666199</v>
      </c>
      <c r="K7">
        <v>285.13442420959399</v>
      </c>
      <c r="L7" s="1">
        <v>42923</v>
      </c>
      <c r="M7">
        <v>310.25</v>
      </c>
      <c r="N7">
        <f t="shared" si="0"/>
        <v>286.45030554135604</v>
      </c>
      <c r="O7">
        <f t="shared" si="1"/>
        <v>1</v>
      </c>
      <c r="P7">
        <v>5.630394635</v>
      </c>
      <c r="R7">
        <f t="shared" si="2"/>
        <v>319.54015114775001</v>
      </c>
      <c r="S7">
        <f t="shared" si="3"/>
        <v>300.95984885224999</v>
      </c>
      <c r="T7">
        <f t="shared" si="4"/>
        <v>0</v>
      </c>
      <c r="U7">
        <f t="shared" si="5"/>
        <v>0</v>
      </c>
    </row>
    <row r="8" spans="1:21" x14ac:dyDescent="0.3">
      <c r="A8" s="1">
        <v>42835</v>
      </c>
      <c r="B8" s="1">
        <v>42926</v>
      </c>
      <c r="C8">
        <v>301.98442497253399</v>
      </c>
      <c r="D8">
        <v>310.80000152587797</v>
      </c>
      <c r="E8">
        <v>277.64999999999998</v>
      </c>
      <c r="F8">
        <v>33.150001525878899</v>
      </c>
      <c r="G8">
        <v>24.334424972534102</v>
      </c>
      <c r="H8">
        <v>33.150001525878899</v>
      </c>
      <c r="J8">
        <v>281.800917530059</v>
      </c>
      <c r="K8">
        <v>286.26727714538498</v>
      </c>
      <c r="L8" s="1">
        <v>42926</v>
      </c>
      <c r="M8">
        <v>310.80000152587797</v>
      </c>
      <c r="N8">
        <f t="shared" si="0"/>
        <v>290.01753988265932</v>
      </c>
      <c r="O8">
        <f t="shared" si="1"/>
        <v>1</v>
      </c>
      <c r="P8">
        <v>5.5456939289999996</v>
      </c>
      <c r="R8">
        <f t="shared" si="2"/>
        <v>319.95039650872798</v>
      </c>
      <c r="S8">
        <f t="shared" si="3"/>
        <v>301.64960654302797</v>
      </c>
      <c r="T8">
        <f t="shared" si="4"/>
        <v>0</v>
      </c>
      <c r="U8">
        <f t="shared" si="5"/>
        <v>1</v>
      </c>
    </row>
    <row r="9" spans="1:21" x14ac:dyDescent="0.3">
      <c r="A9" s="1">
        <v>42836</v>
      </c>
      <c r="B9" s="1">
        <v>42927</v>
      </c>
      <c r="C9">
        <v>298.004230880737</v>
      </c>
      <c r="D9">
        <v>312.69999923706001</v>
      </c>
      <c r="E9">
        <v>275.89999999999998</v>
      </c>
      <c r="F9">
        <v>36.799999237060497</v>
      </c>
      <c r="G9">
        <v>22.104230880737301</v>
      </c>
      <c r="H9">
        <v>36.799999237060497</v>
      </c>
      <c r="J9">
        <v>279.776442193984</v>
      </c>
      <c r="K9">
        <v>284.01919975280703</v>
      </c>
      <c r="L9" s="1">
        <v>42927</v>
      </c>
      <c r="M9">
        <v>312.69999923706001</v>
      </c>
      <c r="N9">
        <f t="shared" si="0"/>
        <v>287.26662427584267</v>
      </c>
      <c r="O9">
        <f t="shared" si="1"/>
        <v>1</v>
      </c>
      <c r="P9">
        <v>5.4335682070000004</v>
      </c>
      <c r="R9">
        <f t="shared" si="2"/>
        <v>321.66538677861001</v>
      </c>
      <c r="S9">
        <f t="shared" si="3"/>
        <v>303.73461169551001</v>
      </c>
      <c r="T9">
        <f t="shared" si="4"/>
        <v>0</v>
      </c>
      <c r="U9">
        <f t="shared" si="5"/>
        <v>0</v>
      </c>
    </row>
    <row r="10" spans="1:21" x14ac:dyDescent="0.3">
      <c r="A10" s="1">
        <v>42837</v>
      </c>
      <c r="B10" s="1">
        <v>42928</v>
      </c>
      <c r="C10">
        <v>296.47993202209398</v>
      </c>
      <c r="D10">
        <v>312.60000152587799</v>
      </c>
      <c r="E10">
        <v>276.95</v>
      </c>
      <c r="F10">
        <v>35.650001525878899</v>
      </c>
      <c r="G10">
        <v>19.529932022094702</v>
      </c>
      <c r="H10">
        <v>35.650001525878899</v>
      </c>
      <c r="J10">
        <v>281.637110424041</v>
      </c>
      <c r="K10">
        <v>282.47250003814599</v>
      </c>
      <c r="L10" s="1">
        <v>42928</v>
      </c>
      <c r="M10">
        <v>312.60000152587799</v>
      </c>
      <c r="N10">
        <f t="shared" si="0"/>
        <v>286.86318082809368</v>
      </c>
      <c r="O10">
        <f t="shared" si="1"/>
        <v>1</v>
      </c>
      <c r="P10">
        <v>5.423707308</v>
      </c>
      <c r="R10">
        <f t="shared" si="2"/>
        <v>321.54911858407797</v>
      </c>
      <c r="S10">
        <f t="shared" si="3"/>
        <v>303.650884467678</v>
      </c>
      <c r="T10">
        <f t="shared" si="4"/>
        <v>0</v>
      </c>
      <c r="U10">
        <f t="shared" si="5"/>
        <v>0</v>
      </c>
    </row>
    <row r="11" spans="1:21" x14ac:dyDescent="0.3">
      <c r="A11" s="1">
        <v>42838</v>
      </c>
      <c r="B11" s="1">
        <v>42929</v>
      </c>
      <c r="C11">
        <v>290.308855438232</v>
      </c>
      <c r="D11">
        <v>316.55000152587797</v>
      </c>
      <c r="E11">
        <v>279.14999999999998</v>
      </c>
      <c r="F11">
        <v>37.400001525878899</v>
      </c>
      <c r="G11">
        <v>11.158855438232401</v>
      </c>
      <c r="H11">
        <v>37.400001525878899</v>
      </c>
      <c r="J11">
        <v>279.48791297674097</v>
      </c>
      <c r="K11">
        <v>281.01753404140402</v>
      </c>
      <c r="L11" s="1">
        <v>42929</v>
      </c>
      <c r="M11">
        <v>316.55000152587797</v>
      </c>
      <c r="N11">
        <f t="shared" si="0"/>
        <v>283.60476748545904</v>
      </c>
      <c r="O11">
        <f t="shared" si="1"/>
        <v>1</v>
      </c>
      <c r="P11">
        <v>5.4361026060000004</v>
      </c>
      <c r="R11">
        <f t="shared" si="2"/>
        <v>325.51957082577798</v>
      </c>
      <c r="S11">
        <f t="shared" si="3"/>
        <v>307.58043222597797</v>
      </c>
      <c r="T11">
        <f t="shared" si="4"/>
        <v>0</v>
      </c>
      <c r="U11">
        <f t="shared" si="5"/>
        <v>0</v>
      </c>
    </row>
    <row r="12" spans="1:21" x14ac:dyDescent="0.3">
      <c r="A12" s="1">
        <v>42839</v>
      </c>
      <c r="B12" s="1">
        <v>42930</v>
      </c>
      <c r="C12">
        <v>287.36793441772397</v>
      </c>
      <c r="D12">
        <v>316.7</v>
      </c>
      <c r="E12">
        <v>277.7</v>
      </c>
      <c r="F12">
        <v>39</v>
      </c>
      <c r="G12">
        <v>9.6679344177246094</v>
      </c>
      <c r="H12">
        <v>39</v>
      </c>
      <c r="J12">
        <v>281.46183342933602</v>
      </c>
      <c r="K12">
        <v>282.03304834365798</v>
      </c>
      <c r="L12" s="1">
        <v>42930</v>
      </c>
      <c r="M12">
        <v>316.7</v>
      </c>
      <c r="N12">
        <f t="shared" si="0"/>
        <v>283.62093873023929</v>
      </c>
      <c r="O12">
        <f t="shared" si="1"/>
        <v>1</v>
      </c>
      <c r="P12">
        <v>5.4219353940000001</v>
      </c>
      <c r="R12">
        <f t="shared" si="2"/>
        <v>325.6461934001</v>
      </c>
      <c r="S12">
        <f t="shared" si="3"/>
        <v>307.75380659989997</v>
      </c>
      <c r="T12">
        <f t="shared" si="4"/>
        <v>0</v>
      </c>
      <c r="U12">
        <f t="shared" si="5"/>
        <v>0</v>
      </c>
    </row>
    <row r="13" spans="1:21" x14ac:dyDescent="0.3">
      <c r="A13" s="1">
        <v>42842</v>
      </c>
      <c r="B13" s="1">
        <v>42933</v>
      </c>
      <c r="C13">
        <v>291.29798259735099</v>
      </c>
      <c r="D13">
        <v>317.49999847412101</v>
      </c>
      <c r="E13">
        <v>278.64999999999998</v>
      </c>
      <c r="F13">
        <v>38.849998474121001</v>
      </c>
      <c r="G13">
        <v>12.647982597351</v>
      </c>
      <c r="H13">
        <v>38.849998474121001</v>
      </c>
      <c r="J13">
        <v>277.35655918121302</v>
      </c>
      <c r="K13">
        <v>280.91152658462499</v>
      </c>
      <c r="L13" s="1">
        <v>42933</v>
      </c>
      <c r="M13">
        <v>317.49999847412101</v>
      </c>
      <c r="N13">
        <f t="shared" si="0"/>
        <v>283.1886894543963</v>
      </c>
      <c r="O13">
        <f t="shared" si="1"/>
        <v>1</v>
      </c>
      <c r="P13">
        <v>5.3944048200000001</v>
      </c>
      <c r="R13">
        <f t="shared" si="2"/>
        <v>326.40076642712103</v>
      </c>
      <c r="S13">
        <f t="shared" si="3"/>
        <v>308.599230521121</v>
      </c>
      <c r="T13">
        <f t="shared" si="4"/>
        <v>0</v>
      </c>
      <c r="U13">
        <f t="shared" si="5"/>
        <v>0</v>
      </c>
    </row>
    <row r="14" spans="1:21" x14ac:dyDescent="0.3">
      <c r="A14" s="1">
        <v>42843</v>
      </c>
      <c r="B14" s="1">
        <v>42934</v>
      </c>
      <c r="C14">
        <v>297.45891914367598</v>
      </c>
      <c r="D14">
        <v>318.05000076293902</v>
      </c>
      <c r="E14">
        <v>278.35000000000002</v>
      </c>
      <c r="F14">
        <v>39.700000762939403</v>
      </c>
      <c r="G14">
        <v>19.108919143676701</v>
      </c>
      <c r="H14">
        <v>39.700000762939403</v>
      </c>
      <c r="J14">
        <v>281.36581072807297</v>
      </c>
      <c r="K14">
        <v>278.39017143696498</v>
      </c>
      <c r="L14" s="1">
        <v>42934</v>
      </c>
      <c r="M14">
        <v>318.05000076293902</v>
      </c>
      <c r="N14">
        <f t="shared" si="0"/>
        <v>285.73830043623798</v>
      </c>
      <c r="O14">
        <f t="shared" si="1"/>
        <v>1</v>
      </c>
      <c r="P14">
        <v>5.3753653720000001</v>
      </c>
      <c r="R14">
        <f t="shared" si="2"/>
        <v>326.919353626739</v>
      </c>
      <c r="S14">
        <f t="shared" si="3"/>
        <v>309.18064789913905</v>
      </c>
      <c r="T14">
        <f t="shared" si="4"/>
        <v>0</v>
      </c>
      <c r="U14">
        <f t="shared" si="5"/>
        <v>0</v>
      </c>
    </row>
    <row r="15" spans="1:21" x14ac:dyDescent="0.3">
      <c r="A15" s="1">
        <v>42844</v>
      </c>
      <c r="B15" s="1">
        <v>42935</v>
      </c>
      <c r="C15">
        <v>295.69328460693299</v>
      </c>
      <c r="D15">
        <v>318.699998474121</v>
      </c>
      <c r="E15">
        <v>276.85000000000002</v>
      </c>
      <c r="F15">
        <v>41.849998474121001</v>
      </c>
      <c r="G15">
        <v>18.843284606933501</v>
      </c>
      <c r="H15">
        <v>41.849998474121001</v>
      </c>
      <c r="J15">
        <v>279.96668467521602</v>
      </c>
      <c r="K15">
        <v>276.77989122867501</v>
      </c>
      <c r="L15" s="1">
        <v>42935</v>
      </c>
      <c r="M15">
        <v>318.699998474121</v>
      </c>
      <c r="N15">
        <f t="shared" si="0"/>
        <v>284.14662017027467</v>
      </c>
      <c r="O15">
        <f t="shared" si="1"/>
        <v>1</v>
      </c>
      <c r="P15">
        <v>5.3295200210000004</v>
      </c>
      <c r="R15">
        <f t="shared" si="2"/>
        <v>327.49370650877103</v>
      </c>
      <c r="S15">
        <f t="shared" si="3"/>
        <v>309.90629043947098</v>
      </c>
      <c r="T15">
        <f t="shared" si="4"/>
        <v>0</v>
      </c>
      <c r="U15">
        <f t="shared" si="5"/>
        <v>0</v>
      </c>
    </row>
    <row r="16" spans="1:21" x14ac:dyDescent="0.3">
      <c r="A16" s="1">
        <v>42845</v>
      </c>
      <c r="B16" s="1">
        <v>42936</v>
      </c>
      <c r="C16">
        <v>296.06267547607399</v>
      </c>
      <c r="D16">
        <v>319.59999847412098</v>
      </c>
      <c r="E16">
        <v>278.25</v>
      </c>
      <c r="F16">
        <v>41.349998474121001</v>
      </c>
      <c r="G16">
        <v>17.812675476074201</v>
      </c>
      <c r="H16">
        <v>41.349998474121001</v>
      </c>
      <c r="J16">
        <v>283.60784482955899</v>
      </c>
      <c r="K16">
        <v>279.54755103588099</v>
      </c>
      <c r="L16" s="1">
        <v>42936</v>
      </c>
      <c r="M16">
        <v>319.59999847412098</v>
      </c>
      <c r="N16">
        <f t="shared" si="0"/>
        <v>286.40602378050465</v>
      </c>
      <c r="O16">
        <f t="shared" si="1"/>
        <v>1</v>
      </c>
      <c r="P16">
        <v>5.296309945</v>
      </c>
      <c r="R16">
        <f t="shared" si="2"/>
        <v>328.338909883371</v>
      </c>
      <c r="S16">
        <f t="shared" si="3"/>
        <v>310.86108706487096</v>
      </c>
      <c r="T16">
        <f t="shared" si="4"/>
        <v>0</v>
      </c>
      <c r="U16">
        <f t="shared" si="5"/>
        <v>0</v>
      </c>
    </row>
    <row r="17" spans="1:21" x14ac:dyDescent="0.3">
      <c r="A17" s="1">
        <v>42846</v>
      </c>
      <c r="B17" s="1">
        <v>42937</v>
      </c>
      <c r="C17">
        <v>295.881323051452</v>
      </c>
      <c r="D17">
        <v>321.10000152587799</v>
      </c>
      <c r="E17">
        <v>280.7</v>
      </c>
      <c r="F17">
        <v>40.400001525878899</v>
      </c>
      <c r="G17">
        <v>15.181323051452599</v>
      </c>
      <c r="H17">
        <v>40.400001525878899</v>
      </c>
      <c r="J17">
        <v>277.03002924919099</v>
      </c>
      <c r="K17">
        <v>278.34832019805901</v>
      </c>
      <c r="L17" s="1">
        <v>42937</v>
      </c>
      <c r="M17">
        <v>321.10000152587799</v>
      </c>
      <c r="N17">
        <f t="shared" si="0"/>
        <v>283.75322416623402</v>
      </c>
      <c r="O17">
        <f t="shared" si="1"/>
        <v>1</v>
      </c>
      <c r="P17">
        <v>5.2826330119999998</v>
      </c>
      <c r="R17">
        <f t="shared" si="2"/>
        <v>329.81634599567798</v>
      </c>
      <c r="S17">
        <f t="shared" si="3"/>
        <v>312.38365705607799</v>
      </c>
      <c r="T17">
        <f t="shared" si="4"/>
        <v>0</v>
      </c>
      <c r="U17">
        <f t="shared" si="5"/>
        <v>0</v>
      </c>
    </row>
    <row r="18" spans="1:21" x14ac:dyDescent="0.3">
      <c r="A18" s="1">
        <v>42849</v>
      </c>
      <c r="B18" s="1">
        <v>42940</v>
      </c>
      <c r="C18">
        <v>300.25486526489198</v>
      </c>
      <c r="D18">
        <v>321.25000152587802</v>
      </c>
      <c r="E18">
        <v>281.85000000000002</v>
      </c>
      <c r="F18">
        <v>39.400001525878899</v>
      </c>
      <c r="G18">
        <v>18.4048652648925</v>
      </c>
      <c r="H18">
        <v>39.400001525878899</v>
      </c>
      <c r="J18">
        <v>281.14841649532298</v>
      </c>
      <c r="K18">
        <v>280.56815204620301</v>
      </c>
      <c r="L18" s="1">
        <v>42940</v>
      </c>
      <c r="M18">
        <v>321.25000152587802</v>
      </c>
      <c r="N18">
        <f t="shared" si="0"/>
        <v>287.32381126880597</v>
      </c>
      <c r="O18">
        <f t="shared" si="1"/>
        <v>1</v>
      </c>
      <c r="P18">
        <v>5.2731905389999998</v>
      </c>
      <c r="R18">
        <f t="shared" si="2"/>
        <v>329.95076591522803</v>
      </c>
      <c r="S18">
        <f t="shared" si="3"/>
        <v>312.54923713652801</v>
      </c>
      <c r="T18">
        <f t="shared" si="4"/>
        <v>0</v>
      </c>
      <c r="U18">
        <f t="shared" si="5"/>
        <v>0</v>
      </c>
    </row>
    <row r="19" spans="1:21" x14ac:dyDescent="0.3">
      <c r="A19" s="1">
        <v>42850</v>
      </c>
      <c r="B19" s="1">
        <v>42941</v>
      </c>
      <c r="C19">
        <v>304.26251335144002</v>
      </c>
      <c r="D19">
        <v>319.65000076293899</v>
      </c>
      <c r="E19">
        <v>285.2</v>
      </c>
      <c r="F19">
        <v>34.450000762939403</v>
      </c>
      <c r="G19">
        <v>19.062513351440401</v>
      </c>
      <c r="H19">
        <v>34.450000762939403</v>
      </c>
      <c r="J19">
        <v>282.66647047996503</v>
      </c>
      <c r="K19">
        <v>284.835741353034</v>
      </c>
      <c r="L19" s="1">
        <v>42941</v>
      </c>
      <c r="M19">
        <v>319.65000076293899</v>
      </c>
      <c r="N19">
        <f t="shared" si="0"/>
        <v>290.58824172814633</v>
      </c>
      <c r="O19">
        <f t="shared" si="1"/>
        <v>1</v>
      </c>
      <c r="P19">
        <v>5.3555280119999997</v>
      </c>
      <c r="R19">
        <f t="shared" si="2"/>
        <v>328.486621982739</v>
      </c>
      <c r="S19">
        <f t="shared" si="3"/>
        <v>310.81337954313898</v>
      </c>
      <c r="T19">
        <f t="shared" si="4"/>
        <v>0</v>
      </c>
      <c r="U19">
        <f t="shared" si="5"/>
        <v>0</v>
      </c>
    </row>
    <row r="20" spans="1:21" x14ac:dyDescent="0.3">
      <c r="A20" s="1">
        <v>42851</v>
      </c>
      <c r="B20" s="1">
        <v>42942</v>
      </c>
      <c r="C20">
        <v>301.68980522155698</v>
      </c>
      <c r="D20">
        <v>318.95</v>
      </c>
      <c r="E20">
        <v>286.45</v>
      </c>
      <c r="F20">
        <v>32.5</v>
      </c>
      <c r="G20">
        <v>15.239805221557599</v>
      </c>
      <c r="H20">
        <v>32.5</v>
      </c>
      <c r="J20">
        <v>284.82756538391101</v>
      </c>
      <c r="K20">
        <v>287.10640443563398</v>
      </c>
      <c r="L20" s="1">
        <v>42942</v>
      </c>
      <c r="M20">
        <v>318.95</v>
      </c>
      <c r="N20">
        <f t="shared" si="0"/>
        <v>291.20792501370062</v>
      </c>
      <c r="O20">
        <f t="shared" si="1"/>
        <v>1</v>
      </c>
      <c r="P20">
        <v>5.4661746129999997</v>
      </c>
      <c r="R20">
        <f t="shared" si="2"/>
        <v>327.96918811144997</v>
      </c>
      <c r="S20">
        <f t="shared" si="3"/>
        <v>309.93081188855001</v>
      </c>
      <c r="T20">
        <f t="shared" si="4"/>
        <v>0</v>
      </c>
      <c r="U20">
        <f t="shared" si="5"/>
        <v>0</v>
      </c>
    </row>
    <row r="21" spans="1:21" x14ac:dyDescent="0.3">
      <c r="A21" s="1">
        <v>42852</v>
      </c>
      <c r="B21" s="1">
        <v>42943</v>
      </c>
      <c r="C21">
        <v>305.29664001464801</v>
      </c>
      <c r="D21">
        <v>319.85000000000002</v>
      </c>
      <c r="E21">
        <v>287.35000000000002</v>
      </c>
      <c r="F21">
        <v>32.5</v>
      </c>
      <c r="G21">
        <v>17.946640014648398</v>
      </c>
      <c r="H21">
        <v>32.5</v>
      </c>
      <c r="J21">
        <v>289.28222379684399</v>
      </c>
      <c r="K21">
        <v>287.43844423294001</v>
      </c>
      <c r="L21" s="1">
        <v>42943</v>
      </c>
      <c r="M21">
        <v>319.85000000000002</v>
      </c>
      <c r="N21">
        <f>AVERAGE(C21, J21:K21)</f>
        <v>294.00576934814404</v>
      </c>
      <c r="O21">
        <f t="shared" si="1"/>
        <v>1</v>
      </c>
      <c r="P21">
        <v>5.6344159439999997</v>
      </c>
      <c r="R21">
        <f t="shared" si="2"/>
        <v>329.1467863076</v>
      </c>
      <c r="S21">
        <f t="shared" si="3"/>
        <v>310.55321369240005</v>
      </c>
      <c r="T21">
        <f>IF(AND((N21-E21)*(D21-E21)&gt;0,AND(N21&lt;R21,N21&gt;S21)),1,0)</f>
        <v>0</v>
      </c>
      <c r="U21">
        <f t="shared" si="5"/>
        <v>0</v>
      </c>
    </row>
    <row r="22" spans="1:21" x14ac:dyDescent="0.3">
      <c r="A22" s="1">
        <v>42853</v>
      </c>
      <c r="B22" s="1">
        <v>42944</v>
      </c>
      <c r="C22">
        <v>300.377787399292</v>
      </c>
      <c r="D22">
        <v>312.55</v>
      </c>
      <c r="E22">
        <v>287.8</v>
      </c>
      <c r="F22">
        <v>24.75</v>
      </c>
      <c r="G22">
        <v>12.5777873992919</v>
      </c>
      <c r="H22">
        <v>24.75</v>
      </c>
      <c r="J22">
        <v>289.84076075553799</v>
      </c>
      <c r="K22">
        <v>286.740763235092</v>
      </c>
      <c r="L22" s="1">
        <v>42944</v>
      </c>
      <c r="M22">
        <v>312.55</v>
      </c>
      <c r="N22">
        <f t="shared" si="0"/>
        <v>292.31977046330729</v>
      </c>
      <c r="O22">
        <f t="shared" si="1"/>
        <v>1</v>
      </c>
      <c r="P22">
        <v>5.8009555539999997</v>
      </c>
      <c r="R22">
        <f t="shared" si="2"/>
        <v>322.12157666410002</v>
      </c>
      <c r="S22">
        <f t="shared" si="3"/>
        <v>302.9784233359</v>
      </c>
      <c r="T22">
        <f t="shared" ref="T22:T53" si="6">IF(AND((N22-E22)*(D22-E22)&gt;0,AND(N22&lt;R22,N22&gt;S22)),1,0)</f>
        <v>0</v>
      </c>
      <c r="U22">
        <f t="shared" si="5"/>
        <v>0</v>
      </c>
    </row>
    <row r="23" spans="1:21" x14ac:dyDescent="0.3">
      <c r="A23" s="1">
        <v>42856</v>
      </c>
      <c r="B23" s="1">
        <v>42947</v>
      </c>
      <c r="C23">
        <v>290.80323939323398</v>
      </c>
      <c r="D23">
        <v>313.55</v>
      </c>
      <c r="E23">
        <v>287.8</v>
      </c>
      <c r="F23">
        <v>25.75</v>
      </c>
      <c r="G23">
        <v>3.0032393932342498</v>
      </c>
      <c r="H23">
        <v>25.75</v>
      </c>
      <c r="J23">
        <v>287.30207436084697</v>
      </c>
      <c r="K23">
        <v>285.34080152511598</v>
      </c>
      <c r="L23" s="1">
        <v>42947</v>
      </c>
      <c r="M23">
        <v>313.55</v>
      </c>
      <c r="N23">
        <f t="shared" si="0"/>
        <v>287.81537175973227</v>
      </c>
      <c r="O23">
        <f t="shared" si="1"/>
        <v>1</v>
      </c>
      <c r="P23">
        <v>5.9515918809999997</v>
      </c>
      <c r="R23">
        <f t="shared" si="2"/>
        <v>323.37012660365002</v>
      </c>
      <c r="S23">
        <f t="shared" si="3"/>
        <v>303.72987339635</v>
      </c>
      <c r="T23">
        <f t="shared" si="6"/>
        <v>0</v>
      </c>
      <c r="U23">
        <f t="shared" si="5"/>
        <v>0</v>
      </c>
    </row>
    <row r="24" spans="1:21" x14ac:dyDescent="0.3">
      <c r="A24" s="1">
        <v>42857</v>
      </c>
      <c r="B24" s="1">
        <v>42948</v>
      </c>
      <c r="C24">
        <v>291.95282297134401</v>
      </c>
      <c r="D24">
        <v>316.55</v>
      </c>
      <c r="E24">
        <v>290.05</v>
      </c>
      <c r="F24">
        <v>26.5</v>
      </c>
      <c r="G24">
        <v>1.9028229713439899</v>
      </c>
      <c r="H24">
        <v>26.5</v>
      </c>
      <c r="J24">
        <v>289.25521801710101</v>
      </c>
      <c r="K24">
        <v>286.46869354248003</v>
      </c>
      <c r="L24" s="1">
        <v>42948</v>
      </c>
      <c r="M24">
        <v>316.55</v>
      </c>
      <c r="N24">
        <f t="shared" si="0"/>
        <v>289.22557817697498</v>
      </c>
      <c r="O24">
        <f>IF((D24-E24)*(D24-N24)&gt;0,1,0)</f>
        <v>1</v>
      </c>
      <c r="P24">
        <v>6.1302727499999996</v>
      </c>
      <c r="R24">
        <f t="shared" si="2"/>
        <v>326.66495003750003</v>
      </c>
      <c r="S24">
        <f t="shared" si="3"/>
        <v>306.43504996249999</v>
      </c>
      <c r="T24">
        <f t="shared" si="6"/>
        <v>0</v>
      </c>
      <c r="U24">
        <f>IF(AND((C24-E24)*(D24-E24)&gt;0,AND(C24&lt;R24,C24&gt;S24)),1,0)</f>
        <v>0</v>
      </c>
    </row>
    <row r="25" spans="1:21" x14ac:dyDescent="0.3">
      <c r="A25" s="1">
        <v>42858</v>
      </c>
      <c r="B25" s="1">
        <v>42949</v>
      </c>
      <c r="C25">
        <v>291.83366661071699</v>
      </c>
      <c r="D25">
        <v>317.150000381469</v>
      </c>
      <c r="E25">
        <v>290.05</v>
      </c>
      <c r="F25">
        <v>27.100000381469702</v>
      </c>
      <c r="G25">
        <v>1.7836666107177701</v>
      </c>
      <c r="H25">
        <v>27.100000381469702</v>
      </c>
      <c r="J25">
        <v>288.93877391815101</v>
      </c>
      <c r="K25">
        <v>287.25006179809498</v>
      </c>
      <c r="L25" s="1">
        <v>42949</v>
      </c>
      <c r="M25">
        <v>317.150000381469</v>
      </c>
      <c r="N25">
        <f t="shared" si="0"/>
        <v>289.34083410898762</v>
      </c>
      <c r="O25">
        <f t="shared" si="1"/>
        <v>1</v>
      </c>
      <c r="P25">
        <v>6.3048647659999997</v>
      </c>
      <c r="R25">
        <f t="shared" si="2"/>
        <v>327.55302724536898</v>
      </c>
      <c r="S25">
        <f t="shared" si="3"/>
        <v>306.74697351756902</v>
      </c>
      <c r="T25">
        <f t="shared" si="6"/>
        <v>0</v>
      </c>
      <c r="U25">
        <f t="shared" si="5"/>
        <v>0</v>
      </c>
    </row>
    <row r="26" spans="1:21" x14ac:dyDescent="0.3">
      <c r="A26" s="1">
        <v>42859</v>
      </c>
      <c r="B26" s="1">
        <v>42950</v>
      </c>
      <c r="C26">
        <v>291.44065666198702</v>
      </c>
      <c r="D26">
        <v>311.64999961852999</v>
      </c>
      <c r="E26">
        <v>292.75</v>
      </c>
      <c r="F26">
        <v>-18.899999618530199</v>
      </c>
      <c r="G26">
        <v>-1.30934333801269</v>
      </c>
      <c r="H26">
        <v>18.899999618530199</v>
      </c>
      <c r="J26">
        <v>291.55834031105002</v>
      </c>
      <c r="K26">
        <v>291.30526244640299</v>
      </c>
      <c r="L26" s="1">
        <v>42950</v>
      </c>
      <c r="M26">
        <v>311.64999961852999</v>
      </c>
      <c r="N26">
        <f t="shared" si="0"/>
        <v>291.43475313981338</v>
      </c>
      <c r="O26">
        <f t="shared" si="1"/>
        <v>1</v>
      </c>
      <c r="P26">
        <v>6.5351740600000001</v>
      </c>
      <c r="R26">
        <f t="shared" si="2"/>
        <v>322.43303681752997</v>
      </c>
      <c r="S26">
        <f t="shared" si="3"/>
        <v>300.86696241953001</v>
      </c>
      <c r="T26">
        <f t="shared" si="6"/>
        <v>0</v>
      </c>
      <c r="U26">
        <f t="shared" si="5"/>
        <v>0</v>
      </c>
    </row>
    <row r="27" spans="1:21" x14ac:dyDescent="0.3">
      <c r="A27" s="1">
        <v>42860</v>
      </c>
      <c r="B27" s="1">
        <v>42951</v>
      </c>
      <c r="C27">
        <v>291.82041931152298</v>
      </c>
      <c r="D27">
        <v>312.85000038146899</v>
      </c>
      <c r="E27">
        <v>292.75</v>
      </c>
      <c r="F27">
        <v>-20.100000381469702</v>
      </c>
      <c r="G27">
        <v>-0.92958068847656194</v>
      </c>
      <c r="H27">
        <v>20.100000381469702</v>
      </c>
      <c r="J27">
        <v>291.70876729488299</v>
      </c>
      <c r="K27">
        <v>291.595923185348</v>
      </c>
      <c r="L27" s="1">
        <v>42951</v>
      </c>
      <c r="M27">
        <v>312.85000038146899</v>
      </c>
      <c r="N27">
        <f t="shared" si="0"/>
        <v>291.70836993058469</v>
      </c>
      <c r="O27">
        <f t="shared" si="1"/>
        <v>1</v>
      </c>
      <c r="P27">
        <v>6.7490680449999996</v>
      </c>
      <c r="R27">
        <f t="shared" si="2"/>
        <v>323.98596265571899</v>
      </c>
      <c r="S27">
        <f t="shared" si="3"/>
        <v>301.71403810721898</v>
      </c>
      <c r="T27">
        <f t="shared" si="6"/>
        <v>0</v>
      </c>
      <c r="U27">
        <f t="shared" si="5"/>
        <v>0</v>
      </c>
    </row>
    <row r="28" spans="1:21" x14ac:dyDescent="0.3">
      <c r="A28" s="1">
        <v>42863</v>
      </c>
      <c r="B28" s="1">
        <v>42954</v>
      </c>
      <c r="C28">
        <v>300.31988878250098</v>
      </c>
      <c r="D28">
        <v>312.89999980926501</v>
      </c>
      <c r="E28">
        <v>300.7</v>
      </c>
      <c r="F28">
        <v>-12.199999809265099</v>
      </c>
      <c r="G28">
        <v>-0.38011121749877902</v>
      </c>
      <c r="H28">
        <v>12.199999809265099</v>
      </c>
      <c r="J28">
        <v>297.67066092491098</v>
      </c>
      <c r="K28">
        <v>296.07093496322602</v>
      </c>
      <c r="L28" s="1">
        <v>42954</v>
      </c>
      <c r="M28">
        <v>312.89999980926501</v>
      </c>
      <c r="N28">
        <f t="shared" si="0"/>
        <v>298.02049489021266</v>
      </c>
      <c r="O28">
        <f t="shared" si="1"/>
        <v>1</v>
      </c>
      <c r="P28">
        <v>7.2712381229999998</v>
      </c>
      <c r="R28">
        <f t="shared" si="2"/>
        <v>324.897542712215</v>
      </c>
      <c r="S28">
        <f t="shared" si="3"/>
        <v>300.90245690631502</v>
      </c>
      <c r="T28">
        <f t="shared" si="6"/>
        <v>0</v>
      </c>
      <c r="U28">
        <f t="shared" si="5"/>
        <v>0</v>
      </c>
    </row>
    <row r="29" spans="1:21" x14ac:dyDescent="0.3">
      <c r="A29" s="1">
        <v>42864</v>
      </c>
      <c r="B29" s="1">
        <v>42955</v>
      </c>
      <c r="C29">
        <v>299.70782096385898</v>
      </c>
      <c r="D29">
        <v>312.84999961852998</v>
      </c>
      <c r="E29">
        <v>300.7</v>
      </c>
      <c r="F29">
        <v>-12.149999618530201</v>
      </c>
      <c r="G29">
        <v>-0.99217903614044101</v>
      </c>
      <c r="H29">
        <v>12.149999618530201</v>
      </c>
      <c r="J29">
        <v>297.92834634780797</v>
      </c>
      <c r="K29">
        <v>296.70134754180901</v>
      </c>
      <c r="L29" s="1">
        <v>42955</v>
      </c>
      <c r="M29">
        <v>312.84999961852998</v>
      </c>
      <c r="N29">
        <f t="shared" si="0"/>
        <v>298.11250495115866</v>
      </c>
      <c r="O29">
        <f t="shared" si="1"/>
        <v>1</v>
      </c>
      <c r="P29">
        <v>7.7170976509999996</v>
      </c>
      <c r="R29">
        <f t="shared" si="2"/>
        <v>325.58321074267997</v>
      </c>
      <c r="S29">
        <f t="shared" si="3"/>
        <v>300.11678849437999</v>
      </c>
      <c r="T29">
        <f t="shared" si="6"/>
        <v>0</v>
      </c>
      <c r="U29">
        <f t="shared" si="5"/>
        <v>0</v>
      </c>
    </row>
    <row r="30" spans="1:21" x14ac:dyDescent="0.3">
      <c r="A30" s="1">
        <v>42865</v>
      </c>
      <c r="B30" s="1">
        <v>42956</v>
      </c>
      <c r="C30">
        <v>298.35515017509402</v>
      </c>
      <c r="D30">
        <v>308.64999980926501</v>
      </c>
      <c r="E30">
        <v>296.45</v>
      </c>
      <c r="F30">
        <v>12.199999809265099</v>
      </c>
      <c r="G30">
        <v>1.9051501750946001</v>
      </c>
      <c r="H30">
        <v>12.199999809265099</v>
      </c>
      <c r="J30">
        <v>297.21954638957902</v>
      </c>
      <c r="K30">
        <v>292.71803183555602</v>
      </c>
      <c r="L30" s="1">
        <v>42956</v>
      </c>
      <c r="M30">
        <v>308.64999980926501</v>
      </c>
      <c r="N30">
        <f t="shared" si="0"/>
        <v>296.09757613340975</v>
      </c>
      <c r="O30">
        <f t="shared" si="1"/>
        <v>1</v>
      </c>
      <c r="P30">
        <v>7.9254520919999996</v>
      </c>
      <c r="R30">
        <f t="shared" si="2"/>
        <v>321.72699576106498</v>
      </c>
      <c r="S30">
        <f t="shared" si="3"/>
        <v>295.57300385746504</v>
      </c>
      <c r="T30">
        <f t="shared" si="6"/>
        <v>0</v>
      </c>
      <c r="U30">
        <f t="shared" si="5"/>
        <v>1</v>
      </c>
    </row>
    <row r="31" spans="1:21" x14ac:dyDescent="0.3">
      <c r="A31" s="1">
        <v>42866</v>
      </c>
      <c r="B31" s="1">
        <v>42957</v>
      </c>
      <c r="C31">
        <v>300.82753620147702</v>
      </c>
      <c r="D31">
        <v>307.250000095367</v>
      </c>
      <c r="E31">
        <v>300.10000000000002</v>
      </c>
      <c r="F31">
        <v>7.1500000953674299</v>
      </c>
      <c r="G31">
        <v>0.72753620147705</v>
      </c>
      <c r="H31">
        <v>7.1500000953674299</v>
      </c>
      <c r="J31">
        <v>298.57502017021102</v>
      </c>
      <c r="K31">
        <v>296.52669177055299</v>
      </c>
      <c r="L31" s="1">
        <v>42957</v>
      </c>
      <c r="M31">
        <v>307.250000095367</v>
      </c>
      <c r="N31">
        <f t="shared" si="0"/>
        <v>298.64308271408032</v>
      </c>
      <c r="O31">
        <f t="shared" si="1"/>
        <v>1</v>
      </c>
      <c r="P31">
        <v>8.2422430020000004</v>
      </c>
      <c r="R31">
        <f t="shared" si="2"/>
        <v>320.84970104866699</v>
      </c>
      <c r="S31">
        <f t="shared" si="3"/>
        <v>293.65029914206701</v>
      </c>
      <c r="T31">
        <f t="shared" si="6"/>
        <v>0</v>
      </c>
      <c r="U31">
        <f t="shared" si="5"/>
        <v>1</v>
      </c>
    </row>
    <row r="32" spans="1:21" x14ac:dyDescent="0.3">
      <c r="A32" s="1">
        <v>42867</v>
      </c>
      <c r="B32" s="1">
        <v>42958</v>
      </c>
      <c r="C32">
        <v>295.513078594207</v>
      </c>
      <c r="D32">
        <v>301.49999990463198</v>
      </c>
      <c r="E32">
        <v>298.64999999999998</v>
      </c>
      <c r="F32">
        <v>-2.8499999046325599</v>
      </c>
      <c r="G32">
        <v>-3.1369214057922301</v>
      </c>
      <c r="H32">
        <v>2.8499999046325599</v>
      </c>
      <c r="J32">
        <v>299.55552526712398</v>
      </c>
      <c r="K32">
        <v>298.08394279479899</v>
      </c>
      <c r="L32" s="1">
        <v>42958</v>
      </c>
      <c r="M32">
        <v>301.49999990463198</v>
      </c>
      <c r="N32">
        <f t="shared" si="0"/>
        <v>297.71751555204332</v>
      </c>
      <c r="O32">
        <f t="shared" si="1"/>
        <v>1</v>
      </c>
      <c r="P32">
        <v>8.4724296930000005</v>
      </c>
      <c r="R32">
        <f t="shared" si="2"/>
        <v>315.47950889808197</v>
      </c>
      <c r="S32">
        <f t="shared" si="3"/>
        <v>287.52049091118198</v>
      </c>
      <c r="T32">
        <f t="shared" si="6"/>
        <v>0</v>
      </c>
      <c r="U32">
        <f t="shared" si="5"/>
        <v>0</v>
      </c>
    </row>
    <row r="33" spans="1:21" x14ac:dyDescent="0.3">
      <c r="A33" s="1">
        <v>42870</v>
      </c>
      <c r="B33" s="1">
        <v>42961</v>
      </c>
      <c r="C33">
        <v>297.81285765170998</v>
      </c>
      <c r="D33">
        <v>304.599999809265</v>
      </c>
      <c r="E33">
        <v>299.64999999999998</v>
      </c>
      <c r="F33">
        <v>-4.9499998092651296</v>
      </c>
      <c r="G33">
        <v>-1.83714234828948</v>
      </c>
      <c r="H33">
        <v>4.9499998092651296</v>
      </c>
      <c r="J33">
        <v>297.65428652763302</v>
      </c>
      <c r="K33">
        <v>299.42134630084001</v>
      </c>
      <c r="L33" s="1">
        <v>42961</v>
      </c>
      <c r="M33">
        <v>304.599999809265</v>
      </c>
      <c r="N33">
        <f t="shared" si="0"/>
        <v>298.29616349339432</v>
      </c>
      <c r="O33">
        <f t="shared" si="1"/>
        <v>1</v>
      </c>
      <c r="P33">
        <v>8.7078664149999998</v>
      </c>
      <c r="R33">
        <f t="shared" si="2"/>
        <v>318.967979394015</v>
      </c>
      <c r="S33">
        <f t="shared" si="3"/>
        <v>290.232020224515</v>
      </c>
      <c r="T33">
        <f t="shared" si="6"/>
        <v>0</v>
      </c>
      <c r="U33">
        <f t="shared" si="5"/>
        <v>0</v>
      </c>
    </row>
    <row r="34" spans="1:21" x14ac:dyDescent="0.3">
      <c r="A34" s="1">
        <v>42871</v>
      </c>
      <c r="B34" s="1">
        <v>42962</v>
      </c>
      <c r="C34">
        <v>300.42822325229599</v>
      </c>
      <c r="D34">
        <v>304.599999904632</v>
      </c>
      <c r="E34">
        <v>299.25</v>
      </c>
      <c r="F34">
        <v>5.3499999046325604</v>
      </c>
      <c r="G34">
        <v>1.17822325229644</v>
      </c>
      <c r="H34">
        <v>5.3499999046325604</v>
      </c>
      <c r="J34">
        <v>296.607801675796</v>
      </c>
      <c r="K34">
        <v>295.911304950714</v>
      </c>
      <c r="L34" s="1">
        <v>42962</v>
      </c>
      <c r="M34">
        <v>304.599999904632</v>
      </c>
      <c r="N34">
        <f t="shared" si="0"/>
        <v>297.64910995960201</v>
      </c>
      <c r="O34">
        <f t="shared" si="1"/>
        <v>1</v>
      </c>
      <c r="P34">
        <v>8.8802910829999995</v>
      </c>
      <c r="R34">
        <f t="shared" si="2"/>
        <v>319.25248019158198</v>
      </c>
      <c r="S34">
        <f t="shared" si="3"/>
        <v>289.94751961768202</v>
      </c>
      <c r="T34">
        <f t="shared" si="6"/>
        <v>0</v>
      </c>
      <c r="U34">
        <f t="shared" si="5"/>
        <v>1</v>
      </c>
    </row>
    <row r="35" spans="1:21" x14ac:dyDescent="0.3">
      <c r="A35" s="1">
        <v>42872</v>
      </c>
      <c r="B35" s="1">
        <v>42963</v>
      </c>
      <c r="C35">
        <v>298.81326580047602</v>
      </c>
      <c r="D35">
        <v>306.25</v>
      </c>
      <c r="E35">
        <v>299.5</v>
      </c>
      <c r="F35">
        <v>-6.75</v>
      </c>
      <c r="G35">
        <v>-0.686734199523925</v>
      </c>
      <c r="H35">
        <v>6.75</v>
      </c>
      <c r="J35">
        <v>295.077486515045</v>
      </c>
      <c r="K35">
        <v>298.18960475921602</v>
      </c>
      <c r="L35" s="1">
        <v>42963</v>
      </c>
      <c r="M35">
        <v>306.25</v>
      </c>
      <c r="N35">
        <f t="shared" si="0"/>
        <v>297.36011902491236</v>
      </c>
      <c r="O35">
        <f t="shared" si="1"/>
        <v>1</v>
      </c>
      <c r="P35">
        <v>9.0512411490000009</v>
      </c>
      <c r="R35">
        <f t="shared" si="2"/>
        <v>321.18454789585002</v>
      </c>
      <c r="S35">
        <f t="shared" si="3"/>
        <v>291.31545210414998</v>
      </c>
      <c r="T35">
        <f t="shared" si="6"/>
        <v>0</v>
      </c>
      <c r="U35">
        <f t="shared" si="5"/>
        <v>0</v>
      </c>
    </row>
    <row r="36" spans="1:21" x14ac:dyDescent="0.3">
      <c r="A36" s="1">
        <v>42873</v>
      </c>
      <c r="B36" s="1">
        <v>42964</v>
      </c>
      <c r="C36">
        <v>296.10761990547098</v>
      </c>
      <c r="D36">
        <v>307.89999999999998</v>
      </c>
      <c r="E36">
        <v>298.64999999999998</v>
      </c>
      <c r="F36">
        <v>-9.25</v>
      </c>
      <c r="G36">
        <v>-2.5423800945281898</v>
      </c>
      <c r="H36">
        <v>9.25</v>
      </c>
      <c r="J36">
        <v>294.718971633911</v>
      </c>
      <c r="K36">
        <v>296.67835845947201</v>
      </c>
      <c r="L36" s="1">
        <v>42964</v>
      </c>
      <c r="M36">
        <v>307.89999999999998</v>
      </c>
      <c r="N36">
        <f t="shared" si="0"/>
        <v>295.83498333295137</v>
      </c>
      <c r="O36">
        <f t="shared" si="1"/>
        <v>1</v>
      </c>
      <c r="P36">
        <v>9.1663748500000004</v>
      </c>
      <c r="R36">
        <f t="shared" si="2"/>
        <v>323.02451850249997</v>
      </c>
      <c r="S36">
        <f t="shared" si="3"/>
        <v>292.77548149749998</v>
      </c>
      <c r="T36">
        <f t="shared" si="6"/>
        <v>0</v>
      </c>
      <c r="U36">
        <f t="shared" si="5"/>
        <v>0</v>
      </c>
    </row>
    <row r="37" spans="1:21" x14ac:dyDescent="0.3">
      <c r="A37" s="1">
        <v>42874</v>
      </c>
      <c r="B37" s="1">
        <v>42965</v>
      </c>
      <c r="C37">
        <v>295.96873259544299</v>
      </c>
      <c r="D37">
        <v>307.75</v>
      </c>
      <c r="E37">
        <v>298.25</v>
      </c>
      <c r="F37">
        <v>-9.5</v>
      </c>
      <c r="G37">
        <v>-2.28126740455627</v>
      </c>
      <c r="H37">
        <v>9.5</v>
      </c>
      <c r="J37">
        <v>295.81028389930702</v>
      </c>
      <c r="K37">
        <v>293.60827875137301</v>
      </c>
      <c r="L37" s="1">
        <v>42965</v>
      </c>
      <c r="M37">
        <v>307.75</v>
      </c>
      <c r="N37">
        <f t="shared" si="0"/>
        <v>295.12909841537436</v>
      </c>
      <c r="O37">
        <f t="shared" si="1"/>
        <v>1</v>
      </c>
      <c r="P37">
        <v>9.2516346659999993</v>
      </c>
      <c r="R37">
        <f t="shared" si="2"/>
        <v>323.01519719890001</v>
      </c>
      <c r="S37">
        <f t="shared" si="3"/>
        <v>292.48480280109999</v>
      </c>
      <c r="T37">
        <f t="shared" si="6"/>
        <v>0</v>
      </c>
      <c r="U37">
        <f t="shared" si="5"/>
        <v>0</v>
      </c>
    </row>
    <row r="38" spans="1:21" x14ac:dyDescent="0.3">
      <c r="A38" s="1">
        <v>42877</v>
      </c>
      <c r="B38" s="1">
        <v>42968</v>
      </c>
      <c r="C38">
        <v>302.25493512153599</v>
      </c>
      <c r="D38">
        <v>307.04999980926499</v>
      </c>
      <c r="E38">
        <v>300.60000000000002</v>
      </c>
      <c r="F38">
        <v>6.4499998092651296</v>
      </c>
      <c r="G38">
        <v>1.65493512153625</v>
      </c>
      <c r="H38">
        <v>6.4499998092651296</v>
      </c>
      <c r="J38">
        <v>294.09467134475699</v>
      </c>
      <c r="K38">
        <v>293.75175676345799</v>
      </c>
      <c r="L38" s="1">
        <v>42968</v>
      </c>
      <c r="M38">
        <v>307.04999980926499</v>
      </c>
      <c r="N38">
        <f t="shared" si="0"/>
        <v>296.70045440991697</v>
      </c>
      <c r="O38">
        <f t="shared" si="1"/>
        <v>1</v>
      </c>
      <c r="P38">
        <v>9.3965916739999997</v>
      </c>
      <c r="R38">
        <f t="shared" si="2"/>
        <v>322.55437607136497</v>
      </c>
      <c r="S38">
        <f t="shared" si="3"/>
        <v>291.54562354716501</v>
      </c>
      <c r="T38">
        <f t="shared" si="6"/>
        <v>0</v>
      </c>
      <c r="U38">
        <f t="shared" si="5"/>
        <v>1</v>
      </c>
    </row>
    <row r="39" spans="1:21" x14ac:dyDescent="0.3">
      <c r="A39" s="1">
        <v>42878</v>
      </c>
      <c r="B39" s="1">
        <v>42969</v>
      </c>
      <c r="C39">
        <v>303.90935521125698</v>
      </c>
      <c r="D39">
        <v>308.70000009536699</v>
      </c>
      <c r="E39">
        <v>301.05</v>
      </c>
      <c r="F39">
        <v>7.6500000953674299</v>
      </c>
      <c r="G39">
        <v>2.8593552112579301</v>
      </c>
      <c r="H39">
        <v>7.6500000953674299</v>
      </c>
      <c r="J39">
        <v>297.363127279281</v>
      </c>
      <c r="K39">
        <v>295.79134969711299</v>
      </c>
      <c r="L39" s="1">
        <v>42969</v>
      </c>
      <c r="M39">
        <v>308.70000009536699</v>
      </c>
      <c r="N39">
        <f t="shared" si="0"/>
        <v>299.02127739588366</v>
      </c>
      <c r="O39">
        <f t="shared" si="1"/>
        <v>1</v>
      </c>
      <c r="P39">
        <v>9.5776644470000001</v>
      </c>
      <c r="R39">
        <f t="shared" si="2"/>
        <v>324.50314643291699</v>
      </c>
      <c r="S39">
        <f t="shared" si="3"/>
        <v>292.89685375781698</v>
      </c>
      <c r="T39">
        <f t="shared" si="6"/>
        <v>0</v>
      </c>
      <c r="U39">
        <f t="shared" si="5"/>
        <v>1</v>
      </c>
    </row>
    <row r="40" spans="1:21" x14ac:dyDescent="0.3">
      <c r="A40" s="1">
        <v>42879</v>
      </c>
      <c r="B40" s="1">
        <v>42970</v>
      </c>
      <c r="C40">
        <v>309.199512386322</v>
      </c>
      <c r="D40">
        <v>308.599999809265</v>
      </c>
      <c r="E40">
        <v>301.89999999999998</v>
      </c>
      <c r="F40">
        <v>6.6999998092651296</v>
      </c>
      <c r="G40">
        <v>7.2995123863220197</v>
      </c>
      <c r="H40">
        <v>6.6999998092651296</v>
      </c>
      <c r="J40">
        <v>303.78037419319099</v>
      </c>
      <c r="K40">
        <v>298.47738304138102</v>
      </c>
      <c r="L40" s="1">
        <v>42970</v>
      </c>
      <c r="M40">
        <v>308.599999809265</v>
      </c>
      <c r="N40">
        <f t="shared" si="0"/>
        <v>303.81908987363136</v>
      </c>
      <c r="O40">
        <f t="shared" si="1"/>
        <v>1</v>
      </c>
      <c r="P40">
        <v>9.7665355340000009</v>
      </c>
      <c r="R40">
        <f t="shared" si="2"/>
        <v>324.71478344036501</v>
      </c>
      <c r="S40">
        <f t="shared" si="3"/>
        <v>292.48521617816499</v>
      </c>
      <c r="T40">
        <f t="shared" si="6"/>
        <v>1</v>
      </c>
      <c r="U40">
        <f>IF(AND((C40-E40)*(D40-E40)&gt;0,AND(C40&lt;R40,C40&gt;S40)),1,0)</f>
        <v>1</v>
      </c>
    </row>
    <row r="41" spans="1:21" x14ac:dyDescent="0.3">
      <c r="A41" s="1">
        <v>42880</v>
      </c>
      <c r="B41" s="1">
        <v>42971</v>
      </c>
      <c r="C41">
        <v>314.78949451446499</v>
      </c>
      <c r="D41">
        <v>310.099999904632</v>
      </c>
      <c r="E41">
        <v>305.5</v>
      </c>
      <c r="F41">
        <v>4.5999999046325604</v>
      </c>
      <c r="G41">
        <v>9.2894945144653303</v>
      </c>
      <c r="H41">
        <v>4.5999999046325604</v>
      </c>
      <c r="J41">
        <v>303.51877236366198</v>
      </c>
      <c r="K41">
        <v>300.15666866302399</v>
      </c>
      <c r="L41" s="1">
        <v>42971</v>
      </c>
      <c r="M41">
        <v>310.099999904632</v>
      </c>
      <c r="N41">
        <f t="shared" si="0"/>
        <v>306.15497851371697</v>
      </c>
      <c r="O41">
        <f t="shared" si="1"/>
        <v>1</v>
      </c>
      <c r="P41">
        <v>10.048205210000001</v>
      </c>
      <c r="R41">
        <f t="shared" si="2"/>
        <v>326.67953850113201</v>
      </c>
      <c r="S41">
        <f t="shared" si="3"/>
        <v>293.52046130813198</v>
      </c>
      <c r="T41">
        <f t="shared" si="6"/>
        <v>1</v>
      </c>
      <c r="U41">
        <f t="shared" si="5"/>
        <v>1</v>
      </c>
    </row>
    <row r="42" spans="1:21" x14ac:dyDescent="0.3">
      <c r="A42" s="1">
        <v>42881</v>
      </c>
      <c r="B42" s="1">
        <v>42972</v>
      </c>
      <c r="C42">
        <v>315.21337089538503</v>
      </c>
      <c r="D42">
        <v>310.250000095367</v>
      </c>
      <c r="E42">
        <v>307.35000000000002</v>
      </c>
      <c r="F42">
        <v>2.9000000953674299</v>
      </c>
      <c r="G42">
        <v>7.8633708953857404</v>
      </c>
      <c r="H42">
        <v>2.9000000953674299</v>
      </c>
      <c r="J42">
        <v>310.60696206092803</v>
      </c>
      <c r="K42">
        <v>306.24788258075699</v>
      </c>
      <c r="L42" s="1">
        <v>42972</v>
      </c>
      <c r="M42">
        <v>310.250000095367</v>
      </c>
      <c r="N42">
        <f t="shared" si="0"/>
        <v>310.68940517902337</v>
      </c>
      <c r="O42">
        <f t="shared" si="1"/>
        <v>0</v>
      </c>
      <c r="P42">
        <v>10.31187108</v>
      </c>
      <c r="R42">
        <f t="shared" si="2"/>
        <v>327.26458737736698</v>
      </c>
      <c r="S42">
        <f t="shared" si="3"/>
        <v>293.23541281336702</v>
      </c>
      <c r="T42">
        <f t="shared" si="6"/>
        <v>1</v>
      </c>
      <c r="U42">
        <f t="shared" si="5"/>
        <v>1</v>
      </c>
    </row>
    <row r="43" spans="1:21" x14ac:dyDescent="0.3">
      <c r="A43" s="1">
        <v>42884</v>
      </c>
      <c r="B43" s="1">
        <v>42975</v>
      </c>
      <c r="C43">
        <v>308.888250637054</v>
      </c>
      <c r="D43">
        <v>308.19999997615798</v>
      </c>
      <c r="E43">
        <v>306.8</v>
      </c>
      <c r="F43">
        <v>1.3999999761581401</v>
      </c>
      <c r="G43">
        <v>2.0882506370544398</v>
      </c>
      <c r="H43">
        <v>1.3999999761581401</v>
      </c>
      <c r="J43">
        <v>307.646090972423</v>
      </c>
      <c r="K43">
        <v>307.46651564836498</v>
      </c>
      <c r="L43" s="1">
        <v>42975</v>
      </c>
      <c r="M43">
        <v>308.19999997615798</v>
      </c>
      <c r="N43">
        <f t="shared" si="0"/>
        <v>308.00028575261399</v>
      </c>
      <c r="O43">
        <f t="shared" si="1"/>
        <v>1</v>
      </c>
      <c r="P43">
        <v>10.49691587</v>
      </c>
      <c r="R43">
        <f t="shared" si="2"/>
        <v>325.519911161658</v>
      </c>
      <c r="S43">
        <f t="shared" si="3"/>
        <v>290.88008879065796</v>
      </c>
      <c r="T43">
        <f t="shared" si="6"/>
        <v>1</v>
      </c>
      <c r="U43">
        <f>IF(AND((C43-E43)*(D43-E43)&gt;0,AND(C43&lt;R43,C43&gt;S43)),1,0)</f>
        <v>1</v>
      </c>
    </row>
    <row r="44" spans="1:21" x14ac:dyDescent="0.3">
      <c r="A44" s="1">
        <v>42885</v>
      </c>
      <c r="B44" s="1">
        <v>42976</v>
      </c>
      <c r="C44">
        <v>306.29115185737601</v>
      </c>
      <c r="D44">
        <v>307.14999995231602</v>
      </c>
      <c r="E44">
        <v>304.35000000000002</v>
      </c>
      <c r="F44">
        <v>2.7999999523162802</v>
      </c>
      <c r="G44">
        <v>1.94115185737609</v>
      </c>
      <c r="H44">
        <v>2.7999999523162802</v>
      </c>
      <c r="J44">
        <v>309.79565057754502</v>
      </c>
      <c r="K44">
        <v>303.83499840497899</v>
      </c>
      <c r="L44" s="1">
        <v>42976</v>
      </c>
      <c r="M44">
        <v>307.14999995231602</v>
      </c>
      <c r="N44">
        <f t="shared" si="0"/>
        <v>306.64060027996669</v>
      </c>
      <c r="O44">
        <f t="shared" si="1"/>
        <v>1</v>
      </c>
      <c r="P44">
        <v>10.58185993</v>
      </c>
      <c r="R44">
        <f t="shared" si="2"/>
        <v>324.61006883681603</v>
      </c>
      <c r="S44">
        <f t="shared" si="3"/>
        <v>289.68993106781602</v>
      </c>
      <c r="T44">
        <f t="shared" si="6"/>
        <v>1</v>
      </c>
      <c r="U44">
        <f t="shared" si="5"/>
        <v>1</v>
      </c>
    </row>
    <row r="45" spans="1:21" x14ac:dyDescent="0.3">
      <c r="A45" s="1">
        <v>42886</v>
      </c>
      <c r="B45" s="1">
        <v>42977</v>
      </c>
      <c r="C45">
        <v>308.16497330665499</v>
      </c>
      <c r="D45">
        <v>309.00000004768299</v>
      </c>
      <c r="E45">
        <v>305.05</v>
      </c>
      <c r="F45">
        <v>3.95000004768371</v>
      </c>
      <c r="G45">
        <v>3.1149733066558798</v>
      </c>
      <c r="H45">
        <v>3.95000004768371</v>
      </c>
      <c r="J45">
        <v>308.05391221046398</v>
      </c>
      <c r="K45">
        <v>305.26220776438697</v>
      </c>
      <c r="L45" s="1">
        <v>42977</v>
      </c>
      <c r="M45">
        <v>309.00000004768299</v>
      </c>
      <c r="N45">
        <f t="shared" si="0"/>
        <v>307.16036442716864</v>
      </c>
      <c r="O45">
        <f t="shared" si="1"/>
        <v>1</v>
      </c>
      <c r="P45">
        <v>10.658228579999999</v>
      </c>
      <c r="R45">
        <f t="shared" si="2"/>
        <v>326.58607720468297</v>
      </c>
      <c r="S45">
        <f t="shared" si="3"/>
        <v>291.41392289068301</v>
      </c>
      <c r="T45">
        <f t="shared" si="6"/>
        <v>1</v>
      </c>
      <c r="U45">
        <f t="shared" si="5"/>
        <v>1</v>
      </c>
    </row>
    <row r="46" spans="1:21" x14ac:dyDescent="0.3">
      <c r="A46" s="1">
        <v>42887</v>
      </c>
      <c r="B46" s="1">
        <v>42978</v>
      </c>
      <c r="C46">
        <v>305.823370599746</v>
      </c>
      <c r="D46">
        <v>306.64999999999998</v>
      </c>
      <c r="E46">
        <v>304.14999999999998</v>
      </c>
      <c r="F46">
        <v>2.5</v>
      </c>
      <c r="G46">
        <v>1.6733705997467001</v>
      </c>
      <c r="H46">
        <v>2.5</v>
      </c>
      <c r="J46">
        <v>307.78058042526197</v>
      </c>
      <c r="K46">
        <v>302.98328425884199</v>
      </c>
      <c r="L46" s="1">
        <v>42978</v>
      </c>
      <c r="M46">
        <v>306.64999999999998</v>
      </c>
      <c r="N46">
        <f t="shared" si="0"/>
        <v>305.52907842794997</v>
      </c>
      <c r="O46">
        <f t="shared" si="1"/>
        <v>1</v>
      </c>
      <c r="P46">
        <v>10.74919317</v>
      </c>
      <c r="R46">
        <f t="shared" si="2"/>
        <v>324.3861687305</v>
      </c>
      <c r="S46">
        <f t="shared" si="3"/>
        <v>288.91383126949995</v>
      </c>
      <c r="T46">
        <f t="shared" si="6"/>
        <v>1</v>
      </c>
      <c r="U46">
        <f t="shared" si="5"/>
        <v>1</v>
      </c>
    </row>
    <row r="47" spans="1:21" x14ac:dyDescent="0.3">
      <c r="A47" s="1">
        <v>42888</v>
      </c>
      <c r="B47" s="1">
        <v>42979</v>
      </c>
      <c r="C47">
        <v>313.15645408630297</v>
      </c>
      <c r="D47">
        <v>306.299999952316</v>
      </c>
      <c r="E47">
        <v>307.75</v>
      </c>
      <c r="F47">
        <v>-1.45000004768371</v>
      </c>
      <c r="G47">
        <v>5.40645408630371</v>
      </c>
      <c r="H47">
        <v>-1.45000004768371</v>
      </c>
      <c r="J47">
        <v>310.24480366706803</v>
      </c>
      <c r="K47">
        <v>306.20401322841599</v>
      </c>
      <c r="L47" s="1">
        <v>42979</v>
      </c>
      <c r="M47">
        <v>306.299999952316</v>
      </c>
      <c r="N47">
        <f t="shared" si="0"/>
        <v>309.86842366059568</v>
      </c>
      <c r="O47">
        <f t="shared" si="1"/>
        <v>1</v>
      </c>
      <c r="P47">
        <v>10.844289529999999</v>
      </c>
      <c r="R47">
        <f t="shared" si="2"/>
        <v>324.19307767681602</v>
      </c>
      <c r="S47">
        <f t="shared" si="3"/>
        <v>288.40692222781598</v>
      </c>
      <c r="T47">
        <f t="shared" si="6"/>
        <v>0</v>
      </c>
      <c r="U47">
        <f t="shared" si="5"/>
        <v>0</v>
      </c>
    </row>
    <row r="48" spans="1:21" x14ac:dyDescent="0.3">
      <c r="A48" s="1">
        <v>42891</v>
      </c>
      <c r="B48" s="1">
        <v>42982</v>
      </c>
      <c r="C48">
        <v>311.40937361717198</v>
      </c>
      <c r="D48">
        <v>303.500000095367</v>
      </c>
      <c r="E48">
        <v>307.60000000000002</v>
      </c>
      <c r="F48">
        <v>-4.0999999046325604</v>
      </c>
      <c r="G48">
        <v>3.8093736171722399</v>
      </c>
      <c r="H48">
        <v>-4.0999999046325604</v>
      </c>
      <c r="J48">
        <v>310.07001051902699</v>
      </c>
      <c r="K48">
        <v>306.23048720359799</v>
      </c>
      <c r="L48" s="1">
        <v>42982</v>
      </c>
      <c r="M48">
        <v>303.500000095367</v>
      </c>
      <c r="N48">
        <f t="shared" si="0"/>
        <v>309.23662377993236</v>
      </c>
      <c r="O48">
        <f t="shared" si="1"/>
        <v>1</v>
      </c>
      <c r="P48">
        <v>10.917859180000001</v>
      </c>
      <c r="R48">
        <f t="shared" si="2"/>
        <v>321.514467742367</v>
      </c>
      <c r="S48">
        <f t="shared" si="3"/>
        <v>285.485532448367</v>
      </c>
      <c r="T48">
        <f t="shared" si="6"/>
        <v>0</v>
      </c>
      <c r="U48">
        <f>IF(AND((C48-E48)*(D48-E48)&gt;0,AND(C48&lt;R48,C48&gt;S48)),1,0)</f>
        <v>0</v>
      </c>
    </row>
    <row r="49" spans="1:21" x14ac:dyDescent="0.3">
      <c r="A49" s="1">
        <v>42892</v>
      </c>
      <c r="B49" s="1">
        <v>42983</v>
      </c>
      <c r="C49">
        <v>311.06853137016299</v>
      </c>
      <c r="D49">
        <v>302.69999990463202</v>
      </c>
      <c r="E49">
        <v>307.60000000000002</v>
      </c>
      <c r="F49">
        <v>-4.9000000953674299</v>
      </c>
      <c r="G49">
        <v>3.4685313701629599</v>
      </c>
      <c r="H49">
        <v>-4.9000000953674299</v>
      </c>
      <c r="J49">
        <v>309.79004893302903</v>
      </c>
      <c r="K49">
        <v>305.18710050582803</v>
      </c>
      <c r="L49" s="1">
        <v>42983</v>
      </c>
      <c r="M49">
        <v>302.69999990463202</v>
      </c>
      <c r="N49">
        <f t="shared" si="0"/>
        <v>308.6818936030067</v>
      </c>
      <c r="O49">
        <f t="shared" si="1"/>
        <v>1</v>
      </c>
      <c r="P49">
        <v>10.99521569</v>
      </c>
      <c r="R49">
        <f t="shared" si="2"/>
        <v>320.84210579313202</v>
      </c>
      <c r="S49">
        <f t="shared" si="3"/>
        <v>284.55789401613202</v>
      </c>
      <c r="T49">
        <f t="shared" si="6"/>
        <v>0</v>
      </c>
      <c r="U49">
        <f t="shared" si="5"/>
        <v>0</v>
      </c>
    </row>
    <row r="50" spans="1:21" x14ac:dyDescent="0.3">
      <c r="A50" s="1">
        <v>42893</v>
      </c>
      <c r="B50" s="1">
        <v>42984</v>
      </c>
      <c r="C50">
        <v>311.69700231552099</v>
      </c>
      <c r="D50">
        <v>302.30000009536701</v>
      </c>
      <c r="E50">
        <v>305.39999999999998</v>
      </c>
      <c r="F50">
        <v>-3.0999999046325599</v>
      </c>
      <c r="G50">
        <v>6.2970023155212402</v>
      </c>
      <c r="H50">
        <v>-3.0999999046325599</v>
      </c>
      <c r="J50">
        <v>309.85460891723602</v>
      </c>
      <c r="K50">
        <v>305.67055680751798</v>
      </c>
      <c r="L50" s="1">
        <v>42984</v>
      </c>
      <c r="M50">
        <v>302.30000009536701</v>
      </c>
      <c r="N50">
        <f t="shared" si="0"/>
        <v>309.07405601342504</v>
      </c>
      <c r="O50">
        <f t="shared" si="1"/>
        <v>1</v>
      </c>
      <c r="P50">
        <v>11.00263064</v>
      </c>
      <c r="R50">
        <f t="shared" si="2"/>
        <v>320.45434065136703</v>
      </c>
      <c r="S50">
        <f t="shared" si="3"/>
        <v>284.14565953936699</v>
      </c>
      <c r="T50">
        <f t="shared" si="6"/>
        <v>0</v>
      </c>
      <c r="U50">
        <f t="shared" si="5"/>
        <v>0</v>
      </c>
    </row>
    <row r="51" spans="1:21" x14ac:dyDescent="0.3">
      <c r="A51" s="1">
        <v>42894</v>
      </c>
      <c r="B51" s="1">
        <v>42985</v>
      </c>
      <c r="C51">
        <v>315.18422069549501</v>
      </c>
      <c r="D51">
        <v>306.20000001192</v>
      </c>
      <c r="E51">
        <v>306.64999999999998</v>
      </c>
      <c r="F51">
        <v>-0.44999998807907099</v>
      </c>
      <c r="G51">
        <v>8.5342206954956001</v>
      </c>
      <c r="H51">
        <v>-0.44999998807907099</v>
      </c>
      <c r="J51">
        <v>311.065378093719</v>
      </c>
      <c r="K51">
        <v>309.12327733039803</v>
      </c>
      <c r="L51" s="1">
        <v>42985</v>
      </c>
      <c r="M51">
        <v>306.20000001192</v>
      </c>
      <c r="N51">
        <f t="shared" si="0"/>
        <v>311.79095870653737</v>
      </c>
      <c r="O51">
        <f t="shared" si="1"/>
        <v>1</v>
      </c>
      <c r="P51">
        <v>10.99680094</v>
      </c>
      <c r="R51">
        <f t="shared" si="2"/>
        <v>324.34472156291997</v>
      </c>
      <c r="S51">
        <f t="shared" si="3"/>
        <v>288.05527846092002</v>
      </c>
      <c r="T51">
        <f t="shared" si="6"/>
        <v>0</v>
      </c>
      <c r="U51">
        <f t="shared" si="5"/>
        <v>0</v>
      </c>
    </row>
    <row r="52" spans="1:21" x14ac:dyDescent="0.3">
      <c r="A52" s="1">
        <v>42895</v>
      </c>
      <c r="B52" s="1">
        <v>42986</v>
      </c>
      <c r="C52">
        <v>315.41639785766603</v>
      </c>
      <c r="D52">
        <v>306.25000004768299</v>
      </c>
      <c r="E52">
        <v>308.55</v>
      </c>
      <c r="F52">
        <v>-2.2999999523162802</v>
      </c>
      <c r="G52">
        <v>6.8663978576660103</v>
      </c>
      <c r="H52">
        <v>-2.2999999523162802</v>
      </c>
      <c r="J52">
        <v>313.33034210205</v>
      </c>
      <c r="K52">
        <v>310.02825920581802</v>
      </c>
      <c r="L52" s="1">
        <v>42986</v>
      </c>
      <c r="M52">
        <v>306.25000004768299</v>
      </c>
      <c r="N52">
        <f t="shared" si="0"/>
        <v>312.9249997218447</v>
      </c>
      <c r="O52">
        <f t="shared" si="1"/>
        <v>1</v>
      </c>
      <c r="P52">
        <v>11.034456799999999</v>
      </c>
      <c r="R52">
        <f t="shared" si="2"/>
        <v>324.45685376768301</v>
      </c>
      <c r="S52">
        <f t="shared" si="3"/>
        <v>288.04314632768296</v>
      </c>
      <c r="T52">
        <f t="shared" si="6"/>
        <v>0</v>
      </c>
      <c r="U52">
        <f>IF(AND((C52-E52)*(D52-E52)&gt;0,AND(C52&lt;R52,C52&gt;S52)),1,0)</f>
        <v>0</v>
      </c>
    </row>
    <row r="53" spans="1:21" x14ac:dyDescent="0.3">
      <c r="A53" s="1">
        <v>42898</v>
      </c>
      <c r="B53" s="1">
        <v>42989</v>
      </c>
      <c r="C53">
        <v>320.61706333160402</v>
      </c>
      <c r="D53">
        <v>309.25000004768299</v>
      </c>
      <c r="E53">
        <v>305.3</v>
      </c>
      <c r="F53">
        <v>3.95000004768371</v>
      </c>
      <c r="G53">
        <v>15.317063331604</v>
      </c>
      <c r="H53">
        <v>3.95000004768371</v>
      </c>
      <c r="J53">
        <v>311.62859659194902</v>
      </c>
      <c r="K53">
        <v>307.24029474258401</v>
      </c>
      <c r="L53" s="1">
        <v>42989</v>
      </c>
      <c r="M53">
        <v>309.25000004768299</v>
      </c>
      <c r="N53">
        <f t="shared" si="0"/>
        <v>313.16198488871237</v>
      </c>
      <c r="O53">
        <f t="shared" si="1"/>
        <v>0</v>
      </c>
      <c r="P53">
        <v>11.043044220000001</v>
      </c>
      <c r="R53">
        <f t="shared" si="2"/>
        <v>327.47102301068298</v>
      </c>
      <c r="S53">
        <f t="shared" si="3"/>
        <v>291.02897708468299</v>
      </c>
      <c r="T53">
        <f t="shared" si="6"/>
        <v>1</v>
      </c>
      <c r="U53">
        <f t="shared" si="5"/>
        <v>1</v>
      </c>
    </row>
    <row r="54" spans="1:21" x14ac:dyDescent="0.3">
      <c r="A54" s="1">
        <v>42899</v>
      </c>
      <c r="B54" s="1">
        <v>42990</v>
      </c>
      <c r="C54">
        <v>315.94062309265098</v>
      </c>
      <c r="D54">
        <v>309.20000009536699</v>
      </c>
      <c r="E54">
        <v>307.05</v>
      </c>
      <c r="F54">
        <v>2.1500000953674299</v>
      </c>
      <c r="G54">
        <v>8.8906230926513601</v>
      </c>
      <c r="H54">
        <v>2.1500000953674299</v>
      </c>
      <c r="J54">
        <v>311.30636434554998</v>
      </c>
      <c r="K54">
        <v>308.917159485816</v>
      </c>
      <c r="L54" s="1">
        <v>42990</v>
      </c>
      <c r="M54">
        <v>309.20000009536699</v>
      </c>
      <c r="N54">
        <f t="shared" si="0"/>
        <v>312.05471564133899</v>
      </c>
      <c r="O54">
        <f t="shared" si="1"/>
        <v>0</v>
      </c>
      <c r="P54">
        <v>11.11508293</v>
      </c>
      <c r="R54">
        <f t="shared" si="2"/>
        <v>327.53988692986701</v>
      </c>
      <c r="S54">
        <f t="shared" si="3"/>
        <v>290.86011326086697</v>
      </c>
      <c r="T54">
        <f t="shared" ref="T54:T117" si="7">IF(AND((N54-E54)*(D54-E54)&gt;0,AND(N54&lt;R54,N54&gt;S54)),1,0)</f>
        <v>1</v>
      </c>
      <c r="U54">
        <f>IF(AND((C54-E54)*(D54-E54)&gt;0,AND(C54&lt;R54,C54&gt;S54)),1,0)</f>
        <v>1</v>
      </c>
    </row>
    <row r="55" spans="1:21" x14ac:dyDescent="0.3">
      <c r="A55" s="1">
        <v>42900</v>
      </c>
      <c r="B55" s="1">
        <v>42991</v>
      </c>
      <c r="C55">
        <v>319.049875640869</v>
      </c>
      <c r="D55">
        <v>308.54999997615801</v>
      </c>
      <c r="E55">
        <v>307.39999999999998</v>
      </c>
      <c r="F55">
        <v>1.1499999761581401</v>
      </c>
      <c r="G55">
        <v>11.6498756408691</v>
      </c>
      <c r="H55">
        <v>1.1499999761581401</v>
      </c>
      <c r="J55">
        <v>311.95631780624302</v>
      </c>
      <c r="K55">
        <v>308.8442923069</v>
      </c>
      <c r="L55" s="1">
        <v>42991</v>
      </c>
      <c r="M55">
        <v>308.54999997615801</v>
      </c>
      <c r="N55">
        <f t="shared" si="0"/>
        <v>313.28349525133734</v>
      </c>
      <c r="O55">
        <f t="shared" si="1"/>
        <v>0</v>
      </c>
      <c r="P55">
        <v>11.187194720000001</v>
      </c>
      <c r="R55">
        <f t="shared" si="2"/>
        <v>327.00887126415802</v>
      </c>
      <c r="S55">
        <f t="shared" si="3"/>
        <v>290.09112868815799</v>
      </c>
      <c r="T55">
        <f t="shared" si="7"/>
        <v>1</v>
      </c>
      <c r="U55">
        <f t="shared" si="5"/>
        <v>1</v>
      </c>
    </row>
    <row r="56" spans="1:21" x14ac:dyDescent="0.3">
      <c r="A56" s="1">
        <v>42901</v>
      </c>
      <c r="B56" s="1">
        <v>42992</v>
      </c>
      <c r="C56">
        <v>311.79149236679001</v>
      </c>
      <c r="D56">
        <v>310.24999990463198</v>
      </c>
      <c r="E56">
        <v>305.64999999999998</v>
      </c>
      <c r="F56">
        <v>4.5999999046325604</v>
      </c>
      <c r="G56">
        <v>6.1414923667907697</v>
      </c>
      <c r="H56">
        <v>4.5999999046325604</v>
      </c>
      <c r="J56">
        <v>312.34456672668398</v>
      </c>
      <c r="K56">
        <v>308.49524440765299</v>
      </c>
      <c r="L56" s="1">
        <v>42992</v>
      </c>
      <c r="M56">
        <v>310.24999990463198</v>
      </c>
      <c r="N56">
        <f t="shared" si="0"/>
        <v>310.87710116704233</v>
      </c>
      <c r="O56">
        <f t="shared" si="1"/>
        <v>0</v>
      </c>
      <c r="P56">
        <v>11.23464326</v>
      </c>
      <c r="R56">
        <f t="shared" si="2"/>
        <v>328.78716128363197</v>
      </c>
      <c r="S56">
        <f t="shared" si="3"/>
        <v>291.71283852563198</v>
      </c>
      <c r="T56">
        <f t="shared" si="7"/>
        <v>1</v>
      </c>
      <c r="U56">
        <f t="shared" si="5"/>
        <v>1</v>
      </c>
    </row>
    <row r="57" spans="1:21" x14ac:dyDescent="0.3">
      <c r="A57" s="1">
        <v>42902</v>
      </c>
      <c r="B57" s="1">
        <v>42993</v>
      </c>
      <c r="C57">
        <v>315.75876235961903</v>
      </c>
      <c r="D57">
        <v>311.19999980926502</v>
      </c>
      <c r="E57">
        <v>306</v>
      </c>
      <c r="F57">
        <v>5.1999998092651296</v>
      </c>
      <c r="G57">
        <v>9.7587623596191406</v>
      </c>
      <c r="H57">
        <v>5.1999998092651296</v>
      </c>
      <c r="J57">
        <v>313.29436111450099</v>
      </c>
      <c r="K57">
        <v>308.25037550926203</v>
      </c>
      <c r="L57" s="1">
        <v>42993</v>
      </c>
      <c r="M57">
        <v>311.19999980926502</v>
      </c>
      <c r="N57">
        <f t="shared" si="0"/>
        <v>312.43449966112735</v>
      </c>
      <c r="O57">
        <f t="shared" si="1"/>
        <v>0</v>
      </c>
      <c r="P57">
        <v>11.29285252</v>
      </c>
      <c r="R57">
        <f t="shared" si="2"/>
        <v>329.83320646726503</v>
      </c>
      <c r="S57">
        <f t="shared" si="3"/>
        <v>292.56679315126502</v>
      </c>
      <c r="T57">
        <f t="shared" si="7"/>
        <v>1</v>
      </c>
      <c r="U57">
        <f t="shared" si="5"/>
        <v>1</v>
      </c>
    </row>
    <row r="58" spans="1:21" x14ac:dyDescent="0.3">
      <c r="A58" s="1">
        <v>42905</v>
      </c>
      <c r="B58" s="1">
        <v>42996</v>
      </c>
      <c r="C58">
        <v>311.08856420516901</v>
      </c>
      <c r="D58">
        <v>316.69999961853</v>
      </c>
      <c r="E58">
        <v>307.8</v>
      </c>
      <c r="F58">
        <v>8.8999996185302699</v>
      </c>
      <c r="G58">
        <v>3.2885642051696702</v>
      </c>
      <c r="H58">
        <v>8.8999996185302699</v>
      </c>
      <c r="J58">
        <v>316.13933258056602</v>
      </c>
      <c r="K58">
        <v>311.46123962402299</v>
      </c>
      <c r="L58" s="1">
        <v>42996</v>
      </c>
      <c r="M58">
        <v>316.69999961853</v>
      </c>
      <c r="N58">
        <f t="shared" si="0"/>
        <v>312.89637880325267</v>
      </c>
      <c r="O58">
        <f t="shared" si="1"/>
        <v>1</v>
      </c>
      <c r="P58">
        <v>11.374184619999999</v>
      </c>
      <c r="R58">
        <f t="shared" si="2"/>
        <v>335.46740424153001</v>
      </c>
      <c r="S58">
        <f t="shared" si="3"/>
        <v>297.93259499553</v>
      </c>
      <c r="T58">
        <f t="shared" si="7"/>
        <v>1</v>
      </c>
      <c r="U58">
        <f t="shared" si="5"/>
        <v>1</v>
      </c>
    </row>
    <row r="59" spans="1:21" x14ac:dyDescent="0.3">
      <c r="A59" s="1">
        <v>42906</v>
      </c>
      <c r="B59" s="1">
        <v>42997</v>
      </c>
      <c r="C59">
        <v>314.42659292220998</v>
      </c>
      <c r="D59">
        <v>316.04999980926499</v>
      </c>
      <c r="E59">
        <v>308.10000000000002</v>
      </c>
      <c r="F59">
        <v>7.9499998092651296</v>
      </c>
      <c r="G59">
        <v>6.3265929222106898</v>
      </c>
      <c r="H59">
        <v>7.9499998092651296</v>
      </c>
      <c r="J59">
        <v>314.13765344619702</v>
      </c>
      <c r="K59">
        <v>310.24520907402001</v>
      </c>
      <c r="L59" s="1">
        <v>42997</v>
      </c>
      <c r="M59">
        <v>316.04999980926499</v>
      </c>
      <c r="N59">
        <f t="shared" si="0"/>
        <v>312.93648514747565</v>
      </c>
      <c r="O59">
        <f t="shared" si="1"/>
        <v>1</v>
      </c>
      <c r="P59">
        <v>11.48218117</v>
      </c>
      <c r="R59">
        <f t="shared" si="2"/>
        <v>334.995598739765</v>
      </c>
      <c r="S59">
        <f t="shared" si="3"/>
        <v>297.10440087876498</v>
      </c>
      <c r="T59">
        <f t="shared" si="7"/>
        <v>1</v>
      </c>
      <c r="U59">
        <f t="shared" si="5"/>
        <v>1</v>
      </c>
    </row>
    <row r="60" spans="1:21" x14ac:dyDescent="0.3">
      <c r="A60" s="1">
        <v>42907</v>
      </c>
      <c r="B60" s="1">
        <v>42998</v>
      </c>
      <c r="C60">
        <v>321.84896354675197</v>
      </c>
      <c r="D60">
        <v>315.8</v>
      </c>
      <c r="E60">
        <v>306.8</v>
      </c>
      <c r="F60">
        <v>9</v>
      </c>
      <c r="G60">
        <v>15.048963546752899</v>
      </c>
      <c r="H60">
        <v>9</v>
      </c>
      <c r="J60">
        <v>316.718038368225</v>
      </c>
      <c r="K60">
        <v>309.38163356781001</v>
      </c>
      <c r="L60" s="1">
        <v>42998</v>
      </c>
      <c r="M60">
        <v>315.8</v>
      </c>
      <c r="N60">
        <f t="shared" si="0"/>
        <v>315.98287849426237</v>
      </c>
      <c r="O60">
        <f t="shared" si="1"/>
        <v>0</v>
      </c>
      <c r="P60">
        <v>11.531701290000001</v>
      </c>
      <c r="R60">
        <f t="shared" si="2"/>
        <v>334.82730712850002</v>
      </c>
      <c r="S60">
        <f t="shared" si="3"/>
        <v>296.7726928715</v>
      </c>
      <c r="T60">
        <f t="shared" si="7"/>
        <v>1</v>
      </c>
      <c r="U60">
        <f t="shared" si="5"/>
        <v>1</v>
      </c>
    </row>
    <row r="61" spans="1:21" x14ac:dyDescent="0.3">
      <c r="A61" s="1">
        <v>42908</v>
      </c>
      <c r="B61" s="1">
        <v>42999</v>
      </c>
      <c r="C61">
        <v>325.45745735168401</v>
      </c>
      <c r="D61">
        <v>316.05</v>
      </c>
      <c r="E61">
        <v>308.55</v>
      </c>
      <c r="F61">
        <v>7.5</v>
      </c>
      <c r="G61">
        <v>16.907457351684499</v>
      </c>
      <c r="H61">
        <v>7.5</v>
      </c>
      <c r="J61">
        <v>314.50512533187799</v>
      </c>
      <c r="K61">
        <v>310.98835783004699</v>
      </c>
      <c r="L61" s="1">
        <v>42999</v>
      </c>
      <c r="M61">
        <v>316.05</v>
      </c>
      <c r="N61">
        <f t="shared" si="0"/>
        <v>316.98364683786968</v>
      </c>
      <c r="O61">
        <f t="shared" si="1"/>
        <v>0</v>
      </c>
      <c r="P61">
        <v>11.611243569999999</v>
      </c>
      <c r="R61">
        <f t="shared" si="2"/>
        <v>335.20855189050002</v>
      </c>
      <c r="S61">
        <f t="shared" si="3"/>
        <v>296.8914481095</v>
      </c>
      <c r="T61">
        <f t="shared" si="7"/>
        <v>1</v>
      </c>
      <c r="U61">
        <f>IF(AND((C61-E61)*(D61-E61)&gt;0,AND(C61&lt;R61,C61&gt;S61)),1,0)</f>
        <v>1</v>
      </c>
    </row>
    <row r="62" spans="1:21" x14ac:dyDescent="0.3">
      <c r="A62" s="1">
        <v>42909</v>
      </c>
      <c r="B62" s="1">
        <v>43000</v>
      </c>
      <c r="C62">
        <v>314.15734767913801</v>
      </c>
      <c r="D62">
        <v>313.75</v>
      </c>
      <c r="E62">
        <v>309.25</v>
      </c>
      <c r="F62">
        <v>4.5</v>
      </c>
      <c r="G62">
        <v>4.90734767913818</v>
      </c>
      <c r="H62">
        <v>4.5</v>
      </c>
      <c r="J62">
        <v>311.47426772117598</v>
      </c>
      <c r="K62">
        <v>312.02885150909401</v>
      </c>
      <c r="L62" s="1">
        <v>43000</v>
      </c>
      <c r="M62">
        <v>313.75</v>
      </c>
      <c r="N62">
        <f t="shared" si="0"/>
        <v>312.55348896980269</v>
      </c>
      <c r="O62">
        <f t="shared" si="1"/>
        <v>1</v>
      </c>
      <c r="P62">
        <v>11.68553629</v>
      </c>
      <c r="R62">
        <f t="shared" si="2"/>
        <v>333.03113487849998</v>
      </c>
      <c r="S62">
        <f t="shared" si="3"/>
        <v>294.46886512150002</v>
      </c>
      <c r="T62">
        <f t="shared" si="7"/>
        <v>1</v>
      </c>
      <c r="U62">
        <f t="shared" si="5"/>
        <v>1</v>
      </c>
    </row>
    <row r="63" spans="1:21" x14ac:dyDescent="0.3">
      <c r="A63" s="1">
        <v>42912</v>
      </c>
      <c r="B63" s="1">
        <v>43003</v>
      </c>
      <c r="C63">
        <v>310.90200324654501</v>
      </c>
      <c r="D63">
        <v>313.8</v>
      </c>
      <c r="E63">
        <v>310.55</v>
      </c>
      <c r="F63">
        <v>3.25</v>
      </c>
      <c r="G63">
        <v>0.35200324654579102</v>
      </c>
      <c r="H63">
        <v>3.25</v>
      </c>
      <c r="J63">
        <v>314.28702645301797</v>
      </c>
      <c r="K63">
        <v>310.832047331333</v>
      </c>
      <c r="L63" s="1">
        <v>43003</v>
      </c>
      <c r="M63">
        <v>313.8</v>
      </c>
      <c r="N63">
        <f t="shared" si="0"/>
        <v>312.00702567696533</v>
      </c>
      <c r="O63">
        <f t="shared" si="1"/>
        <v>1</v>
      </c>
      <c r="P63">
        <v>11.735649840000001</v>
      </c>
      <c r="R63">
        <f t="shared" si="2"/>
        <v>333.16382223599999</v>
      </c>
      <c r="S63">
        <f t="shared" si="3"/>
        <v>294.43617776400004</v>
      </c>
      <c r="T63">
        <f t="shared" si="7"/>
        <v>1</v>
      </c>
      <c r="U63">
        <f t="shared" si="5"/>
        <v>1</v>
      </c>
    </row>
    <row r="64" spans="1:21" x14ac:dyDescent="0.3">
      <c r="A64" s="1">
        <v>42913</v>
      </c>
      <c r="B64" s="1">
        <v>43004</v>
      </c>
      <c r="C64">
        <v>308.73578057289097</v>
      </c>
      <c r="D64">
        <v>311.79999998807898</v>
      </c>
      <c r="E64">
        <v>311.10000000000002</v>
      </c>
      <c r="F64">
        <v>-0.69999998807907104</v>
      </c>
      <c r="G64">
        <v>-2.3642194271087602</v>
      </c>
      <c r="H64">
        <v>0.69999998807907104</v>
      </c>
      <c r="J64">
        <v>306.50550947189299</v>
      </c>
      <c r="K64">
        <v>313.064737415313</v>
      </c>
      <c r="L64" s="1">
        <v>43004</v>
      </c>
      <c r="M64">
        <v>311.79999998807898</v>
      </c>
      <c r="N64">
        <f t="shared" si="0"/>
        <v>309.43534248669897</v>
      </c>
      <c r="O64">
        <f t="shared" si="1"/>
        <v>1</v>
      </c>
      <c r="P64">
        <v>11.79365825</v>
      </c>
      <c r="R64">
        <f t="shared" si="2"/>
        <v>331.259536100579</v>
      </c>
      <c r="S64">
        <f t="shared" si="3"/>
        <v>292.34046387557896</v>
      </c>
      <c r="T64">
        <f t="shared" si="7"/>
        <v>0</v>
      </c>
      <c r="U64">
        <f t="shared" si="5"/>
        <v>0</v>
      </c>
    </row>
    <row r="65" spans="1:21" x14ac:dyDescent="0.3">
      <c r="A65" s="1">
        <v>42914</v>
      </c>
      <c r="B65" s="1">
        <v>43005</v>
      </c>
      <c r="C65">
        <v>313.53757929801901</v>
      </c>
      <c r="D65">
        <v>311.39999997615803</v>
      </c>
      <c r="E65">
        <v>310.25</v>
      </c>
      <c r="F65">
        <v>1.1499999761581401</v>
      </c>
      <c r="G65">
        <v>3.2875792980193999</v>
      </c>
      <c r="H65">
        <v>1.1499999761581401</v>
      </c>
      <c r="J65">
        <v>316.51007509231499</v>
      </c>
      <c r="K65">
        <v>312.21182489395102</v>
      </c>
      <c r="L65" s="1">
        <v>43005</v>
      </c>
      <c r="M65">
        <v>311.39999997615803</v>
      </c>
      <c r="N65">
        <f t="shared" si="0"/>
        <v>314.08649309476164</v>
      </c>
      <c r="O65">
        <f t="shared" si="1"/>
        <v>0</v>
      </c>
      <c r="P65">
        <v>11.828234480000001</v>
      </c>
      <c r="R65">
        <f t="shared" si="2"/>
        <v>330.91658686815805</v>
      </c>
      <c r="S65">
        <f t="shared" si="3"/>
        <v>291.88341308415801</v>
      </c>
      <c r="T65">
        <f t="shared" si="7"/>
        <v>1</v>
      </c>
      <c r="U65">
        <f t="shared" si="5"/>
        <v>1</v>
      </c>
    </row>
    <row r="66" spans="1:21" x14ac:dyDescent="0.3">
      <c r="A66" s="1">
        <v>42915</v>
      </c>
      <c r="B66" s="1">
        <v>43006</v>
      </c>
      <c r="C66">
        <v>311.81734893321902</v>
      </c>
      <c r="D66">
        <v>311.60000000000002</v>
      </c>
      <c r="E66">
        <v>312.35000000000002</v>
      </c>
      <c r="F66">
        <v>0.75</v>
      </c>
      <c r="G66">
        <v>-0.53265106678009</v>
      </c>
      <c r="H66">
        <v>-0.75</v>
      </c>
      <c r="J66">
        <v>313.90952572822499</v>
      </c>
      <c r="K66">
        <v>314.32873532771998</v>
      </c>
      <c r="L66" s="1">
        <v>43006</v>
      </c>
      <c r="M66">
        <v>311.60000000000002</v>
      </c>
      <c r="N66">
        <f t="shared" si="0"/>
        <v>313.35186999638802</v>
      </c>
      <c r="O66">
        <f t="shared" si="1"/>
        <v>1</v>
      </c>
      <c r="P66">
        <v>11.888275119999999</v>
      </c>
      <c r="R66">
        <f t="shared" si="2"/>
        <v>331.21565394800001</v>
      </c>
      <c r="S66">
        <f t="shared" si="3"/>
        <v>291.98434605200003</v>
      </c>
      <c r="T66">
        <f t="shared" si="7"/>
        <v>0</v>
      </c>
      <c r="U66">
        <f>IF(AND((C66-E66)*(D66-E66)&gt;0,AND(C66&lt;R66,C66&gt;S66)),1,0)</f>
        <v>1</v>
      </c>
    </row>
    <row r="67" spans="1:21" x14ac:dyDescent="0.3">
      <c r="A67" s="1">
        <v>42916</v>
      </c>
      <c r="B67" s="1">
        <v>43007</v>
      </c>
      <c r="C67">
        <v>326.43937759399398</v>
      </c>
      <c r="D67">
        <v>314.3</v>
      </c>
      <c r="E67">
        <v>311.55</v>
      </c>
      <c r="F67">
        <v>2.75</v>
      </c>
      <c r="G67">
        <v>14.8893775939941</v>
      </c>
      <c r="H67">
        <v>2.75</v>
      </c>
      <c r="J67">
        <v>317.15977458953802</v>
      </c>
      <c r="K67">
        <v>311.172423499822</v>
      </c>
      <c r="L67" s="1">
        <v>43007</v>
      </c>
      <c r="M67">
        <v>314.3</v>
      </c>
      <c r="N67">
        <f t="shared" ref="N67:N130" si="8">AVERAGE(C67, J67:K67)</f>
        <v>318.2571918944513</v>
      </c>
      <c r="O67">
        <f t="shared" ref="O67:O71" si="9">IF((D67-E67)*(D67-N67)&gt;0,1,0)</f>
        <v>0</v>
      </c>
      <c r="P67">
        <v>11.90461505</v>
      </c>
      <c r="R67">
        <f t="shared" ref="R67:R130" si="10">D67+1.65*P67</f>
        <v>333.9426148325</v>
      </c>
      <c r="S67">
        <f t="shared" ref="S67:S130" si="11">D67-1.65*P67</f>
        <v>294.65738516750002</v>
      </c>
      <c r="T67">
        <f t="shared" si="7"/>
        <v>1</v>
      </c>
      <c r="U67">
        <f t="shared" si="5"/>
        <v>1</v>
      </c>
    </row>
    <row r="68" spans="1:21" x14ac:dyDescent="0.3">
      <c r="A68" s="1">
        <v>42919</v>
      </c>
      <c r="B68" s="1">
        <v>43010</v>
      </c>
      <c r="C68">
        <v>326.94309253692597</v>
      </c>
      <c r="D68">
        <v>314.29999990463199</v>
      </c>
      <c r="E68">
        <v>311.95</v>
      </c>
      <c r="F68">
        <v>2.3499999046325599</v>
      </c>
      <c r="G68">
        <v>14.9930925369262</v>
      </c>
      <c r="H68">
        <v>2.3499999046325599</v>
      </c>
      <c r="J68">
        <v>315.61603493690399</v>
      </c>
      <c r="K68">
        <v>311.49535162448802</v>
      </c>
      <c r="L68" s="1">
        <v>43010</v>
      </c>
      <c r="M68">
        <v>314.29999990463199</v>
      </c>
      <c r="N68">
        <f t="shared" si="8"/>
        <v>318.01815969943931</v>
      </c>
      <c r="O68">
        <f t="shared" si="9"/>
        <v>0</v>
      </c>
      <c r="P68">
        <v>11.916593049999999</v>
      </c>
      <c r="R68">
        <f t="shared" si="10"/>
        <v>333.96237843713197</v>
      </c>
      <c r="S68">
        <f t="shared" si="11"/>
        <v>294.637621372132</v>
      </c>
      <c r="T68">
        <f t="shared" si="7"/>
        <v>1</v>
      </c>
      <c r="U68">
        <f t="shared" ref="U68:U75" si="12">IF(AND((C68-E68)*(D68-E68)&gt;0,AND(C68&lt;R68,C68&gt;S68)),1,0)</f>
        <v>1</v>
      </c>
    </row>
    <row r="69" spans="1:21" x14ac:dyDescent="0.3">
      <c r="A69" s="1">
        <v>42920</v>
      </c>
      <c r="B69" s="1">
        <v>43011</v>
      </c>
      <c r="C69">
        <v>321.41276588439899</v>
      </c>
      <c r="D69">
        <v>314.30000009536701</v>
      </c>
      <c r="E69">
        <v>309.64999999999998</v>
      </c>
      <c r="F69">
        <v>4.6500000953674299</v>
      </c>
      <c r="G69">
        <v>11.7627658843994</v>
      </c>
      <c r="H69">
        <v>4.6500000953674299</v>
      </c>
      <c r="J69">
        <v>314.088146114349</v>
      </c>
      <c r="K69">
        <v>311.87017717361402</v>
      </c>
      <c r="L69" s="1">
        <v>43011</v>
      </c>
      <c r="M69">
        <v>314.30000009536701</v>
      </c>
      <c r="N69">
        <f t="shared" si="8"/>
        <v>315.79036305745404</v>
      </c>
      <c r="O69">
        <f t="shared" si="9"/>
        <v>0</v>
      </c>
      <c r="P69">
        <v>11.858192150000001</v>
      </c>
      <c r="R69">
        <f t="shared" si="10"/>
        <v>333.86601714286701</v>
      </c>
      <c r="S69">
        <f t="shared" si="11"/>
        <v>294.73398304786701</v>
      </c>
      <c r="T69">
        <f t="shared" si="7"/>
        <v>1</v>
      </c>
      <c r="U69">
        <f t="shared" si="12"/>
        <v>1</v>
      </c>
    </row>
    <row r="70" spans="1:21" x14ac:dyDescent="0.3">
      <c r="A70" s="1">
        <v>42921</v>
      </c>
      <c r="B70" s="1">
        <v>43012</v>
      </c>
      <c r="C70">
        <v>319.84369239807103</v>
      </c>
      <c r="D70">
        <v>314.300000047683</v>
      </c>
      <c r="E70">
        <v>311.10000000000002</v>
      </c>
      <c r="F70">
        <v>3.20000004768371</v>
      </c>
      <c r="G70">
        <v>8.7436923980712802</v>
      </c>
      <c r="H70">
        <v>3.20000004768371</v>
      </c>
      <c r="J70">
        <v>314.694465494155</v>
      </c>
      <c r="K70">
        <v>313.26471362113898</v>
      </c>
      <c r="L70" s="1">
        <v>43012</v>
      </c>
      <c r="M70">
        <v>314.300000047683</v>
      </c>
      <c r="N70">
        <f t="shared" si="8"/>
        <v>315.93429050445502</v>
      </c>
      <c r="O70">
        <f t="shared" si="9"/>
        <v>0</v>
      </c>
      <c r="P70">
        <v>11.79643377</v>
      </c>
      <c r="R70">
        <f t="shared" si="10"/>
        <v>333.76411576818299</v>
      </c>
      <c r="S70">
        <f t="shared" si="11"/>
        <v>294.83588432718301</v>
      </c>
      <c r="T70">
        <f t="shared" si="7"/>
        <v>1</v>
      </c>
      <c r="U70">
        <f t="shared" si="12"/>
        <v>1</v>
      </c>
    </row>
    <row r="71" spans="1:21" x14ac:dyDescent="0.3">
      <c r="A71" s="1">
        <v>42922</v>
      </c>
      <c r="B71" s="1">
        <v>43013</v>
      </c>
      <c r="C71">
        <v>317.46309432983401</v>
      </c>
      <c r="D71">
        <v>314.300000047683</v>
      </c>
      <c r="E71">
        <v>311.10000000000002</v>
      </c>
      <c r="F71">
        <v>3.20000004768371</v>
      </c>
      <c r="G71">
        <v>6.3630943298339799</v>
      </c>
      <c r="H71">
        <v>3.20000004768371</v>
      </c>
      <c r="J71">
        <v>313.72859272956799</v>
      </c>
      <c r="K71">
        <v>311.42627230882601</v>
      </c>
      <c r="L71" s="1">
        <v>43013</v>
      </c>
      <c r="M71">
        <v>314.300000047683</v>
      </c>
      <c r="N71">
        <f t="shared" si="8"/>
        <v>314.205986456076</v>
      </c>
      <c r="O71">
        <f t="shared" si="9"/>
        <v>1</v>
      </c>
      <c r="P71">
        <v>11.69295086</v>
      </c>
      <c r="R71">
        <f t="shared" si="10"/>
        <v>333.59336896668299</v>
      </c>
      <c r="S71">
        <f t="shared" si="11"/>
        <v>295.00663112868301</v>
      </c>
      <c r="T71">
        <f t="shared" si="7"/>
        <v>1</v>
      </c>
      <c r="U71">
        <f t="shared" si="12"/>
        <v>1</v>
      </c>
    </row>
    <row r="72" spans="1:21" x14ac:dyDescent="0.3">
      <c r="A72" s="1">
        <v>42923</v>
      </c>
      <c r="B72" s="1">
        <v>43014</v>
      </c>
      <c r="C72">
        <v>323.181715011596</v>
      </c>
      <c r="D72">
        <v>314.30000019073401</v>
      </c>
      <c r="E72">
        <v>310.25</v>
      </c>
      <c r="F72">
        <v>4.0500001907348597</v>
      </c>
      <c r="G72">
        <v>12.9317150115966</v>
      </c>
      <c r="H72">
        <v>4.0500001907348597</v>
      </c>
      <c r="J72">
        <v>310.13843584060601</v>
      </c>
      <c r="K72">
        <v>311.38772380351998</v>
      </c>
      <c r="L72" s="1">
        <v>43014</v>
      </c>
      <c r="M72">
        <v>314.30000019073401</v>
      </c>
      <c r="N72">
        <f t="shared" si="8"/>
        <v>314.90262488524064</v>
      </c>
      <c r="O72">
        <f>IF((D72-E72)*(D72-N72)&gt;0,1,0)</f>
        <v>0</v>
      </c>
      <c r="P72">
        <v>11.537757989999999</v>
      </c>
      <c r="R72">
        <f t="shared" si="10"/>
        <v>333.33730087423402</v>
      </c>
      <c r="S72">
        <f t="shared" si="11"/>
        <v>295.262699507234</v>
      </c>
      <c r="T72">
        <f t="shared" si="7"/>
        <v>1</v>
      </c>
      <c r="U72">
        <f t="shared" si="12"/>
        <v>1</v>
      </c>
    </row>
    <row r="73" spans="1:21" x14ac:dyDescent="0.3">
      <c r="A73" s="1">
        <v>42926</v>
      </c>
      <c r="B73" s="1">
        <v>43017</v>
      </c>
      <c r="C73">
        <v>323.36675910949702</v>
      </c>
      <c r="D73">
        <v>314.3</v>
      </c>
      <c r="E73">
        <v>310.8</v>
      </c>
      <c r="F73">
        <v>3.5</v>
      </c>
      <c r="G73">
        <v>12.566759109496999</v>
      </c>
      <c r="H73">
        <v>3.5</v>
      </c>
      <c r="J73">
        <v>312.34187440872103</v>
      </c>
      <c r="K73">
        <v>310.64989292919603</v>
      </c>
      <c r="L73" s="1">
        <v>43017</v>
      </c>
      <c r="M73">
        <v>314.3</v>
      </c>
      <c r="N73">
        <f t="shared" si="8"/>
        <v>315.45284214913801</v>
      </c>
      <c r="O73">
        <f t="shared" ref="O73:O93" si="13">IF((D73-E73)*(D73-N73)&gt;0,1,0)</f>
        <v>0</v>
      </c>
      <c r="P73">
        <v>11.32296408</v>
      </c>
      <c r="R73">
        <f t="shared" si="10"/>
        <v>332.98289073199999</v>
      </c>
      <c r="S73">
        <f t="shared" si="11"/>
        <v>295.61710926800004</v>
      </c>
      <c r="T73">
        <f t="shared" si="7"/>
        <v>1</v>
      </c>
      <c r="U73">
        <f t="shared" si="12"/>
        <v>1</v>
      </c>
    </row>
    <row r="74" spans="1:21" x14ac:dyDescent="0.3">
      <c r="A74" s="1">
        <v>42927</v>
      </c>
      <c r="B74" s="1">
        <v>43018</v>
      </c>
      <c r="C74">
        <v>323.20105857849097</v>
      </c>
      <c r="D74">
        <v>320.14999980926501</v>
      </c>
      <c r="E74">
        <v>312.7</v>
      </c>
      <c r="F74">
        <v>7.4499998092651296</v>
      </c>
      <c r="G74">
        <v>10.5010585784912</v>
      </c>
      <c r="H74">
        <v>7.4499998092651296</v>
      </c>
      <c r="J74">
        <v>310.55354018211301</v>
      </c>
      <c r="K74">
        <v>312.74883572459203</v>
      </c>
      <c r="L74" s="1">
        <v>43018</v>
      </c>
      <c r="M74">
        <v>320.14999980926501</v>
      </c>
      <c r="N74">
        <f t="shared" si="8"/>
        <v>315.50114482839871</v>
      </c>
      <c r="O74">
        <f t="shared" si="13"/>
        <v>1</v>
      </c>
      <c r="P74">
        <v>11.05558579</v>
      </c>
      <c r="R74">
        <f t="shared" si="10"/>
        <v>338.39171636276501</v>
      </c>
      <c r="S74">
        <f t="shared" si="11"/>
        <v>301.90828325576501</v>
      </c>
      <c r="T74">
        <f t="shared" si="7"/>
        <v>1</v>
      </c>
      <c r="U74">
        <f t="shared" si="12"/>
        <v>1</v>
      </c>
    </row>
    <row r="75" spans="1:21" x14ac:dyDescent="0.3">
      <c r="A75" s="1">
        <v>42928</v>
      </c>
      <c r="B75" s="1">
        <v>43019</v>
      </c>
      <c r="C75">
        <v>323.97364482879601</v>
      </c>
      <c r="D75">
        <v>323.24999961853001</v>
      </c>
      <c r="E75">
        <v>312.60000000000002</v>
      </c>
      <c r="F75">
        <v>10.649999618530201</v>
      </c>
      <c r="G75">
        <v>11.3736448287963</v>
      </c>
      <c r="H75">
        <v>10.649999618530201</v>
      </c>
      <c r="J75">
        <v>313.52714148759799</v>
      </c>
      <c r="K75">
        <v>313.47258464097899</v>
      </c>
      <c r="L75" s="1">
        <v>43019</v>
      </c>
      <c r="M75">
        <v>323.24999961853001</v>
      </c>
      <c r="N75">
        <f t="shared" si="8"/>
        <v>316.99112365245765</v>
      </c>
      <c r="O75">
        <f t="shared" si="13"/>
        <v>1</v>
      </c>
      <c r="P75">
        <v>10.785996859999999</v>
      </c>
      <c r="R75">
        <f t="shared" si="10"/>
        <v>341.04689443753</v>
      </c>
      <c r="S75">
        <f t="shared" si="11"/>
        <v>305.45310479953002</v>
      </c>
      <c r="T75">
        <f t="shared" si="7"/>
        <v>1</v>
      </c>
      <c r="U75">
        <f t="shared" si="12"/>
        <v>1</v>
      </c>
    </row>
    <row r="76" spans="1:21" x14ac:dyDescent="0.3">
      <c r="A76" s="1">
        <v>42929</v>
      </c>
      <c r="B76" s="1">
        <v>43020</v>
      </c>
      <c r="C76">
        <v>319.33786182403497</v>
      </c>
      <c r="D76">
        <v>325.650000381469</v>
      </c>
      <c r="E76">
        <v>316.55</v>
      </c>
      <c r="F76">
        <v>9.1000003814697195</v>
      </c>
      <c r="G76">
        <v>2.7878618240356401</v>
      </c>
      <c r="H76">
        <v>9.1000003814697195</v>
      </c>
      <c r="J76">
        <v>313.31857280731202</v>
      </c>
      <c r="K76">
        <v>318.31941251754699</v>
      </c>
      <c r="L76" s="1">
        <v>43020</v>
      </c>
      <c r="M76">
        <v>325.650000381469</v>
      </c>
      <c r="N76">
        <f t="shared" si="8"/>
        <v>316.99194904963133</v>
      </c>
      <c r="O76">
        <f t="shared" si="13"/>
        <v>1</v>
      </c>
      <c r="P76">
        <v>10.63473525</v>
      </c>
      <c r="R76">
        <f t="shared" si="10"/>
        <v>343.19731354396902</v>
      </c>
      <c r="S76">
        <f t="shared" si="11"/>
        <v>308.10268721896898</v>
      </c>
      <c r="T76">
        <f t="shared" si="7"/>
        <v>1</v>
      </c>
      <c r="U76">
        <f>IF(AND((C76-E76)*(D76-E76)&gt;0,AND(C76&lt;R76,C76&gt;S76)),1,0)</f>
        <v>1</v>
      </c>
    </row>
    <row r="77" spans="1:21" x14ac:dyDescent="0.3">
      <c r="A77" s="1">
        <v>42930</v>
      </c>
      <c r="B77" s="1">
        <v>43021</v>
      </c>
      <c r="C77">
        <v>326.79888267516998</v>
      </c>
      <c r="D77">
        <v>325.30000038146898</v>
      </c>
      <c r="E77">
        <v>316.7</v>
      </c>
      <c r="F77">
        <v>8.6000003814697195</v>
      </c>
      <c r="G77">
        <v>10.098882675170801</v>
      </c>
      <c r="H77">
        <v>8.6000003814697195</v>
      </c>
      <c r="J77">
        <v>313.97056288719102</v>
      </c>
      <c r="K77">
        <v>314.11144323348998</v>
      </c>
      <c r="L77" s="1">
        <v>43021</v>
      </c>
      <c r="M77">
        <v>325.30000038146898</v>
      </c>
      <c r="N77">
        <f t="shared" si="8"/>
        <v>318.29362959861697</v>
      </c>
      <c r="O77">
        <f t="shared" si="13"/>
        <v>1</v>
      </c>
      <c r="P77">
        <v>10.4024231</v>
      </c>
      <c r="R77">
        <f t="shared" si="10"/>
        <v>342.463998496469</v>
      </c>
      <c r="S77">
        <f t="shared" si="11"/>
        <v>308.13600226646895</v>
      </c>
      <c r="T77">
        <f t="shared" si="7"/>
        <v>1</v>
      </c>
      <c r="U77">
        <f t="shared" ref="U77:U96" si="14">IF(AND((C77-E77)*(D77-E77)&gt;0,AND(C77&lt;R77,C77&gt;S77)),1,0)</f>
        <v>1</v>
      </c>
    </row>
    <row r="78" spans="1:21" x14ac:dyDescent="0.3">
      <c r="A78" s="1">
        <v>42933</v>
      </c>
      <c r="B78" s="1">
        <v>43024</v>
      </c>
      <c r="C78">
        <v>321.84356212615899</v>
      </c>
      <c r="D78">
        <v>325.5</v>
      </c>
      <c r="E78">
        <v>317.5</v>
      </c>
      <c r="F78">
        <v>8</v>
      </c>
      <c r="G78">
        <v>4.34356212615966</v>
      </c>
      <c r="H78">
        <v>8</v>
      </c>
      <c r="J78">
        <v>314.43785071372901</v>
      </c>
      <c r="K78">
        <v>314.74060201644897</v>
      </c>
      <c r="L78" s="1">
        <v>43024</v>
      </c>
      <c r="M78">
        <v>325.5</v>
      </c>
      <c r="N78">
        <f t="shared" si="8"/>
        <v>317.00733828544566</v>
      </c>
      <c r="O78">
        <f t="shared" si="13"/>
        <v>1</v>
      </c>
      <c r="P78">
        <v>10.182204260000001</v>
      </c>
      <c r="R78">
        <f t="shared" si="10"/>
        <v>342.30063702899997</v>
      </c>
      <c r="S78">
        <f t="shared" si="11"/>
        <v>308.69936297100003</v>
      </c>
      <c r="T78">
        <f t="shared" si="7"/>
        <v>0</v>
      </c>
      <c r="U78">
        <f t="shared" si="14"/>
        <v>1</v>
      </c>
    </row>
    <row r="79" spans="1:21" x14ac:dyDescent="0.3">
      <c r="A79" s="1">
        <v>42934</v>
      </c>
      <c r="B79" s="1">
        <v>43025</v>
      </c>
      <c r="C79">
        <v>328.01450424194297</v>
      </c>
      <c r="D79">
        <v>325.8</v>
      </c>
      <c r="E79">
        <v>318.05</v>
      </c>
      <c r="F79">
        <v>7.75</v>
      </c>
      <c r="G79">
        <v>9.9645042419433594</v>
      </c>
      <c r="H79">
        <v>7.75</v>
      </c>
      <c r="J79">
        <v>313.60696821212701</v>
      </c>
      <c r="K79">
        <v>315.388743448257</v>
      </c>
      <c r="L79" s="1">
        <v>43025</v>
      </c>
      <c r="M79">
        <v>325.8</v>
      </c>
      <c r="N79">
        <f t="shared" si="8"/>
        <v>319.00340530077568</v>
      </c>
      <c r="O79">
        <f t="shared" si="13"/>
        <v>1</v>
      </c>
      <c r="P79">
        <v>9.9222192630000006</v>
      </c>
      <c r="R79">
        <f t="shared" si="10"/>
        <v>342.17166178395001</v>
      </c>
      <c r="S79">
        <f t="shared" si="11"/>
        <v>309.42833821605001</v>
      </c>
      <c r="T79">
        <f t="shared" si="7"/>
        <v>1</v>
      </c>
      <c r="U79">
        <f t="shared" si="14"/>
        <v>1</v>
      </c>
    </row>
    <row r="80" spans="1:21" x14ac:dyDescent="0.3">
      <c r="A80" s="1">
        <v>42935</v>
      </c>
      <c r="B80" s="1">
        <v>43026</v>
      </c>
      <c r="C80">
        <v>328.77793331146199</v>
      </c>
      <c r="D80">
        <v>325.85000009536702</v>
      </c>
      <c r="E80">
        <v>318.7</v>
      </c>
      <c r="F80">
        <v>7.1500000953674299</v>
      </c>
      <c r="G80">
        <v>10.077933311462401</v>
      </c>
      <c r="H80">
        <v>7.1500000953674299</v>
      </c>
      <c r="J80">
        <v>317.68868632316497</v>
      </c>
      <c r="K80">
        <v>316.854279589653</v>
      </c>
      <c r="L80" s="1">
        <v>43026</v>
      </c>
      <c r="M80">
        <v>325.85000009536702</v>
      </c>
      <c r="N80">
        <f t="shared" si="8"/>
        <v>321.10696640809334</v>
      </c>
      <c r="O80">
        <f t="shared" si="13"/>
        <v>1</v>
      </c>
      <c r="P80">
        <v>9.5689236219999998</v>
      </c>
      <c r="R80">
        <f t="shared" si="10"/>
        <v>341.63872407166701</v>
      </c>
      <c r="S80">
        <f t="shared" si="11"/>
        <v>310.06127611906703</v>
      </c>
      <c r="T80">
        <f t="shared" si="7"/>
        <v>1</v>
      </c>
      <c r="U80">
        <f t="shared" si="14"/>
        <v>1</v>
      </c>
    </row>
    <row r="81" spans="1:21" x14ac:dyDescent="0.3">
      <c r="A81" s="1">
        <v>42936</v>
      </c>
      <c r="B81" s="1">
        <v>43027</v>
      </c>
      <c r="C81">
        <v>325.49822769165002</v>
      </c>
      <c r="D81">
        <v>324.10000000000002</v>
      </c>
      <c r="E81">
        <v>319.60000000000002</v>
      </c>
      <c r="F81">
        <v>4.5</v>
      </c>
      <c r="G81">
        <v>5.8982276916503897</v>
      </c>
      <c r="H81">
        <v>4.5</v>
      </c>
      <c r="J81">
        <v>313.94643554687502</v>
      </c>
      <c r="K81">
        <v>324.06315293312002</v>
      </c>
      <c r="L81" s="1">
        <v>43027</v>
      </c>
      <c r="M81">
        <v>324.10000000000002</v>
      </c>
      <c r="N81">
        <f t="shared" si="8"/>
        <v>321.16927205721498</v>
      </c>
      <c r="O81">
        <f t="shared" si="13"/>
        <v>1</v>
      </c>
      <c r="P81">
        <v>9.2422643719999993</v>
      </c>
      <c r="R81">
        <f t="shared" si="10"/>
        <v>339.34973621380004</v>
      </c>
      <c r="S81">
        <f t="shared" si="11"/>
        <v>308.8502637862</v>
      </c>
      <c r="T81">
        <f t="shared" si="7"/>
        <v>1</v>
      </c>
      <c r="U81">
        <f t="shared" si="14"/>
        <v>1</v>
      </c>
    </row>
    <row r="82" spans="1:21" x14ac:dyDescent="0.3">
      <c r="A82" s="1">
        <v>42937</v>
      </c>
      <c r="B82" s="1">
        <v>43028</v>
      </c>
      <c r="C82">
        <v>334.53891334533603</v>
      </c>
      <c r="D82">
        <v>326.250000095367</v>
      </c>
      <c r="E82">
        <v>321.10000000000002</v>
      </c>
      <c r="F82">
        <v>5.1500000953674299</v>
      </c>
      <c r="G82">
        <v>13.4389133453369</v>
      </c>
      <c r="H82">
        <v>5.1500000953674299</v>
      </c>
      <c r="J82">
        <v>318.43497285842898</v>
      </c>
      <c r="K82">
        <v>321.08829097747798</v>
      </c>
      <c r="L82" s="1">
        <v>43028</v>
      </c>
      <c r="M82">
        <v>326.250000095367</v>
      </c>
      <c r="N82">
        <f t="shared" si="8"/>
        <v>324.68739239374764</v>
      </c>
      <c r="O82">
        <f t="shared" si="13"/>
        <v>1</v>
      </c>
      <c r="P82">
        <v>9.0064031040000003</v>
      </c>
      <c r="R82">
        <f t="shared" si="10"/>
        <v>341.11056521696702</v>
      </c>
      <c r="S82">
        <f t="shared" si="11"/>
        <v>311.38943497376698</v>
      </c>
      <c r="T82">
        <f t="shared" si="7"/>
        <v>1</v>
      </c>
      <c r="U82">
        <f t="shared" si="14"/>
        <v>1</v>
      </c>
    </row>
    <row r="83" spans="1:21" x14ac:dyDescent="0.3">
      <c r="A83" s="1">
        <v>42940</v>
      </c>
      <c r="B83" s="1">
        <v>43031</v>
      </c>
      <c r="C83">
        <v>327.312358856201</v>
      </c>
      <c r="D83">
        <v>327.05000019073401</v>
      </c>
      <c r="E83">
        <v>321.25</v>
      </c>
      <c r="F83">
        <v>5.8000001907348597</v>
      </c>
      <c r="G83">
        <v>6.0623588562011701</v>
      </c>
      <c r="H83">
        <v>5.8000001907348597</v>
      </c>
      <c r="J83">
        <v>317.85188603401099</v>
      </c>
      <c r="K83">
        <v>321.52690720558098</v>
      </c>
      <c r="L83" s="1">
        <v>43031</v>
      </c>
      <c r="M83">
        <v>327.05000019073401</v>
      </c>
      <c r="N83">
        <f t="shared" si="8"/>
        <v>322.23038403193101</v>
      </c>
      <c r="O83">
        <f t="shared" si="13"/>
        <v>1</v>
      </c>
      <c r="P83">
        <v>8.7728100349999991</v>
      </c>
      <c r="R83">
        <f t="shared" si="10"/>
        <v>341.52513674848399</v>
      </c>
      <c r="S83">
        <f t="shared" si="11"/>
        <v>312.57486363298403</v>
      </c>
      <c r="T83">
        <f t="shared" si="7"/>
        <v>1</v>
      </c>
      <c r="U83">
        <f t="shared" si="14"/>
        <v>1</v>
      </c>
    </row>
    <row r="84" spans="1:21" x14ac:dyDescent="0.3">
      <c r="A84" s="1">
        <v>42941</v>
      </c>
      <c r="B84" s="1">
        <v>43032</v>
      </c>
      <c r="C84">
        <v>325.84940233230498</v>
      </c>
      <c r="D84">
        <v>326.55000009536701</v>
      </c>
      <c r="E84">
        <v>319.64999999999998</v>
      </c>
      <c r="F84">
        <v>6.9000000953674299</v>
      </c>
      <c r="G84">
        <v>6.1994023323059002</v>
      </c>
      <c r="H84">
        <v>6.9000000953674299</v>
      </c>
      <c r="J84">
        <v>323.87332811355498</v>
      </c>
      <c r="K84">
        <v>326.55619602203302</v>
      </c>
      <c r="L84" s="1">
        <v>43032</v>
      </c>
      <c r="M84">
        <v>326.55000009536701</v>
      </c>
      <c r="N84">
        <f t="shared" si="8"/>
        <v>325.42630882263097</v>
      </c>
      <c r="O84">
        <f t="shared" si="13"/>
        <v>1</v>
      </c>
      <c r="P84">
        <v>8.5826155489999998</v>
      </c>
      <c r="R84">
        <f t="shared" si="10"/>
        <v>340.711315751217</v>
      </c>
      <c r="S84">
        <f t="shared" si="11"/>
        <v>312.38868443951702</v>
      </c>
      <c r="T84">
        <f t="shared" si="7"/>
        <v>1</v>
      </c>
      <c r="U84">
        <f t="shared" si="14"/>
        <v>1</v>
      </c>
    </row>
    <row r="85" spans="1:21" x14ac:dyDescent="0.3">
      <c r="A85" s="1">
        <v>42942</v>
      </c>
      <c r="B85" s="1">
        <v>43033</v>
      </c>
      <c r="C85">
        <v>326.843521308898</v>
      </c>
      <c r="D85">
        <v>326.750000190734</v>
      </c>
      <c r="E85">
        <v>318.95</v>
      </c>
      <c r="F85">
        <v>7.8000001907348597</v>
      </c>
      <c r="G85">
        <v>7.8935213088989196</v>
      </c>
      <c r="H85">
        <v>7.8000001907348597</v>
      </c>
      <c r="J85">
        <v>324.06793565750098</v>
      </c>
      <c r="K85">
        <v>324.50579164028102</v>
      </c>
      <c r="L85" s="1">
        <v>43033</v>
      </c>
      <c r="M85">
        <v>326.750000190734</v>
      </c>
      <c r="N85">
        <f t="shared" si="8"/>
        <v>325.13908286889335</v>
      </c>
      <c r="O85">
        <f t="shared" si="13"/>
        <v>1</v>
      </c>
      <c r="P85">
        <v>8.3847168799999992</v>
      </c>
      <c r="R85">
        <f t="shared" si="10"/>
        <v>340.58478304273399</v>
      </c>
      <c r="S85">
        <f t="shared" si="11"/>
        <v>312.91521733873401</v>
      </c>
      <c r="T85">
        <f t="shared" si="7"/>
        <v>1</v>
      </c>
      <c r="U85">
        <f t="shared" si="14"/>
        <v>1</v>
      </c>
    </row>
    <row r="86" spans="1:21" x14ac:dyDescent="0.3">
      <c r="A86" s="1">
        <v>42943</v>
      </c>
      <c r="B86" s="1">
        <v>43034</v>
      </c>
      <c r="C86">
        <v>327.344197368621</v>
      </c>
      <c r="D86">
        <v>323.750000095367</v>
      </c>
      <c r="E86">
        <v>319.85000000000002</v>
      </c>
      <c r="F86">
        <v>3.9000000953674299</v>
      </c>
      <c r="G86">
        <v>7.49419736862182</v>
      </c>
      <c r="H86">
        <v>3.9000000953674299</v>
      </c>
      <c r="J86">
        <v>325.96083650588901</v>
      </c>
      <c r="K86">
        <v>324.15955386161801</v>
      </c>
      <c r="L86" s="1">
        <v>43034</v>
      </c>
      <c r="M86">
        <v>323.750000095367</v>
      </c>
      <c r="N86">
        <f t="shared" si="8"/>
        <v>325.82152924537598</v>
      </c>
      <c r="O86">
        <f t="shared" si="13"/>
        <v>0</v>
      </c>
      <c r="P86">
        <v>8.2068212280000008</v>
      </c>
      <c r="R86">
        <f t="shared" si="10"/>
        <v>337.29125512156702</v>
      </c>
      <c r="S86">
        <f t="shared" si="11"/>
        <v>310.20874506916698</v>
      </c>
      <c r="T86">
        <f t="shared" si="7"/>
        <v>1</v>
      </c>
      <c r="U86">
        <f t="shared" si="14"/>
        <v>1</v>
      </c>
    </row>
    <row r="87" spans="1:21" x14ac:dyDescent="0.3">
      <c r="A87" s="1">
        <v>42944</v>
      </c>
      <c r="B87" s="1">
        <v>43035</v>
      </c>
      <c r="C87">
        <v>329.03694801330499</v>
      </c>
      <c r="D87">
        <v>326.85000019073402</v>
      </c>
      <c r="E87">
        <v>312.55</v>
      </c>
      <c r="F87">
        <v>14.300000190734799</v>
      </c>
      <c r="G87">
        <v>16.4869480133056</v>
      </c>
      <c r="H87">
        <v>14.300000190734799</v>
      </c>
      <c r="J87">
        <v>316.34547858238199</v>
      </c>
      <c r="K87">
        <v>328.58470201492298</v>
      </c>
      <c r="L87" s="1">
        <v>43035</v>
      </c>
      <c r="M87">
        <v>326.85000019073402</v>
      </c>
      <c r="N87">
        <f t="shared" si="8"/>
        <v>324.65570953687001</v>
      </c>
      <c r="O87">
        <f t="shared" si="13"/>
        <v>1</v>
      </c>
      <c r="P87">
        <v>7.881278633</v>
      </c>
      <c r="R87">
        <f t="shared" si="10"/>
        <v>339.854109935184</v>
      </c>
      <c r="S87">
        <f t="shared" si="11"/>
        <v>313.84589044628405</v>
      </c>
      <c r="T87">
        <f t="shared" si="7"/>
        <v>1</v>
      </c>
      <c r="U87">
        <f t="shared" si="14"/>
        <v>1</v>
      </c>
    </row>
    <row r="88" spans="1:21" x14ac:dyDescent="0.3">
      <c r="A88" s="1">
        <v>42947</v>
      </c>
      <c r="B88" s="1">
        <v>43038</v>
      </c>
      <c r="C88">
        <v>313.24878888130098</v>
      </c>
      <c r="D88">
        <v>327.44999961853</v>
      </c>
      <c r="E88">
        <v>313.55</v>
      </c>
      <c r="F88">
        <v>-13.899999618530201</v>
      </c>
      <c r="G88">
        <v>-0.30121111869812001</v>
      </c>
      <c r="H88">
        <v>13.899999618530201</v>
      </c>
      <c r="J88">
        <v>313.50918644964599</v>
      </c>
      <c r="K88">
        <v>329.16886119842502</v>
      </c>
      <c r="L88" s="1">
        <v>43038</v>
      </c>
      <c r="M88">
        <v>327.44999961853</v>
      </c>
      <c r="N88">
        <f t="shared" si="8"/>
        <v>318.64227884312396</v>
      </c>
      <c r="O88">
        <f t="shared" si="13"/>
        <v>1</v>
      </c>
      <c r="P88">
        <v>7.5336136170000003</v>
      </c>
      <c r="R88">
        <f t="shared" si="10"/>
        <v>339.88046208658</v>
      </c>
      <c r="S88">
        <f t="shared" si="11"/>
        <v>315.01953715048001</v>
      </c>
      <c r="T88">
        <f t="shared" si="7"/>
        <v>1</v>
      </c>
      <c r="U88">
        <f t="shared" si="14"/>
        <v>0</v>
      </c>
    </row>
    <row r="89" spans="1:21" x14ac:dyDescent="0.3">
      <c r="A89" s="1">
        <v>42948</v>
      </c>
      <c r="B89" s="1">
        <v>43039</v>
      </c>
      <c r="C89">
        <v>318.08848505020097</v>
      </c>
      <c r="D89">
        <v>331.05</v>
      </c>
      <c r="E89">
        <v>316.55</v>
      </c>
      <c r="F89">
        <v>14.5</v>
      </c>
      <c r="G89">
        <v>1.53848505020141</v>
      </c>
      <c r="H89">
        <v>14.5</v>
      </c>
      <c r="J89">
        <v>318.55382113456699</v>
      </c>
      <c r="K89">
        <v>327.17396216392501</v>
      </c>
      <c r="L89" s="1">
        <v>43039</v>
      </c>
      <c r="M89">
        <v>331.05</v>
      </c>
      <c r="N89">
        <f t="shared" si="8"/>
        <v>321.27208944956431</v>
      </c>
      <c r="O89">
        <f t="shared" si="13"/>
        <v>1</v>
      </c>
      <c r="P89">
        <v>7.2856713629999996</v>
      </c>
      <c r="R89">
        <f t="shared" si="10"/>
        <v>343.07135774894999</v>
      </c>
      <c r="S89">
        <f t="shared" si="11"/>
        <v>319.02864225105003</v>
      </c>
      <c r="T89">
        <f t="shared" si="7"/>
        <v>1</v>
      </c>
      <c r="U89">
        <f t="shared" si="14"/>
        <v>0</v>
      </c>
    </row>
    <row r="90" spans="1:21" x14ac:dyDescent="0.3">
      <c r="A90" s="1">
        <v>42949</v>
      </c>
      <c r="B90" s="1">
        <v>43040</v>
      </c>
      <c r="C90">
        <v>314.45996918678202</v>
      </c>
      <c r="D90">
        <v>336.54999961853002</v>
      </c>
      <c r="E90">
        <v>317.14999999999998</v>
      </c>
      <c r="F90">
        <v>-19.399999618530199</v>
      </c>
      <c r="G90">
        <v>-2.69003081321716</v>
      </c>
      <c r="H90">
        <v>19.399999618530199</v>
      </c>
      <c r="J90">
        <v>319.320138120651</v>
      </c>
      <c r="K90">
        <v>327.30798268318102</v>
      </c>
      <c r="L90" s="1">
        <v>43040</v>
      </c>
      <c r="M90">
        <v>336.54999961853002</v>
      </c>
      <c r="N90">
        <f t="shared" si="8"/>
        <v>320.36269666353797</v>
      </c>
      <c r="O90">
        <f t="shared" si="13"/>
        <v>1</v>
      </c>
      <c r="P90">
        <v>7.0162937080000001</v>
      </c>
      <c r="R90">
        <f t="shared" si="10"/>
        <v>348.12688423673001</v>
      </c>
      <c r="S90">
        <f t="shared" si="11"/>
        <v>324.97311500033004</v>
      </c>
      <c r="T90">
        <f t="shared" si="7"/>
        <v>0</v>
      </c>
      <c r="U90">
        <f t="shared" si="14"/>
        <v>0</v>
      </c>
    </row>
    <row r="91" spans="1:21" x14ac:dyDescent="0.3">
      <c r="A91" s="1">
        <v>42950</v>
      </c>
      <c r="B91" s="1">
        <v>43041</v>
      </c>
      <c r="C91">
        <v>317.180718803405</v>
      </c>
      <c r="D91">
        <v>335.04999961853002</v>
      </c>
      <c r="E91">
        <v>311.64999999999998</v>
      </c>
      <c r="F91">
        <v>23.399999618530199</v>
      </c>
      <c r="G91">
        <v>5.5307188034057599</v>
      </c>
      <c r="H91">
        <v>23.399999618530199</v>
      </c>
      <c r="J91">
        <v>317.15383901595999</v>
      </c>
      <c r="K91">
        <v>323.18649059533999</v>
      </c>
      <c r="L91" s="1">
        <v>43041</v>
      </c>
      <c r="M91">
        <v>335.04999961853002</v>
      </c>
      <c r="N91">
        <f t="shared" si="8"/>
        <v>319.17368280490172</v>
      </c>
      <c r="O91">
        <f t="shared" si="13"/>
        <v>1</v>
      </c>
      <c r="P91">
        <v>6.7457855430000002</v>
      </c>
      <c r="R91">
        <f t="shared" si="10"/>
        <v>346.18054576448003</v>
      </c>
      <c r="S91">
        <f t="shared" si="11"/>
        <v>323.91945347258002</v>
      </c>
      <c r="T91">
        <f t="shared" si="7"/>
        <v>0</v>
      </c>
      <c r="U91">
        <f t="shared" si="14"/>
        <v>0</v>
      </c>
    </row>
    <row r="92" spans="1:21" x14ac:dyDescent="0.3">
      <c r="A92" s="1">
        <v>42951</v>
      </c>
      <c r="B92" s="1">
        <v>43042</v>
      </c>
      <c r="C92">
        <v>316.210229969024</v>
      </c>
      <c r="D92">
        <v>336.35</v>
      </c>
      <c r="E92">
        <v>312.85000000000002</v>
      </c>
      <c r="F92">
        <v>23.5</v>
      </c>
      <c r="G92">
        <v>3.3602299690246502</v>
      </c>
      <c r="H92">
        <v>23.5</v>
      </c>
      <c r="J92">
        <v>317.34638700485198</v>
      </c>
      <c r="K92">
        <v>326.17631188630997</v>
      </c>
      <c r="L92" s="1">
        <v>43042</v>
      </c>
      <c r="M92">
        <v>336.35</v>
      </c>
      <c r="N92">
        <f t="shared" si="8"/>
        <v>319.91097628672861</v>
      </c>
      <c r="O92">
        <f t="shared" si="13"/>
        <v>1</v>
      </c>
      <c r="P92">
        <v>6.4602585010000002</v>
      </c>
      <c r="R92">
        <f t="shared" si="10"/>
        <v>347.00942652665003</v>
      </c>
      <c r="S92">
        <f t="shared" si="11"/>
        <v>325.69057347335001</v>
      </c>
      <c r="T92">
        <f t="shared" si="7"/>
        <v>0</v>
      </c>
      <c r="U92">
        <f t="shared" si="14"/>
        <v>0</v>
      </c>
    </row>
    <row r="93" spans="1:21" x14ac:dyDescent="0.3">
      <c r="A93" s="1">
        <v>42954</v>
      </c>
      <c r="B93" s="1">
        <v>43045</v>
      </c>
      <c r="C93">
        <v>319.20445528030302</v>
      </c>
      <c r="D93">
        <v>334.15</v>
      </c>
      <c r="E93">
        <v>312.89999999999998</v>
      </c>
      <c r="F93">
        <v>21.25</v>
      </c>
      <c r="G93">
        <v>6.3044552803039497</v>
      </c>
      <c r="H93">
        <v>21.25</v>
      </c>
      <c r="J93">
        <v>314.334689998626</v>
      </c>
      <c r="K93">
        <v>325.93182952403998</v>
      </c>
      <c r="L93" s="1">
        <v>43045</v>
      </c>
      <c r="M93">
        <v>334.15</v>
      </c>
      <c r="N93">
        <f t="shared" si="8"/>
        <v>319.82365826765636</v>
      </c>
      <c r="O93">
        <f t="shared" si="13"/>
        <v>1</v>
      </c>
      <c r="P93">
        <v>6.3934764299999998</v>
      </c>
      <c r="R93">
        <f t="shared" si="10"/>
        <v>344.69923610949996</v>
      </c>
      <c r="S93">
        <f t="shared" si="11"/>
        <v>323.60076389049999</v>
      </c>
      <c r="T93">
        <f t="shared" si="7"/>
        <v>0</v>
      </c>
      <c r="U93">
        <f t="shared" si="14"/>
        <v>0</v>
      </c>
    </row>
    <row r="94" spans="1:21" x14ac:dyDescent="0.3">
      <c r="A94" s="1">
        <v>42955</v>
      </c>
      <c r="B94" s="1">
        <v>43046</v>
      </c>
      <c r="C94">
        <v>316.70343146324097</v>
      </c>
      <c r="D94">
        <v>333.74999961853001</v>
      </c>
      <c r="E94">
        <v>312.85000000000002</v>
      </c>
      <c r="F94">
        <v>20.899999618530199</v>
      </c>
      <c r="G94">
        <v>3.85343146324157</v>
      </c>
      <c r="H94">
        <v>20.899999618530199</v>
      </c>
      <c r="J94">
        <v>315.93098697662299</v>
      </c>
      <c r="K94">
        <v>331.91978620290701</v>
      </c>
      <c r="L94" s="1">
        <v>43046</v>
      </c>
      <c r="M94">
        <v>333.74999961853001</v>
      </c>
      <c r="N94">
        <f t="shared" si="8"/>
        <v>321.51806821425703</v>
      </c>
      <c r="O94">
        <f>IF((D94-E94)*(D94-N94)&gt;0,1,0)</f>
        <v>1</v>
      </c>
      <c r="P94">
        <v>6.3198931380000003</v>
      </c>
      <c r="R94">
        <f t="shared" si="10"/>
        <v>344.17782329623003</v>
      </c>
      <c r="S94">
        <f t="shared" si="11"/>
        <v>323.32217594082999</v>
      </c>
      <c r="T94">
        <f t="shared" si="7"/>
        <v>0</v>
      </c>
      <c r="U94">
        <f t="shared" si="14"/>
        <v>0</v>
      </c>
    </row>
    <row r="95" spans="1:21" x14ac:dyDescent="0.3">
      <c r="A95" s="1">
        <v>42956</v>
      </c>
      <c r="B95" s="1">
        <v>43047</v>
      </c>
      <c r="C95">
        <v>323.72359886169397</v>
      </c>
      <c r="D95">
        <v>335.25000038146902</v>
      </c>
      <c r="E95">
        <v>308.64999999999998</v>
      </c>
      <c r="F95">
        <v>26.600000381469702</v>
      </c>
      <c r="G95">
        <v>15.0735988616943</v>
      </c>
      <c r="H95">
        <v>26.600000381469702</v>
      </c>
      <c r="J95">
        <v>316.789464378356</v>
      </c>
      <c r="K95">
        <v>336.513573902845</v>
      </c>
      <c r="L95" s="1">
        <v>43047</v>
      </c>
      <c r="M95">
        <v>335.25000038146902</v>
      </c>
      <c r="N95">
        <f t="shared" si="8"/>
        <v>325.67554571429832</v>
      </c>
      <c r="O95">
        <f t="shared" ref="O95:O114" si="15">IF((D95-E95)*(D95-N95)&gt;0,1,0)</f>
        <v>1</v>
      </c>
      <c r="P95">
        <v>6.1089700950000001</v>
      </c>
      <c r="R95">
        <f t="shared" si="10"/>
        <v>345.32980103821905</v>
      </c>
      <c r="S95">
        <f t="shared" si="11"/>
        <v>325.170199724719</v>
      </c>
      <c r="T95">
        <f t="shared" si="7"/>
        <v>1</v>
      </c>
      <c r="U95">
        <f t="shared" si="14"/>
        <v>0</v>
      </c>
    </row>
    <row r="96" spans="1:21" x14ac:dyDescent="0.3">
      <c r="A96" s="1">
        <v>42957</v>
      </c>
      <c r="B96" s="1">
        <v>43048</v>
      </c>
      <c r="C96">
        <v>324.76900291442797</v>
      </c>
      <c r="D96">
        <v>333.64999961852999</v>
      </c>
      <c r="E96">
        <v>307.25</v>
      </c>
      <c r="F96">
        <v>26.399999618530199</v>
      </c>
      <c r="G96">
        <v>17.5190029144287</v>
      </c>
      <c r="H96">
        <v>26.399999618530199</v>
      </c>
      <c r="J96">
        <v>318.10406398773102</v>
      </c>
      <c r="K96">
        <v>334.45779364109001</v>
      </c>
      <c r="L96" s="1">
        <v>43048</v>
      </c>
      <c r="M96">
        <v>333.64999961852999</v>
      </c>
      <c r="N96">
        <f t="shared" si="8"/>
        <v>325.77695351441633</v>
      </c>
      <c r="O96">
        <f t="shared" si="15"/>
        <v>1</v>
      </c>
      <c r="P96">
        <v>6.0001028639999996</v>
      </c>
      <c r="R96">
        <f t="shared" si="10"/>
        <v>343.55016934412998</v>
      </c>
      <c r="S96">
        <f t="shared" si="11"/>
        <v>323.74982989292999</v>
      </c>
      <c r="T96">
        <f t="shared" si="7"/>
        <v>1</v>
      </c>
      <c r="U96">
        <f t="shared" si="14"/>
        <v>1</v>
      </c>
    </row>
    <row r="97" spans="1:21" x14ac:dyDescent="0.3">
      <c r="A97" s="1">
        <v>42958</v>
      </c>
      <c r="B97" s="1">
        <v>43049</v>
      </c>
      <c r="C97">
        <v>321.37999153137201</v>
      </c>
      <c r="D97">
        <v>332.89999961852999</v>
      </c>
      <c r="E97">
        <v>301.5</v>
      </c>
      <c r="F97">
        <v>31.399999618530199</v>
      </c>
      <c r="G97">
        <v>19.879991531371999</v>
      </c>
      <c r="H97">
        <v>31.399999618530199</v>
      </c>
      <c r="J97">
        <v>314.03529739379798</v>
      </c>
      <c r="K97">
        <v>338.262282586097</v>
      </c>
      <c r="L97" s="1">
        <v>43049</v>
      </c>
      <c r="M97">
        <v>332.89999961852999</v>
      </c>
      <c r="N97">
        <f t="shared" si="8"/>
        <v>324.55919050375564</v>
      </c>
      <c r="O97">
        <f t="shared" si="15"/>
        <v>1</v>
      </c>
      <c r="P97">
        <v>5.9285993000000001</v>
      </c>
      <c r="R97">
        <f t="shared" si="10"/>
        <v>342.68218846353</v>
      </c>
      <c r="S97">
        <f t="shared" si="11"/>
        <v>323.11781077352998</v>
      </c>
      <c r="T97">
        <f t="shared" si="7"/>
        <v>1</v>
      </c>
      <c r="U97">
        <f>IF(AND((C97-E97)*(D97-E97)&gt;0,AND(C97&lt;R97,C97&gt;S97)),1,0)</f>
        <v>0</v>
      </c>
    </row>
    <row r="98" spans="1:21" x14ac:dyDescent="0.3">
      <c r="A98" s="1">
        <v>42961</v>
      </c>
      <c r="B98" s="1">
        <v>43052</v>
      </c>
      <c r="C98">
        <v>326.486781692504</v>
      </c>
      <c r="D98">
        <v>331.55000076293902</v>
      </c>
      <c r="E98">
        <v>304.60000000000002</v>
      </c>
      <c r="F98">
        <v>26.9500007629394</v>
      </c>
      <c r="G98">
        <v>21.886781692504801</v>
      </c>
      <c r="H98">
        <v>26.9500007629394</v>
      </c>
      <c r="J98">
        <v>309.53542861938399</v>
      </c>
      <c r="K98">
        <v>333.08710529804199</v>
      </c>
      <c r="L98" s="1">
        <v>43052</v>
      </c>
      <c r="M98">
        <v>331.55000076293902</v>
      </c>
      <c r="N98">
        <f t="shared" si="8"/>
        <v>323.03643853664335</v>
      </c>
      <c r="O98">
        <f t="shared" si="15"/>
        <v>1</v>
      </c>
      <c r="P98">
        <v>5.8287809619999997</v>
      </c>
      <c r="R98">
        <f t="shared" si="10"/>
        <v>341.16748935023901</v>
      </c>
      <c r="S98">
        <f t="shared" si="11"/>
        <v>321.93251217563903</v>
      </c>
      <c r="T98">
        <f t="shared" si="7"/>
        <v>1</v>
      </c>
      <c r="U98">
        <f t="shared" ref="U98:U104" si="16">IF(AND((C98-E98)*(D98-E98)&gt;0,AND(C98&lt;R98,C98&gt;S98)),1,0)</f>
        <v>1</v>
      </c>
    </row>
    <row r="99" spans="1:21" x14ac:dyDescent="0.3">
      <c r="A99" s="1">
        <v>42962</v>
      </c>
      <c r="B99" s="1">
        <v>43053</v>
      </c>
      <c r="C99">
        <v>324.818431472778</v>
      </c>
      <c r="D99">
        <v>331.30000076293902</v>
      </c>
      <c r="E99">
        <v>304.60000000000002</v>
      </c>
      <c r="F99">
        <v>26.7000007629394</v>
      </c>
      <c r="G99">
        <v>20.218431472778299</v>
      </c>
      <c r="H99">
        <v>26.7000007629394</v>
      </c>
      <c r="J99">
        <v>310.753201580047</v>
      </c>
      <c r="K99">
        <v>333.69934028387001</v>
      </c>
      <c r="L99" s="1">
        <v>43053</v>
      </c>
      <c r="M99">
        <v>331.30000076293902</v>
      </c>
      <c r="N99">
        <f t="shared" si="8"/>
        <v>323.09032444556505</v>
      </c>
      <c r="O99">
        <f t="shared" si="15"/>
        <v>1</v>
      </c>
      <c r="P99">
        <v>5.7148547580000004</v>
      </c>
      <c r="R99">
        <f t="shared" si="10"/>
        <v>340.72951111363903</v>
      </c>
      <c r="S99">
        <f t="shared" si="11"/>
        <v>321.87049041223901</v>
      </c>
      <c r="T99">
        <f t="shared" si="7"/>
        <v>1</v>
      </c>
      <c r="U99">
        <f t="shared" si="16"/>
        <v>1</v>
      </c>
    </row>
    <row r="100" spans="1:21" x14ac:dyDescent="0.3">
      <c r="A100" s="1">
        <v>42963</v>
      </c>
      <c r="B100" s="1">
        <v>43054</v>
      </c>
      <c r="C100">
        <v>322.65913581848099</v>
      </c>
      <c r="D100">
        <v>329.14999961852999</v>
      </c>
      <c r="E100">
        <v>306.25</v>
      </c>
      <c r="F100">
        <v>22.899999618530199</v>
      </c>
      <c r="G100">
        <v>16.409135818481399</v>
      </c>
      <c r="H100">
        <v>22.899999618530199</v>
      </c>
      <c r="J100">
        <v>312.74993371963501</v>
      </c>
      <c r="K100">
        <v>334.52765178680397</v>
      </c>
      <c r="L100" s="1">
        <v>43054</v>
      </c>
      <c r="M100">
        <v>329.14999961852999</v>
      </c>
      <c r="N100">
        <f t="shared" si="8"/>
        <v>323.31224044163997</v>
      </c>
      <c r="O100">
        <f t="shared" si="15"/>
        <v>1</v>
      </c>
      <c r="P100">
        <v>5.5839999359999997</v>
      </c>
      <c r="R100">
        <f t="shared" si="10"/>
        <v>338.36359951292997</v>
      </c>
      <c r="S100">
        <f t="shared" si="11"/>
        <v>319.93639972413001</v>
      </c>
      <c r="T100">
        <f t="shared" si="7"/>
        <v>1</v>
      </c>
      <c r="U100">
        <f t="shared" si="16"/>
        <v>1</v>
      </c>
    </row>
    <row r="101" spans="1:21" x14ac:dyDescent="0.3">
      <c r="A101" s="1">
        <v>42964</v>
      </c>
      <c r="B101" s="1">
        <v>43055</v>
      </c>
      <c r="C101">
        <v>323.02290954589802</v>
      </c>
      <c r="D101">
        <v>331.29999961853002</v>
      </c>
      <c r="E101">
        <v>307.89999999999998</v>
      </c>
      <c r="F101">
        <v>23.399999618530199</v>
      </c>
      <c r="G101">
        <v>15.1229095458984</v>
      </c>
      <c r="H101">
        <v>23.399999618530199</v>
      </c>
      <c r="J101">
        <v>316.67849960327101</v>
      </c>
      <c r="K101">
        <v>334.129759514331</v>
      </c>
      <c r="L101" s="1">
        <v>43055</v>
      </c>
      <c r="M101">
        <v>331.29999961853002</v>
      </c>
      <c r="N101">
        <f t="shared" si="8"/>
        <v>324.61038955449999</v>
      </c>
      <c r="O101">
        <f t="shared" si="15"/>
        <v>1</v>
      </c>
      <c r="P101">
        <v>5.4069397629999996</v>
      </c>
      <c r="R101">
        <f t="shared" si="10"/>
        <v>340.22145022748003</v>
      </c>
      <c r="S101">
        <f t="shared" si="11"/>
        <v>322.37854900958001</v>
      </c>
      <c r="T101">
        <f t="shared" si="7"/>
        <v>1</v>
      </c>
      <c r="U101">
        <f t="shared" si="16"/>
        <v>1</v>
      </c>
    </row>
    <row r="102" spans="1:21" x14ac:dyDescent="0.3">
      <c r="A102" s="1">
        <v>42965</v>
      </c>
      <c r="B102" s="1">
        <v>43056</v>
      </c>
      <c r="C102">
        <v>323.12482643127402</v>
      </c>
      <c r="D102">
        <v>330.950000762939</v>
      </c>
      <c r="E102">
        <v>307.75</v>
      </c>
      <c r="F102">
        <v>23.2000007629394</v>
      </c>
      <c r="G102">
        <v>15.3748264312744</v>
      </c>
      <c r="H102">
        <v>23.2000007629394</v>
      </c>
      <c r="J102">
        <v>314.592259407043</v>
      </c>
      <c r="K102">
        <v>334.93152561187702</v>
      </c>
      <c r="L102" s="1">
        <v>43056</v>
      </c>
      <c r="M102">
        <v>330.950000762939</v>
      </c>
      <c r="N102">
        <f t="shared" si="8"/>
        <v>324.21620381673137</v>
      </c>
      <c r="O102">
        <f t="shared" si="15"/>
        <v>1</v>
      </c>
      <c r="P102">
        <v>5.206907395</v>
      </c>
      <c r="R102">
        <f t="shared" si="10"/>
        <v>339.541397964689</v>
      </c>
      <c r="S102">
        <f t="shared" si="11"/>
        <v>322.358603561189</v>
      </c>
      <c r="T102">
        <f t="shared" si="7"/>
        <v>1</v>
      </c>
      <c r="U102">
        <f t="shared" si="16"/>
        <v>1</v>
      </c>
    </row>
    <row r="103" spans="1:21" x14ac:dyDescent="0.3">
      <c r="A103" s="1">
        <v>42968</v>
      </c>
      <c r="B103" s="1">
        <v>43059</v>
      </c>
      <c r="C103">
        <v>319.13332252502403</v>
      </c>
      <c r="D103">
        <v>329.44999961853</v>
      </c>
      <c r="E103">
        <v>307.05</v>
      </c>
      <c r="F103">
        <v>22.399999618530199</v>
      </c>
      <c r="G103">
        <v>12.0833225250244</v>
      </c>
      <c r="H103">
        <v>22.399999618530199</v>
      </c>
      <c r="J103">
        <v>312.678251552581</v>
      </c>
      <c r="K103">
        <v>331.85092105269399</v>
      </c>
      <c r="L103" s="1">
        <v>43059</v>
      </c>
      <c r="M103">
        <v>329.44999961853</v>
      </c>
      <c r="N103">
        <f t="shared" si="8"/>
        <v>321.22083171009967</v>
      </c>
      <c r="O103">
        <f t="shared" si="15"/>
        <v>1</v>
      </c>
      <c r="P103">
        <v>5.0805473660000002</v>
      </c>
      <c r="R103">
        <f t="shared" si="10"/>
        <v>337.83290277242997</v>
      </c>
      <c r="S103">
        <f t="shared" si="11"/>
        <v>321.06709646463003</v>
      </c>
      <c r="T103">
        <f t="shared" si="7"/>
        <v>1</v>
      </c>
      <c r="U103">
        <f t="shared" si="16"/>
        <v>0</v>
      </c>
    </row>
    <row r="104" spans="1:21" x14ac:dyDescent="0.3">
      <c r="A104" s="1">
        <v>42969</v>
      </c>
      <c r="B104" s="1">
        <v>43060</v>
      </c>
      <c r="C104">
        <v>324.18643875122001</v>
      </c>
      <c r="D104">
        <v>330.84999961852998</v>
      </c>
      <c r="E104">
        <v>308.7</v>
      </c>
      <c r="F104">
        <v>22.149999618530199</v>
      </c>
      <c r="G104">
        <v>15.4864387512207</v>
      </c>
      <c r="H104">
        <v>22.149999618530199</v>
      </c>
      <c r="J104">
        <v>315.71892423629703</v>
      </c>
      <c r="K104">
        <v>330.35681234598098</v>
      </c>
      <c r="L104" s="1">
        <v>43060</v>
      </c>
      <c r="M104">
        <v>330.84999961852998</v>
      </c>
      <c r="N104">
        <f t="shared" si="8"/>
        <v>323.42072511116601</v>
      </c>
      <c r="O104">
        <f t="shared" si="15"/>
        <v>1</v>
      </c>
      <c r="P104">
        <v>4.9492705370000003</v>
      </c>
      <c r="R104">
        <f t="shared" si="10"/>
        <v>339.01629600458</v>
      </c>
      <c r="S104">
        <f t="shared" si="11"/>
        <v>322.68370323247996</v>
      </c>
      <c r="T104">
        <f t="shared" si="7"/>
        <v>1</v>
      </c>
      <c r="U104">
        <f t="shared" si="16"/>
        <v>1</v>
      </c>
    </row>
    <row r="105" spans="1:21" x14ac:dyDescent="0.3">
      <c r="A105" s="1">
        <v>42970</v>
      </c>
      <c r="B105" s="1">
        <v>43061</v>
      </c>
      <c r="C105">
        <v>318.14572868347102</v>
      </c>
      <c r="D105">
        <v>332.55000076293902</v>
      </c>
      <c r="E105">
        <v>308.60000000000002</v>
      </c>
      <c r="F105">
        <v>23.9500007629394</v>
      </c>
      <c r="G105">
        <v>9.5457286834716797</v>
      </c>
      <c r="H105">
        <v>23.9500007629394</v>
      </c>
      <c r="J105">
        <v>319.26769504547099</v>
      </c>
      <c r="K105">
        <v>326.13477482795702</v>
      </c>
      <c r="L105" s="1">
        <v>43061</v>
      </c>
      <c r="M105">
        <v>332.55000076293902</v>
      </c>
      <c r="N105">
        <f t="shared" si="8"/>
        <v>321.18273285229969</v>
      </c>
      <c r="O105">
        <f t="shared" si="15"/>
        <v>1</v>
      </c>
      <c r="P105">
        <v>4.8370972300000004</v>
      </c>
      <c r="R105">
        <f t="shared" si="10"/>
        <v>340.531211192439</v>
      </c>
      <c r="S105">
        <f t="shared" si="11"/>
        <v>324.56879033343904</v>
      </c>
      <c r="T105">
        <f t="shared" si="7"/>
        <v>0</v>
      </c>
      <c r="U105">
        <f>IF(AND((C105-E105)*(D105-E105)&gt;0,AND(C105&lt;R105,C105&gt;S105)),1,0)</f>
        <v>0</v>
      </c>
    </row>
    <row r="106" spans="1:21" x14ac:dyDescent="0.3">
      <c r="A106" s="1">
        <v>42971</v>
      </c>
      <c r="B106" s="1">
        <v>43062</v>
      </c>
      <c r="C106">
        <v>326.17336235046298</v>
      </c>
      <c r="D106">
        <v>331.45000038146901</v>
      </c>
      <c r="E106">
        <v>310.10000000000002</v>
      </c>
      <c r="F106">
        <v>21.350000381469702</v>
      </c>
      <c r="G106">
        <v>16.0733623504638</v>
      </c>
      <c r="H106">
        <v>21.350000381469702</v>
      </c>
      <c r="J106">
        <v>320.04977474212598</v>
      </c>
      <c r="K106">
        <v>327.539580631256</v>
      </c>
      <c r="L106" s="1">
        <v>43062</v>
      </c>
      <c r="M106">
        <v>331.45000038146901</v>
      </c>
      <c r="N106">
        <f t="shared" si="8"/>
        <v>324.58757257461502</v>
      </c>
      <c r="O106">
        <f t="shared" si="15"/>
        <v>1</v>
      </c>
      <c r="P106">
        <v>4.7956109739999997</v>
      </c>
      <c r="R106">
        <f t="shared" si="10"/>
        <v>339.362758488569</v>
      </c>
      <c r="S106">
        <f t="shared" si="11"/>
        <v>323.53724227436902</v>
      </c>
      <c r="T106">
        <f t="shared" si="7"/>
        <v>1</v>
      </c>
      <c r="U106">
        <f t="shared" ref="U106:U116" si="17">IF(AND((C106-E106)*(D106-E106)&gt;0,AND(C106&lt;R106,C106&gt;S106)),1,0)</f>
        <v>1</v>
      </c>
    </row>
    <row r="107" spans="1:21" x14ac:dyDescent="0.3">
      <c r="A107" s="1">
        <v>42972</v>
      </c>
      <c r="B107" s="1">
        <v>43063</v>
      </c>
      <c r="C107">
        <v>315.73109531402503</v>
      </c>
      <c r="D107">
        <v>332.25</v>
      </c>
      <c r="E107">
        <v>310.25</v>
      </c>
      <c r="F107">
        <v>22</v>
      </c>
      <c r="G107">
        <v>5.48109531402587</v>
      </c>
      <c r="H107">
        <v>22</v>
      </c>
      <c r="J107">
        <v>313.601493358612</v>
      </c>
      <c r="K107">
        <v>327.54155702590901</v>
      </c>
      <c r="L107" s="1">
        <v>43063</v>
      </c>
      <c r="M107">
        <v>332.25</v>
      </c>
      <c r="N107">
        <f t="shared" si="8"/>
        <v>318.95804856618201</v>
      </c>
      <c r="O107">
        <f t="shared" si="15"/>
        <v>1</v>
      </c>
      <c r="P107">
        <v>4.7782155399999997</v>
      </c>
      <c r="R107">
        <f t="shared" si="10"/>
        <v>340.13405564099997</v>
      </c>
      <c r="S107">
        <f t="shared" si="11"/>
        <v>324.36594435900003</v>
      </c>
      <c r="T107">
        <f t="shared" si="7"/>
        <v>0</v>
      </c>
      <c r="U107">
        <f t="shared" si="17"/>
        <v>0</v>
      </c>
    </row>
    <row r="108" spans="1:21" x14ac:dyDescent="0.3">
      <c r="A108" s="1">
        <v>42975</v>
      </c>
      <c r="B108" s="1">
        <v>43066</v>
      </c>
      <c r="C108">
        <v>316.13540382385202</v>
      </c>
      <c r="D108">
        <v>325.90000076293899</v>
      </c>
      <c r="E108">
        <v>308.2</v>
      </c>
      <c r="F108">
        <v>17.7000007629394</v>
      </c>
      <c r="G108">
        <v>7.9354038238525302</v>
      </c>
      <c r="H108">
        <v>17.7000007629394</v>
      </c>
      <c r="J108">
        <v>310.89795465469302</v>
      </c>
      <c r="K108">
        <v>329.486447525024</v>
      </c>
      <c r="L108" s="1">
        <v>43066</v>
      </c>
      <c r="M108">
        <v>325.90000076293899</v>
      </c>
      <c r="N108">
        <f t="shared" si="8"/>
        <v>318.83993533452303</v>
      </c>
      <c r="O108">
        <f t="shared" si="15"/>
        <v>1</v>
      </c>
      <c r="P108">
        <v>4.7636774239999999</v>
      </c>
      <c r="R108">
        <f t="shared" si="10"/>
        <v>333.76006851253896</v>
      </c>
      <c r="S108">
        <f t="shared" si="11"/>
        <v>318.03993301333901</v>
      </c>
      <c r="T108">
        <f t="shared" si="7"/>
        <v>1</v>
      </c>
      <c r="U108">
        <f t="shared" si="17"/>
        <v>0</v>
      </c>
    </row>
    <row r="109" spans="1:21" x14ac:dyDescent="0.3">
      <c r="A109" s="1">
        <v>42976</v>
      </c>
      <c r="B109" s="1">
        <v>43067</v>
      </c>
      <c r="C109">
        <v>313.52835788726799</v>
      </c>
      <c r="D109">
        <v>327.69999923706001</v>
      </c>
      <c r="E109">
        <v>307.14999999999998</v>
      </c>
      <c r="F109">
        <v>20.549999237060501</v>
      </c>
      <c r="G109">
        <v>6.3783578872680602</v>
      </c>
      <c r="H109">
        <v>20.549999237060501</v>
      </c>
      <c r="J109">
        <v>308.39739253520901</v>
      </c>
      <c r="K109">
        <v>331.407840943336</v>
      </c>
      <c r="L109" s="1">
        <v>43067</v>
      </c>
      <c r="M109">
        <v>327.69999923706001</v>
      </c>
      <c r="N109">
        <f t="shared" si="8"/>
        <v>317.77786378860429</v>
      </c>
      <c r="O109">
        <f t="shared" si="15"/>
        <v>1</v>
      </c>
      <c r="P109">
        <v>4.7179686690000002</v>
      </c>
      <c r="R109">
        <f t="shared" si="10"/>
        <v>335.48464754091003</v>
      </c>
      <c r="S109">
        <f t="shared" si="11"/>
        <v>319.91535093320999</v>
      </c>
      <c r="T109">
        <f t="shared" si="7"/>
        <v>0</v>
      </c>
      <c r="U109">
        <f t="shared" si="17"/>
        <v>0</v>
      </c>
    </row>
    <row r="110" spans="1:21" x14ac:dyDescent="0.3">
      <c r="A110" s="1">
        <v>42977</v>
      </c>
      <c r="B110" s="1">
        <v>43068</v>
      </c>
      <c r="C110">
        <v>313.39508581161499</v>
      </c>
      <c r="D110">
        <v>327.700000762939</v>
      </c>
      <c r="E110">
        <v>309</v>
      </c>
      <c r="F110">
        <v>18.7000007629394</v>
      </c>
      <c r="G110">
        <v>4.3950858116149902</v>
      </c>
      <c r="H110">
        <v>18.7000007629394</v>
      </c>
      <c r="J110">
        <v>313.69764089584299</v>
      </c>
      <c r="K110">
        <v>330.77452688217102</v>
      </c>
      <c r="L110" s="1">
        <v>43068</v>
      </c>
      <c r="M110">
        <v>327.700000762939</v>
      </c>
      <c r="N110">
        <f t="shared" si="8"/>
        <v>319.28908452987633</v>
      </c>
      <c r="O110">
        <f t="shared" si="15"/>
        <v>1</v>
      </c>
      <c r="P110">
        <v>4.6689191990000003</v>
      </c>
      <c r="R110">
        <f t="shared" si="10"/>
        <v>335.40371744128902</v>
      </c>
      <c r="S110">
        <f t="shared" si="11"/>
        <v>319.99628408458898</v>
      </c>
      <c r="T110">
        <f t="shared" si="7"/>
        <v>0</v>
      </c>
      <c r="U110">
        <f t="shared" si="17"/>
        <v>0</v>
      </c>
    </row>
    <row r="111" spans="1:21" x14ac:dyDescent="0.3">
      <c r="A111" s="1">
        <v>42978</v>
      </c>
      <c r="B111" s="1">
        <v>43069</v>
      </c>
      <c r="C111">
        <v>317.32453670501701</v>
      </c>
      <c r="D111">
        <v>322.25000038146902</v>
      </c>
      <c r="E111">
        <v>306.64999999999998</v>
      </c>
      <c r="F111">
        <v>15.6000003814697</v>
      </c>
      <c r="G111">
        <v>10.674536705016999</v>
      </c>
      <c r="H111">
        <v>15.6000003814697</v>
      </c>
      <c r="J111">
        <v>314.37400808334303</v>
      </c>
      <c r="K111">
        <v>327.211708259582</v>
      </c>
      <c r="L111" s="1">
        <v>43069</v>
      </c>
      <c r="M111">
        <v>322.25000038146902</v>
      </c>
      <c r="N111">
        <f t="shared" si="8"/>
        <v>319.63675101598068</v>
      </c>
      <c r="O111">
        <f t="shared" si="15"/>
        <v>1</v>
      </c>
      <c r="P111">
        <v>4.6234803900000001</v>
      </c>
      <c r="R111">
        <f t="shared" si="10"/>
        <v>329.87874302496903</v>
      </c>
      <c r="S111">
        <f t="shared" si="11"/>
        <v>314.62125773796902</v>
      </c>
      <c r="T111">
        <f t="shared" si="7"/>
        <v>1</v>
      </c>
      <c r="U111">
        <f t="shared" si="17"/>
        <v>1</v>
      </c>
    </row>
    <row r="112" spans="1:21" x14ac:dyDescent="0.3">
      <c r="A112" s="1">
        <v>42979</v>
      </c>
      <c r="B112" s="1">
        <v>43070</v>
      </c>
      <c r="C112">
        <v>317.408364105224</v>
      </c>
      <c r="D112">
        <v>321.85000019073402</v>
      </c>
      <c r="E112">
        <v>306.3</v>
      </c>
      <c r="F112">
        <v>15.550000190734799</v>
      </c>
      <c r="G112">
        <v>11.1083641052246</v>
      </c>
      <c r="H112">
        <v>15.550000190734799</v>
      </c>
      <c r="J112">
        <v>311.84707050323402</v>
      </c>
      <c r="K112">
        <v>328.15401887893597</v>
      </c>
      <c r="L112" s="1">
        <v>43070</v>
      </c>
      <c r="M112">
        <v>321.85000019073402</v>
      </c>
      <c r="N112">
        <f t="shared" si="8"/>
        <v>319.13648449579802</v>
      </c>
      <c r="O112">
        <f t="shared" si="15"/>
        <v>1</v>
      </c>
      <c r="P112">
        <v>4.6420039549999998</v>
      </c>
      <c r="R112">
        <f t="shared" si="10"/>
        <v>329.50930671648405</v>
      </c>
      <c r="S112">
        <f t="shared" si="11"/>
        <v>314.190693664984</v>
      </c>
      <c r="T112">
        <f t="shared" si="7"/>
        <v>1</v>
      </c>
      <c r="U112">
        <f t="shared" si="17"/>
        <v>1</v>
      </c>
    </row>
    <row r="113" spans="1:21" x14ac:dyDescent="0.3">
      <c r="A113" s="1">
        <v>42982</v>
      </c>
      <c r="B113" s="1">
        <v>43073</v>
      </c>
      <c r="C113">
        <v>319.97857475280699</v>
      </c>
      <c r="D113">
        <v>325</v>
      </c>
      <c r="E113">
        <v>303.5</v>
      </c>
      <c r="F113">
        <v>21.5</v>
      </c>
      <c r="G113">
        <v>16.478574752807599</v>
      </c>
      <c r="H113">
        <v>21.5</v>
      </c>
      <c r="J113">
        <v>309.78306913375798</v>
      </c>
      <c r="K113">
        <v>329.49951829910202</v>
      </c>
      <c r="L113" s="1">
        <v>43073</v>
      </c>
      <c r="M113">
        <v>325</v>
      </c>
      <c r="N113">
        <f t="shared" si="8"/>
        <v>319.75372072855566</v>
      </c>
      <c r="O113">
        <f t="shared" si="15"/>
        <v>1</v>
      </c>
      <c r="P113">
        <v>4.7134926779999997</v>
      </c>
      <c r="R113">
        <f t="shared" si="10"/>
        <v>332.77726291869999</v>
      </c>
      <c r="S113">
        <f t="shared" si="11"/>
        <v>317.22273708130001</v>
      </c>
      <c r="T113">
        <f t="shared" si="7"/>
        <v>1</v>
      </c>
      <c r="U113">
        <f t="shared" si="17"/>
        <v>1</v>
      </c>
    </row>
    <row r="114" spans="1:21" x14ac:dyDescent="0.3">
      <c r="A114" s="1">
        <v>42983</v>
      </c>
      <c r="B114" s="1">
        <v>43074</v>
      </c>
      <c r="C114">
        <v>310.48561401367101</v>
      </c>
      <c r="D114">
        <v>326.59999961852998</v>
      </c>
      <c r="E114">
        <v>302.7</v>
      </c>
      <c r="F114">
        <v>23.899999618530199</v>
      </c>
      <c r="G114">
        <v>7.7856140136718697</v>
      </c>
      <c r="H114">
        <v>23.899999618530199</v>
      </c>
      <c r="J114">
        <v>310.57749433517398</v>
      </c>
      <c r="K114">
        <v>328.22186149358703</v>
      </c>
      <c r="L114" s="1">
        <v>43074</v>
      </c>
      <c r="M114">
        <v>326.59999961852998</v>
      </c>
      <c r="N114">
        <f t="shared" si="8"/>
        <v>316.42832328081067</v>
      </c>
      <c r="O114">
        <f t="shared" si="15"/>
        <v>1</v>
      </c>
      <c r="P114">
        <v>4.8028090490000004</v>
      </c>
      <c r="R114">
        <f t="shared" si="10"/>
        <v>334.52463454937998</v>
      </c>
      <c r="S114">
        <f t="shared" si="11"/>
        <v>318.67536468767997</v>
      </c>
      <c r="T114">
        <f t="shared" si="7"/>
        <v>0</v>
      </c>
      <c r="U114">
        <f t="shared" si="17"/>
        <v>0</v>
      </c>
    </row>
    <row r="115" spans="1:21" x14ac:dyDescent="0.3">
      <c r="A115" s="1">
        <v>42984</v>
      </c>
      <c r="B115" s="1">
        <v>43075</v>
      </c>
      <c r="C115">
        <v>312.117839622497</v>
      </c>
      <c r="D115">
        <v>321.650000381469</v>
      </c>
      <c r="E115">
        <v>302.3</v>
      </c>
      <c r="F115">
        <v>19.350000381469702</v>
      </c>
      <c r="G115">
        <v>9.8178396224975497</v>
      </c>
      <c r="H115">
        <v>19.350000381469702</v>
      </c>
      <c r="J115">
        <v>311.23281269073402</v>
      </c>
      <c r="K115">
        <v>328.86951763629901</v>
      </c>
      <c r="L115" s="1">
        <v>43075</v>
      </c>
      <c r="M115">
        <v>321.650000381469</v>
      </c>
      <c r="N115">
        <f t="shared" si="8"/>
        <v>317.40672331650995</v>
      </c>
      <c r="O115">
        <f>IF((D115-E115)*(D115-N115)&gt;0,1,0)</f>
        <v>1</v>
      </c>
      <c r="P115">
        <v>4.8707988550000003</v>
      </c>
      <c r="R115">
        <f t="shared" si="10"/>
        <v>329.686818492219</v>
      </c>
      <c r="S115">
        <f t="shared" si="11"/>
        <v>313.61318227071899</v>
      </c>
      <c r="T115">
        <f t="shared" si="7"/>
        <v>1</v>
      </c>
      <c r="U115">
        <f t="shared" si="17"/>
        <v>0</v>
      </c>
    </row>
    <row r="116" spans="1:21" x14ac:dyDescent="0.3">
      <c r="A116" s="1">
        <v>42985</v>
      </c>
      <c r="B116" s="1">
        <v>43076</v>
      </c>
      <c r="C116">
        <v>314.79145927429198</v>
      </c>
      <c r="D116">
        <v>320.7</v>
      </c>
      <c r="E116">
        <v>306.2</v>
      </c>
      <c r="F116">
        <v>14.5</v>
      </c>
      <c r="G116">
        <v>8.5914592742919904</v>
      </c>
      <c r="H116">
        <v>14.5</v>
      </c>
      <c r="J116">
        <v>309.42962498664798</v>
      </c>
      <c r="K116">
        <v>323.88537204265498</v>
      </c>
      <c r="L116" s="1">
        <v>43076</v>
      </c>
      <c r="M116">
        <v>320.7</v>
      </c>
      <c r="N116">
        <f t="shared" si="8"/>
        <v>316.03548543453167</v>
      </c>
      <c r="O116">
        <f t="shared" ref="O116:O154" si="18">IF((D116-E116)*(D116-N116)&gt;0,1,0)</f>
        <v>1</v>
      </c>
      <c r="P116">
        <v>4.8768391500000003</v>
      </c>
      <c r="R116">
        <f t="shared" si="10"/>
        <v>328.74678459749998</v>
      </c>
      <c r="S116">
        <f t="shared" si="11"/>
        <v>312.6532154025</v>
      </c>
      <c r="T116">
        <f t="shared" si="7"/>
        <v>1</v>
      </c>
      <c r="U116">
        <f t="shared" si="17"/>
        <v>1</v>
      </c>
    </row>
    <row r="117" spans="1:21" x14ac:dyDescent="0.3">
      <c r="A117" s="1">
        <v>42986</v>
      </c>
      <c r="B117" s="1">
        <v>43077</v>
      </c>
      <c r="C117">
        <v>323.18299865722599</v>
      </c>
      <c r="D117">
        <v>321.39999961852999</v>
      </c>
      <c r="E117">
        <v>306.25</v>
      </c>
      <c r="F117">
        <v>15.149999618530201</v>
      </c>
      <c r="G117">
        <v>16.932998657226499</v>
      </c>
      <c r="H117">
        <v>15.149999618530201</v>
      </c>
      <c r="J117">
        <v>312.64233541488602</v>
      </c>
      <c r="K117">
        <v>323.20577642917601</v>
      </c>
      <c r="L117" s="1">
        <v>43077</v>
      </c>
      <c r="M117">
        <v>321.39999961852999</v>
      </c>
      <c r="N117">
        <f t="shared" si="8"/>
        <v>319.67703683376266</v>
      </c>
      <c r="O117">
        <f t="shared" si="18"/>
        <v>1</v>
      </c>
      <c r="P117">
        <v>4.9002955659999996</v>
      </c>
      <c r="R117">
        <f t="shared" si="10"/>
        <v>329.48548730242999</v>
      </c>
      <c r="S117">
        <f t="shared" si="11"/>
        <v>313.31451193462999</v>
      </c>
      <c r="T117">
        <f t="shared" si="7"/>
        <v>1</v>
      </c>
      <c r="U117">
        <f>IF(AND((C117-E117)*(D117-E117)&gt;0,AND(C117&lt;R117,C117&gt;S117)),1,0)</f>
        <v>1</v>
      </c>
    </row>
    <row r="118" spans="1:21" x14ac:dyDescent="0.3">
      <c r="A118" s="1">
        <v>42989</v>
      </c>
      <c r="B118" s="1">
        <v>43080</v>
      </c>
      <c r="C118">
        <v>321.95945167541498</v>
      </c>
      <c r="D118">
        <v>321.5</v>
      </c>
      <c r="E118">
        <v>309.25</v>
      </c>
      <c r="F118">
        <v>12.25</v>
      </c>
      <c r="G118">
        <v>12.709451675415</v>
      </c>
      <c r="H118">
        <v>12.25</v>
      </c>
      <c r="J118">
        <v>310.045455038547</v>
      </c>
      <c r="K118">
        <v>325.58031886816002</v>
      </c>
      <c r="L118" s="1">
        <v>43080</v>
      </c>
      <c r="M118">
        <v>321.5</v>
      </c>
      <c r="N118">
        <f t="shared" si="8"/>
        <v>319.19507519404067</v>
      </c>
      <c r="O118">
        <f t="shared" si="18"/>
        <v>1</v>
      </c>
      <c r="P118">
        <v>4.8581930450000002</v>
      </c>
      <c r="R118">
        <f t="shared" si="10"/>
        <v>329.51601852425</v>
      </c>
      <c r="S118">
        <f t="shared" si="11"/>
        <v>313.48398147575</v>
      </c>
      <c r="T118">
        <f t="shared" ref="T118:T181" si="19">IF(AND((N118-E118)*(D118-E118)&gt;0,AND(N118&lt;R118,N118&gt;S118)),1,0)</f>
        <v>1</v>
      </c>
      <c r="U118">
        <f t="shared" ref="U118:U182" si="20">IF(AND((C118-E118)*(D118-E118)&gt;0,AND(C118&lt;R118,C118&gt;S118)),1,0)</f>
        <v>1</v>
      </c>
    </row>
    <row r="119" spans="1:21" x14ac:dyDescent="0.3">
      <c r="A119" s="1">
        <v>42990</v>
      </c>
      <c r="B119" s="1">
        <v>43081</v>
      </c>
      <c r="C119">
        <v>313.26616592407203</v>
      </c>
      <c r="D119">
        <v>320.45</v>
      </c>
      <c r="E119">
        <v>309.2</v>
      </c>
      <c r="F119">
        <v>11.25</v>
      </c>
      <c r="G119">
        <v>4.0661659240722603</v>
      </c>
      <c r="H119">
        <v>11.25</v>
      </c>
      <c r="J119">
        <v>309.84495635032602</v>
      </c>
      <c r="K119">
        <v>327.10670355558398</v>
      </c>
      <c r="L119" s="1">
        <v>43081</v>
      </c>
      <c r="M119">
        <v>320.45</v>
      </c>
      <c r="N119">
        <f t="shared" si="8"/>
        <v>316.73927527666063</v>
      </c>
      <c r="O119">
        <f t="shared" si="18"/>
        <v>1</v>
      </c>
      <c r="P119">
        <v>4.8406988530000001</v>
      </c>
      <c r="R119">
        <f t="shared" si="10"/>
        <v>328.43715310745</v>
      </c>
      <c r="S119">
        <f t="shared" si="11"/>
        <v>312.46284689254998</v>
      </c>
      <c r="T119">
        <f t="shared" si="19"/>
        <v>1</v>
      </c>
      <c r="U119">
        <f t="shared" si="20"/>
        <v>1</v>
      </c>
    </row>
    <row r="120" spans="1:21" x14ac:dyDescent="0.3">
      <c r="A120" s="1">
        <v>42991</v>
      </c>
      <c r="B120" s="1">
        <v>43082</v>
      </c>
      <c r="C120">
        <v>305.23635392188999</v>
      </c>
      <c r="D120">
        <v>322.85000019073402</v>
      </c>
      <c r="E120">
        <v>308.55</v>
      </c>
      <c r="F120">
        <v>-14.300000190734799</v>
      </c>
      <c r="G120">
        <v>-3.3136460781097399</v>
      </c>
      <c r="H120">
        <v>14.300000190734799</v>
      </c>
      <c r="J120">
        <v>307.04418962001802</v>
      </c>
      <c r="K120">
        <v>322.83558967113402</v>
      </c>
      <c r="L120" s="1">
        <v>43082</v>
      </c>
      <c r="M120">
        <v>322.85000019073402</v>
      </c>
      <c r="N120">
        <f t="shared" si="8"/>
        <v>311.70537773768064</v>
      </c>
      <c r="O120">
        <f t="shared" si="18"/>
        <v>1</v>
      </c>
      <c r="P120">
        <v>4.8306631519999996</v>
      </c>
      <c r="R120">
        <f t="shared" si="10"/>
        <v>330.82059439153403</v>
      </c>
      <c r="S120">
        <f t="shared" si="11"/>
        <v>314.87940598993401</v>
      </c>
      <c r="T120">
        <f t="shared" si="19"/>
        <v>0</v>
      </c>
      <c r="U120">
        <f t="shared" si="20"/>
        <v>0</v>
      </c>
    </row>
    <row r="121" spans="1:21" x14ac:dyDescent="0.3">
      <c r="A121" s="1">
        <v>42992</v>
      </c>
      <c r="B121" s="1">
        <v>43083</v>
      </c>
      <c r="C121">
        <v>308.573482513427</v>
      </c>
      <c r="D121">
        <v>324.30000019073401</v>
      </c>
      <c r="E121">
        <v>310.25</v>
      </c>
      <c r="F121">
        <v>-14.050000190734799</v>
      </c>
      <c r="G121">
        <v>-1.6765174865722601</v>
      </c>
      <c r="H121">
        <v>14.050000190734799</v>
      </c>
      <c r="J121">
        <v>310.71833860874102</v>
      </c>
      <c r="K121">
        <v>322.73231954574499</v>
      </c>
      <c r="L121" s="1">
        <v>43083</v>
      </c>
      <c r="M121">
        <v>324.30000019073401</v>
      </c>
      <c r="N121">
        <f t="shared" si="8"/>
        <v>314.00804688930435</v>
      </c>
      <c r="O121">
        <f t="shared" si="18"/>
        <v>1</v>
      </c>
      <c r="P121">
        <v>4.7892712380000004</v>
      </c>
      <c r="R121">
        <f t="shared" si="10"/>
        <v>332.20229773343402</v>
      </c>
      <c r="S121">
        <f t="shared" si="11"/>
        <v>316.397702648034</v>
      </c>
      <c r="T121">
        <f t="shared" si="19"/>
        <v>0</v>
      </c>
      <c r="U121">
        <f t="shared" si="20"/>
        <v>0</v>
      </c>
    </row>
    <row r="122" spans="1:21" x14ac:dyDescent="0.3">
      <c r="A122" s="1">
        <v>42993</v>
      </c>
      <c r="B122" s="1">
        <v>43084</v>
      </c>
      <c r="C122">
        <v>314.17831535339297</v>
      </c>
      <c r="D122">
        <v>322.750000190734</v>
      </c>
      <c r="E122">
        <v>311.2</v>
      </c>
      <c r="F122">
        <v>11.550000190734799</v>
      </c>
      <c r="G122">
        <v>2.9783153533935498</v>
      </c>
      <c r="H122">
        <v>11.550000190734799</v>
      </c>
      <c r="J122">
        <v>309.43039448261197</v>
      </c>
      <c r="K122">
        <v>322.30001201629602</v>
      </c>
      <c r="L122" s="1">
        <v>43084</v>
      </c>
      <c r="M122">
        <v>322.750000190734</v>
      </c>
      <c r="N122">
        <f t="shared" si="8"/>
        <v>315.30290728410029</v>
      </c>
      <c r="O122">
        <f t="shared" si="18"/>
        <v>1</v>
      </c>
      <c r="P122">
        <v>4.7518805740000003</v>
      </c>
      <c r="R122">
        <f t="shared" si="10"/>
        <v>330.59060313783402</v>
      </c>
      <c r="S122">
        <f t="shared" si="11"/>
        <v>314.90939724363398</v>
      </c>
      <c r="T122">
        <f t="shared" si="19"/>
        <v>1</v>
      </c>
      <c r="U122">
        <f t="shared" si="20"/>
        <v>0</v>
      </c>
    </row>
    <row r="123" spans="1:21" x14ac:dyDescent="0.3">
      <c r="A123" s="1">
        <v>42996</v>
      </c>
      <c r="B123" s="1">
        <v>43087</v>
      </c>
      <c r="C123">
        <v>317.021570962667</v>
      </c>
      <c r="D123">
        <v>324.14999980926501</v>
      </c>
      <c r="E123">
        <v>316.7</v>
      </c>
      <c r="F123">
        <v>7.4499998092651296</v>
      </c>
      <c r="G123">
        <v>0.32157096266746499</v>
      </c>
      <c r="H123">
        <v>7.4499998092651296</v>
      </c>
      <c r="J123">
        <v>313.62485857009801</v>
      </c>
      <c r="K123">
        <v>324.40304613113398</v>
      </c>
      <c r="L123" s="1">
        <v>43087</v>
      </c>
      <c r="M123">
        <v>324.14999980926501</v>
      </c>
      <c r="N123">
        <f t="shared" si="8"/>
        <v>318.34982522129968</v>
      </c>
      <c r="O123">
        <f t="shared" si="18"/>
        <v>1</v>
      </c>
      <c r="P123">
        <v>4.7911134439999996</v>
      </c>
      <c r="R123">
        <f t="shared" si="10"/>
        <v>332.05533699186503</v>
      </c>
      <c r="S123">
        <f t="shared" si="11"/>
        <v>316.24466262666499</v>
      </c>
      <c r="T123">
        <f t="shared" si="19"/>
        <v>1</v>
      </c>
      <c r="U123">
        <f t="shared" si="20"/>
        <v>1</v>
      </c>
    </row>
    <row r="124" spans="1:21" x14ac:dyDescent="0.3">
      <c r="A124" s="1">
        <v>42997</v>
      </c>
      <c r="B124" s="1">
        <v>43088</v>
      </c>
      <c r="C124">
        <v>317.52721493244098</v>
      </c>
      <c r="D124">
        <v>323.85000019073402</v>
      </c>
      <c r="E124">
        <v>316.05</v>
      </c>
      <c r="F124">
        <v>7.8000001907348597</v>
      </c>
      <c r="G124">
        <v>1.4772149324417101</v>
      </c>
      <c r="H124">
        <v>7.8000001907348597</v>
      </c>
      <c r="J124">
        <v>315.94522120356498</v>
      </c>
      <c r="K124">
        <v>325.29501791000303</v>
      </c>
      <c r="L124" s="1">
        <v>43088</v>
      </c>
      <c r="M124">
        <v>323.85000019073402</v>
      </c>
      <c r="N124">
        <f t="shared" si="8"/>
        <v>319.58915134866965</v>
      </c>
      <c r="O124">
        <f t="shared" si="18"/>
        <v>1</v>
      </c>
      <c r="P124">
        <v>4.8180416399999997</v>
      </c>
      <c r="R124">
        <f t="shared" si="10"/>
        <v>331.79976889673401</v>
      </c>
      <c r="S124">
        <f t="shared" si="11"/>
        <v>315.90023148473404</v>
      </c>
      <c r="T124">
        <f t="shared" si="19"/>
        <v>1</v>
      </c>
      <c r="U124">
        <f t="shared" si="20"/>
        <v>1</v>
      </c>
    </row>
    <row r="125" spans="1:21" x14ac:dyDescent="0.3">
      <c r="A125" s="1">
        <v>42998</v>
      </c>
      <c r="B125" s="1">
        <v>43089</v>
      </c>
      <c r="C125">
        <v>314.903523015975</v>
      </c>
      <c r="D125">
        <v>323.55</v>
      </c>
      <c r="E125">
        <v>315.8</v>
      </c>
      <c r="F125">
        <v>-7.75</v>
      </c>
      <c r="G125">
        <v>-0.89647698402404696</v>
      </c>
      <c r="H125">
        <v>7.75</v>
      </c>
      <c r="J125">
        <v>309.36253385543802</v>
      </c>
      <c r="K125">
        <v>327.03707370758002</v>
      </c>
      <c r="L125" s="1">
        <v>43089</v>
      </c>
      <c r="M125">
        <v>323.55</v>
      </c>
      <c r="N125">
        <f t="shared" si="8"/>
        <v>317.10104352633101</v>
      </c>
      <c r="O125">
        <f t="shared" si="18"/>
        <v>1</v>
      </c>
      <c r="P125">
        <v>4.8220139470000003</v>
      </c>
      <c r="R125">
        <f t="shared" si="10"/>
        <v>331.50632301255001</v>
      </c>
      <c r="S125">
        <f t="shared" si="11"/>
        <v>315.59367698745001</v>
      </c>
      <c r="T125">
        <f t="shared" si="19"/>
        <v>1</v>
      </c>
      <c r="U125">
        <f t="shared" si="20"/>
        <v>0</v>
      </c>
    </row>
    <row r="126" spans="1:21" x14ac:dyDescent="0.3">
      <c r="A126" s="1">
        <v>42999</v>
      </c>
      <c r="B126" s="1">
        <v>43090</v>
      </c>
      <c r="C126">
        <v>319.74462752342203</v>
      </c>
      <c r="D126">
        <v>316.85000001191997</v>
      </c>
      <c r="E126">
        <v>316.05</v>
      </c>
      <c r="F126">
        <v>0.80000001192092896</v>
      </c>
      <c r="G126">
        <v>3.6946275234222399</v>
      </c>
      <c r="H126">
        <v>0.80000001192092896</v>
      </c>
      <c r="J126">
        <v>318.20367722511202</v>
      </c>
      <c r="K126">
        <v>327.298353481292</v>
      </c>
      <c r="L126" s="1">
        <v>43090</v>
      </c>
      <c r="M126">
        <v>316.85000001191997</v>
      </c>
      <c r="N126">
        <f t="shared" si="8"/>
        <v>321.7488860766087</v>
      </c>
      <c r="O126">
        <f t="shared" si="18"/>
        <v>0</v>
      </c>
      <c r="P126">
        <v>4.8464788219999999</v>
      </c>
      <c r="R126">
        <f t="shared" si="10"/>
        <v>324.84669006821997</v>
      </c>
      <c r="S126">
        <f t="shared" si="11"/>
        <v>308.85330995561998</v>
      </c>
      <c r="T126">
        <f t="shared" si="19"/>
        <v>1</v>
      </c>
      <c r="U126">
        <f t="shared" si="20"/>
        <v>1</v>
      </c>
    </row>
    <row r="127" spans="1:21" x14ac:dyDescent="0.3">
      <c r="A127" s="1">
        <v>43000</v>
      </c>
      <c r="B127" s="1">
        <v>43091</v>
      </c>
      <c r="C127">
        <v>318.432654380798</v>
      </c>
      <c r="D127">
        <v>318.5</v>
      </c>
      <c r="E127">
        <v>313.75</v>
      </c>
      <c r="F127">
        <v>4.75</v>
      </c>
      <c r="G127">
        <v>4.6826543807983398</v>
      </c>
      <c r="H127">
        <v>4.75</v>
      </c>
      <c r="J127">
        <v>314.81922876834801</v>
      </c>
      <c r="K127">
        <v>322.494971960783</v>
      </c>
      <c r="L127" s="1">
        <v>43091</v>
      </c>
      <c r="M127">
        <v>318.5</v>
      </c>
      <c r="N127">
        <f t="shared" si="8"/>
        <v>318.58228503664299</v>
      </c>
      <c r="O127">
        <f t="shared" si="18"/>
        <v>0</v>
      </c>
      <c r="P127">
        <v>4.8481748400000004</v>
      </c>
      <c r="R127">
        <f t="shared" si="10"/>
        <v>326.49948848600002</v>
      </c>
      <c r="S127">
        <f t="shared" si="11"/>
        <v>310.50051151399998</v>
      </c>
      <c r="T127">
        <f t="shared" si="19"/>
        <v>1</v>
      </c>
      <c r="U127">
        <f t="shared" si="20"/>
        <v>1</v>
      </c>
    </row>
    <row r="128" spans="1:21" x14ac:dyDescent="0.3">
      <c r="A128" s="1">
        <v>43003</v>
      </c>
      <c r="B128" s="1">
        <v>43094</v>
      </c>
      <c r="C128">
        <v>323.17709426879799</v>
      </c>
      <c r="D128">
        <v>318.49999980926498</v>
      </c>
      <c r="E128">
        <v>313.8</v>
      </c>
      <c r="F128">
        <v>4.6999998092651296</v>
      </c>
      <c r="G128">
        <v>9.3770942687988192</v>
      </c>
      <c r="H128">
        <v>4.6999998092651296</v>
      </c>
      <c r="J128">
        <v>315.82583479881202</v>
      </c>
      <c r="K128">
        <v>323.91900896430002</v>
      </c>
      <c r="L128" s="1">
        <v>43094</v>
      </c>
      <c r="M128">
        <v>318.49999980926498</v>
      </c>
      <c r="N128">
        <f t="shared" si="8"/>
        <v>320.97397934397003</v>
      </c>
      <c r="O128">
        <f t="shared" si="18"/>
        <v>0</v>
      </c>
      <c r="P128">
        <v>4.8558391939999996</v>
      </c>
      <c r="R128">
        <f t="shared" si="10"/>
        <v>326.51213447936499</v>
      </c>
      <c r="S128">
        <f t="shared" si="11"/>
        <v>310.48786513916497</v>
      </c>
      <c r="T128">
        <f t="shared" si="19"/>
        <v>1</v>
      </c>
      <c r="U128">
        <f t="shared" si="20"/>
        <v>1</v>
      </c>
    </row>
    <row r="129" spans="1:21" x14ac:dyDescent="0.3">
      <c r="A129" s="1">
        <v>43004</v>
      </c>
      <c r="B129" s="1">
        <v>43095</v>
      </c>
      <c r="C129">
        <v>317.91347579955999</v>
      </c>
      <c r="D129">
        <v>317.45000009536699</v>
      </c>
      <c r="E129">
        <v>311.8</v>
      </c>
      <c r="F129">
        <v>5.6500000953674299</v>
      </c>
      <c r="G129">
        <v>6.1134757995605398</v>
      </c>
      <c r="H129">
        <v>5.6500000953674299</v>
      </c>
      <c r="J129">
        <v>316.48044281005798</v>
      </c>
      <c r="K129">
        <v>325.66657338142397</v>
      </c>
      <c r="L129" s="1">
        <v>43095</v>
      </c>
      <c r="M129">
        <v>317.45000009536699</v>
      </c>
      <c r="N129">
        <f t="shared" si="8"/>
        <v>320.02016399701398</v>
      </c>
      <c r="O129">
        <f t="shared" si="18"/>
        <v>0</v>
      </c>
      <c r="P129">
        <v>4.8557872140000002</v>
      </c>
      <c r="R129">
        <f t="shared" si="10"/>
        <v>325.46204899846697</v>
      </c>
      <c r="S129">
        <f t="shared" si="11"/>
        <v>309.43795119226701</v>
      </c>
      <c r="T129">
        <f t="shared" si="19"/>
        <v>1</v>
      </c>
      <c r="U129">
        <f t="shared" si="20"/>
        <v>1</v>
      </c>
    </row>
    <row r="130" spans="1:21" x14ac:dyDescent="0.3">
      <c r="A130" s="1">
        <v>43005</v>
      </c>
      <c r="B130" s="1">
        <v>43096</v>
      </c>
      <c r="C130">
        <v>319.51798477172798</v>
      </c>
      <c r="D130">
        <v>321.20000019073399</v>
      </c>
      <c r="E130">
        <v>311.39999999999998</v>
      </c>
      <c r="F130">
        <v>9.8000001907348597</v>
      </c>
      <c r="G130">
        <v>8.1179847717285103</v>
      </c>
      <c r="H130">
        <v>9.8000001907348597</v>
      </c>
      <c r="J130">
        <v>315.70593633651703</v>
      </c>
      <c r="K130">
        <v>323.222781527042</v>
      </c>
      <c r="L130" s="1">
        <v>43096</v>
      </c>
      <c r="M130">
        <v>321.20000019073399</v>
      </c>
      <c r="N130">
        <f t="shared" si="8"/>
        <v>319.48223421176232</v>
      </c>
      <c r="O130">
        <f t="shared" si="18"/>
        <v>1</v>
      </c>
      <c r="P130">
        <v>4.8533357380000002</v>
      </c>
      <c r="R130">
        <f t="shared" si="10"/>
        <v>329.20800415843399</v>
      </c>
      <c r="S130">
        <f t="shared" si="11"/>
        <v>313.19199622303398</v>
      </c>
      <c r="T130">
        <f t="shared" si="19"/>
        <v>1</v>
      </c>
      <c r="U130">
        <f t="shared" si="20"/>
        <v>1</v>
      </c>
    </row>
    <row r="131" spans="1:21" x14ac:dyDescent="0.3">
      <c r="A131" s="1">
        <v>43006</v>
      </c>
      <c r="B131" s="1">
        <v>43097</v>
      </c>
      <c r="C131">
        <v>321.10414276122998</v>
      </c>
      <c r="D131">
        <v>325.65000019073398</v>
      </c>
      <c r="E131">
        <v>311.60000000000002</v>
      </c>
      <c r="F131">
        <v>14.050000190734799</v>
      </c>
      <c r="G131">
        <v>9.5041427612304599</v>
      </c>
      <c r="H131">
        <v>14.050000190734799</v>
      </c>
      <c r="J131">
        <v>320.03988323211598</v>
      </c>
      <c r="K131">
        <v>317.374008095264</v>
      </c>
      <c r="L131" s="1">
        <v>43097</v>
      </c>
      <c r="M131">
        <v>325.65000019073398</v>
      </c>
      <c r="N131">
        <f t="shared" ref="N131:N194" si="21">AVERAGE(C131, J131:K131)</f>
        <v>319.50601136286997</v>
      </c>
      <c r="O131">
        <f t="shared" si="18"/>
        <v>1</v>
      </c>
      <c r="P131">
        <v>4.8521654559999998</v>
      </c>
      <c r="R131">
        <f t="shared" ref="R131:R194" si="22">D131+1.65*P131</f>
        <v>333.65607319313398</v>
      </c>
      <c r="S131">
        <f t="shared" ref="S131:S194" si="23">D131-1.65*P131</f>
        <v>317.64392718833398</v>
      </c>
      <c r="T131">
        <f t="shared" si="19"/>
        <v>1</v>
      </c>
      <c r="U131">
        <f t="shared" si="20"/>
        <v>1</v>
      </c>
    </row>
    <row r="132" spans="1:21" x14ac:dyDescent="0.3">
      <c r="A132" s="1">
        <v>43007</v>
      </c>
      <c r="B132" s="1">
        <v>43098</v>
      </c>
      <c r="C132">
        <v>319.07586555480901</v>
      </c>
      <c r="D132">
        <v>325.650000381469</v>
      </c>
      <c r="E132">
        <v>314.3</v>
      </c>
      <c r="F132">
        <v>11.3500003814697</v>
      </c>
      <c r="G132">
        <v>4.7758655548095703</v>
      </c>
      <c r="H132">
        <v>11.3500003814697</v>
      </c>
      <c r="J132">
        <v>312.73473696708601</v>
      </c>
      <c r="K132">
        <v>318.268144160509</v>
      </c>
      <c r="L132" s="1">
        <v>43098</v>
      </c>
      <c r="M132">
        <v>325.650000381469</v>
      </c>
      <c r="N132">
        <f t="shared" si="21"/>
        <v>316.69291556080134</v>
      </c>
      <c r="O132">
        <f t="shared" si="18"/>
        <v>1</v>
      </c>
      <c r="P132">
        <v>4.864717336</v>
      </c>
      <c r="R132">
        <f t="shared" si="22"/>
        <v>333.67678398586901</v>
      </c>
      <c r="S132">
        <f t="shared" si="23"/>
        <v>317.62321677706899</v>
      </c>
      <c r="T132">
        <f t="shared" si="19"/>
        <v>0</v>
      </c>
      <c r="U132">
        <f t="shared" si="20"/>
        <v>1</v>
      </c>
    </row>
    <row r="133" spans="1:21" x14ac:dyDescent="0.3">
      <c r="A133" s="1">
        <v>43010</v>
      </c>
      <c r="B133" s="1">
        <v>43101</v>
      </c>
      <c r="C133">
        <v>322.76055698394703</v>
      </c>
      <c r="D133">
        <v>325.650000381469</v>
      </c>
      <c r="E133">
        <v>314.3</v>
      </c>
      <c r="F133">
        <v>11.3500003814697</v>
      </c>
      <c r="G133">
        <v>8.4605569839477504</v>
      </c>
      <c r="H133">
        <v>11.3500003814697</v>
      </c>
      <c r="J133">
        <v>313.64685343503902</v>
      </c>
      <c r="K133">
        <v>318.05449873209</v>
      </c>
      <c r="L133" s="1">
        <v>43101</v>
      </c>
      <c r="M133">
        <v>325.650000381469</v>
      </c>
      <c r="N133">
        <f t="shared" si="21"/>
        <v>318.15396971702535</v>
      </c>
      <c r="O133">
        <f t="shared" si="18"/>
        <v>1</v>
      </c>
      <c r="P133">
        <v>4.8766285490000003</v>
      </c>
      <c r="R133">
        <f t="shared" si="22"/>
        <v>333.69643748731897</v>
      </c>
      <c r="S133">
        <f t="shared" si="23"/>
        <v>317.60356327561902</v>
      </c>
      <c r="T133">
        <f t="shared" si="19"/>
        <v>1</v>
      </c>
      <c r="U133">
        <f t="shared" si="20"/>
        <v>1</v>
      </c>
    </row>
    <row r="134" spans="1:21" x14ac:dyDescent="0.3">
      <c r="A134" s="1">
        <v>43011</v>
      </c>
      <c r="B134" s="1">
        <v>43102</v>
      </c>
      <c r="C134">
        <v>323.66901283264099</v>
      </c>
      <c r="D134">
        <v>326.49999980926498</v>
      </c>
      <c r="E134">
        <v>314.3</v>
      </c>
      <c r="F134">
        <v>12.199999809265099</v>
      </c>
      <c r="G134">
        <v>9.3690128326415998</v>
      </c>
      <c r="H134">
        <v>12.199999809265099</v>
      </c>
      <c r="J134">
        <v>314.19481864124498</v>
      </c>
      <c r="K134">
        <v>318.20616353750199</v>
      </c>
      <c r="L134" s="1">
        <v>43102</v>
      </c>
      <c r="M134">
        <v>326.49999980926498</v>
      </c>
      <c r="N134">
        <f t="shared" si="21"/>
        <v>318.68999833712934</v>
      </c>
      <c r="O134">
        <f t="shared" si="18"/>
        <v>1</v>
      </c>
      <c r="P134">
        <v>4.8822295999999996</v>
      </c>
      <c r="R134">
        <f t="shared" si="22"/>
        <v>334.55567864926496</v>
      </c>
      <c r="S134">
        <f t="shared" si="23"/>
        <v>318.44432096926499</v>
      </c>
      <c r="T134">
        <f t="shared" si="19"/>
        <v>1</v>
      </c>
      <c r="U134">
        <f t="shared" si="20"/>
        <v>1</v>
      </c>
    </row>
    <row r="135" spans="1:21" x14ac:dyDescent="0.3">
      <c r="A135" s="1">
        <v>43012</v>
      </c>
      <c r="B135" s="1">
        <v>43103</v>
      </c>
      <c r="C135">
        <v>321.79761676788303</v>
      </c>
      <c r="D135">
        <v>327.69999961853</v>
      </c>
      <c r="E135">
        <v>314.3</v>
      </c>
      <c r="F135">
        <v>13.399999618530201</v>
      </c>
      <c r="G135">
        <v>7.4976167678832999</v>
      </c>
      <c r="H135">
        <v>13.399999618530201</v>
      </c>
      <c r="J135">
        <v>311.86620526313698</v>
      </c>
      <c r="K135">
        <v>321.59856371283502</v>
      </c>
      <c r="L135" s="1">
        <v>43103</v>
      </c>
      <c r="M135">
        <v>327.69999961853</v>
      </c>
      <c r="N135">
        <f t="shared" si="21"/>
        <v>318.42079524795167</v>
      </c>
      <c r="O135">
        <f t="shared" si="18"/>
        <v>1</v>
      </c>
      <c r="P135">
        <v>4.8928767400000002</v>
      </c>
      <c r="R135">
        <f t="shared" si="22"/>
        <v>335.77324623953001</v>
      </c>
      <c r="S135">
        <f t="shared" si="23"/>
        <v>319.62675299752999</v>
      </c>
      <c r="T135">
        <f t="shared" si="19"/>
        <v>0</v>
      </c>
      <c r="U135">
        <f t="shared" si="20"/>
        <v>1</v>
      </c>
    </row>
    <row r="136" spans="1:21" x14ac:dyDescent="0.3">
      <c r="A136" s="1">
        <v>43013</v>
      </c>
      <c r="B136" s="1">
        <v>43104</v>
      </c>
      <c r="C136">
        <v>320.20839767455999</v>
      </c>
      <c r="D136">
        <v>324.99999980926498</v>
      </c>
      <c r="E136">
        <v>314.3</v>
      </c>
      <c r="F136">
        <v>10.699999809265099</v>
      </c>
      <c r="G136">
        <v>5.9083976745605398</v>
      </c>
      <c r="H136">
        <v>10.699999809265099</v>
      </c>
      <c r="J136">
        <v>313.93805741071702</v>
      </c>
      <c r="K136">
        <v>324.13557841777799</v>
      </c>
      <c r="L136" s="1">
        <v>43104</v>
      </c>
      <c r="M136">
        <v>324.99999980926498</v>
      </c>
      <c r="N136">
        <f t="shared" si="21"/>
        <v>319.42734450101835</v>
      </c>
      <c r="O136">
        <f t="shared" si="18"/>
        <v>1</v>
      </c>
      <c r="P136">
        <v>4.9029987390000001</v>
      </c>
      <c r="R136">
        <f t="shared" si="22"/>
        <v>333.08994772861496</v>
      </c>
      <c r="S136">
        <f t="shared" si="23"/>
        <v>316.910051889915</v>
      </c>
      <c r="T136">
        <f t="shared" si="19"/>
        <v>1</v>
      </c>
      <c r="U136">
        <f t="shared" si="20"/>
        <v>1</v>
      </c>
    </row>
    <row r="137" spans="1:21" x14ac:dyDescent="0.3">
      <c r="A137" s="1">
        <v>43014</v>
      </c>
      <c r="B137" s="1">
        <v>43105</v>
      </c>
      <c r="C137">
        <v>320.95796375274602</v>
      </c>
      <c r="D137">
        <v>328.94999961853</v>
      </c>
      <c r="E137">
        <v>314.3</v>
      </c>
      <c r="F137">
        <v>14.649999618530201</v>
      </c>
      <c r="G137">
        <v>6.6579637527465803</v>
      </c>
      <c r="H137">
        <v>14.649999618530201</v>
      </c>
      <c r="J137">
        <v>311.10937695503202</v>
      </c>
      <c r="K137">
        <v>323.004148387908</v>
      </c>
      <c r="L137" s="1">
        <v>43105</v>
      </c>
      <c r="M137">
        <v>328.94999961853</v>
      </c>
      <c r="N137">
        <f t="shared" si="21"/>
        <v>318.35716303189537</v>
      </c>
      <c r="O137">
        <f>IF((D137-E137)*(D137-N137)&gt;0,1,0)</f>
        <v>1</v>
      </c>
      <c r="P137">
        <v>4.9095866289999996</v>
      </c>
      <c r="R137">
        <f t="shared" si="22"/>
        <v>337.05081755638003</v>
      </c>
      <c r="S137">
        <f t="shared" si="23"/>
        <v>320.84918168067998</v>
      </c>
      <c r="T137">
        <f t="shared" si="19"/>
        <v>0</v>
      </c>
      <c r="U137">
        <f t="shared" si="20"/>
        <v>1</v>
      </c>
    </row>
    <row r="138" spans="1:21" x14ac:dyDescent="0.3">
      <c r="A138" s="1">
        <v>43017</v>
      </c>
      <c r="B138" s="1">
        <v>43108</v>
      </c>
      <c r="C138">
        <v>321.51763229370101</v>
      </c>
      <c r="D138">
        <v>331.25000076293901</v>
      </c>
      <c r="E138">
        <v>314.3</v>
      </c>
      <c r="F138">
        <v>16.9500007629394</v>
      </c>
      <c r="G138">
        <v>7.2176322937011701</v>
      </c>
      <c r="H138">
        <v>16.9500007629394</v>
      </c>
      <c r="J138">
        <v>314.43441698253099</v>
      </c>
      <c r="K138">
        <v>319.14717283248899</v>
      </c>
      <c r="L138" s="1">
        <v>43108</v>
      </c>
      <c r="M138">
        <v>331.25000076293901</v>
      </c>
      <c r="N138">
        <f t="shared" si="21"/>
        <v>318.36640736957366</v>
      </c>
      <c r="O138">
        <f t="shared" si="18"/>
        <v>1</v>
      </c>
      <c r="P138">
        <v>4.9176856559999997</v>
      </c>
      <c r="R138">
        <f t="shared" si="22"/>
        <v>339.364182095339</v>
      </c>
      <c r="S138">
        <f t="shared" si="23"/>
        <v>323.13581943053902</v>
      </c>
      <c r="T138">
        <f t="shared" si="19"/>
        <v>0</v>
      </c>
      <c r="U138">
        <f t="shared" si="20"/>
        <v>0</v>
      </c>
    </row>
    <row r="139" spans="1:21" x14ac:dyDescent="0.3">
      <c r="A139" s="1">
        <v>43018</v>
      </c>
      <c r="B139" s="1">
        <v>43109</v>
      </c>
      <c r="C139">
        <v>323.39621796607901</v>
      </c>
      <c r="D139">
        <v>330.45000019073399</v>
      </c>
      <c r="E139">
        <v>320.14999999999998</v>
      </c>
      <c r="F139">
        <v>10.300000190734799</v>
      </c>
      <c r="G139">
        <v>3.2462179660797101</v>
      </c>
      <c r="H139">
        <v>10.300000190734799</v>
      </c>
      <c r="J139">
        <v>319.68799265622999</v>
      </c>
      <c r="K139">
        <v>320.59996509552002</v>
      </c>
      <c r="L139" s="1">
        <v>43109</v>
      </c>
      <c r="M139">
        <v>330.45000019073399</v>
      </c>
      <c r="N139">
        <f t="shared" si="21"/>
        <v>321.22805857260965</v>
      </c>
      <c r="O139">
        <f t="shared" si="18"/>
        <v>1</v>
      </c>
      <c r="P139">
        <v>5.0235034130000003</v>
      </c>
      <c r="R139">
        <f t="shared" si="22"/>
        <v>338.73878082218397</v>
      </c>
      <c r="S139">
        <f t="shared" si="23"/>
        <v>322.16121955928401</v>
      </c>
      <c r="T139">
        <f t="shared" si="19"/>
        <v>0</v>
      </c>
      <c r="U139">
        <f>IF(AND((C139-E139)*(D139-E139)&gt;0,AND(C139&lt;R139,C139&gt;S139)),1,0)</f>
        <v>1</v>
      </c>
    </row>
    <row r="140" spans="1:21" x14ac:dyDescent="0.3">
      <c r="A140" s="1">
        <v>43019</v>
      </c>
      <c r="B140" s="1">
        <v>43110</v>
      </c>
      <c r="C140">
        <v>320.95553135871802</v>
      </c>
      <c r="D140">
        <v>327.849999904632</v>
      </c>
      <c r="E140">
        <v>323.25</v>
      </c>
      <c r="F140">
        <v>-4.5999999046325604</v>
      </c>
      <c r="G140">
        <v>-2.2944686412811199</v>
      </c>
      <c r="H140">
        <v>4.5999999046325604</v>
      </c>
      <c r="J140">
        <v>322.30670869350399</v>
      </c>
      <c r="K140">
        <v>322.69823045730499</v>
      </c>
      <c r="L140" s="1">
        <v>43110</v>
      </c>
      <c r="M140">
        <v>327.849999904632</v>
      </c>
      <c r="N140">
        <f t="shared" si="21"/>
        <v>321.98682350317569</v>
      </c>
      <c r="O140">
        <f t="shared" si="18"/>
        <v>1</v>
      </c>
      <c r="P140">
        <v>5.2146206030000002</v>
      </c>
      <c r="R140">
        <f t="shared" si="22"/>
        <v>336.45412389958199</v>
      </c>
      <c r="S140">
        <f t="shared" si="23"/>
        <v>319.24587590968201</v>
      </c>
      <c r="T140">
        <f t="shared" si="19"/>
        <v>0</v>
      </c>
      <c r="U140">
        <f t="shared" si="20"/>
        <v>0</v>
      </c>
    </row>
    <row r="141" spans="1:21" x14ac:dyDescent="0.3">
      <c r="A141" s="1">
        <v>43020</v>
      </c>
      <c r="B141" s="1">
        <v>43111</v>
      </c>
      <c r="C141">
        <v>326.655153179168</v>
      </c>
      <c r="D141">
        <v>326.50000002384098</v>
      </c>
      <c r="E141">
        <v>325.64999999999998</v>
      </c>
      <c r="F141">
        <v>0.85000002384185702</v>
      </c>
      <c r="G141">
        <v>1.0051531791687001</v>
      </c>
      <c r="H141">
        <v>0.85000002384185702</v>
      </c>
      <c r="J141">
        <v>324.42380359172802</v>
      </c>
      <c r="K141">
        <v>324.23391884565302</v>
      </c>
      <c r="L141" s="1">
        <v>43111</v>
      </c>
      <c r="M141">
        <v>326.50000002384098</v>
      </c>
      <c r="N141">
        <f t="shared" si="21"/>
        <v>325.10429187218301</v>
      </c>
      <c r="O141">
        <f t="shared" si="18"/>
        <v>1</v>
      </c>
      <c r="P141">
        <v>5.4519594439999999</v>
      </c>
      <c r="R141">
        <f t="shared" si="22"/>
        <v>335.49573310644098</v>
      </c>
      <c r="S141">
        <f t="shared" si="23"/>
        <v>317.50426694124099</v>
      </c>
      <c r="T141">
        <f t="shared" si="19"/>
        <v>0</v>
      </c>
      <c r="U141">
        <f t="shared" si="20"/>
        <v>1</v>
      </c>
    </row>
    <row r="142" spans="1:21" x14ac:dyDescent="0.3">
      <c r="A142" s="1">
        <v>43021</v>
      </c>
      <c r="B142" s="1">
        <v>43112</v>
      </c>
      <c r="C142">
        <v>323.06826477050703</v>
      </c>
      <c r="D142">
        <v>326.84999995231601</v>
      </c>
      <c r="E142">
        <v>325.3</v>
      </c>
      <c r="F142">
        <v>-1.54999995231628</v>
      </c>
      <c r="G142">
        <v>-2.23173522949218</v>
      </c>
      <c r="H142">
        <v>1.54999995231628</v>
      </c>
      <c r="J142">
        <v>323.94057970046998</v>
      </c>
      <c r="K142">
        <v>324.79138584136899</v>
      </c>
      <c r="L142" s="1">
        <v>43112</v>
      </c>
      <c r="M142">
        <v>326.84999995231601</v>
      </c>
      <c r="N142">
        <f t="shared" si="21"/>
        <v>323.93341010411535</v>
      </c>
      <c r="O142">
        <f t="shared" si="18"/>
        <v>1</v>
      </c>
      <c r="P142">
        <v>5.6615272340000002</v>
      </c>
      <c r="R142">
        <f t="shared" si="22"/>
        <v>336.191519888416</v>
      </c>
      <c r="S142">
        <f t="shared" si="23"/>
        <v>317.50848001621603</v>
      </c>
      <c r="T142">
        <f t="shared" si="19"/>
        <v>0</v>
      </c>
      <c r="U142">
        <f t="shared" si="20"/>
        <v>0</v>
      </c>
    </row>
    <row r="143" spans="1:21" x14ac:dyDescent="0.3">
      <c r="A143" s="1">
        <v>43024</v>
      </c>
      <c r="B143" s="1">
        <v>43115</v>
      </c>
      <c r="C143">
        <v>322.47371244430502</v>
      </c>
      <c r="D143">
        <v>327.299999952316</v>
      </c>
      <c r="E143">
        <v>325.5</v>
      </c>
      <c r="F143">
        <v>-1.79999995231628</v>
      </c>
      <c r="G143">
        <v>-3.0262875556945801</v>
      </c>
      <c r="H143">
        <v>1.79999995231628</v>
      </c>
      <c r="J143">
        <v>323.060015916824</v>
      </c>
      <c r="K143">
        <v>327.268688678741</v>
      </c>
      <c r="L143" s="1">
        <v>43115</v>
      </c>
      <c r="M143">
        <v>327.299999952316</v>
      </c>
      <c r="N143">
        <f t="shared" si="21"/>
        <v>324.26747234662338</v>
      </c>
      <c r="O143">
        <f t="shared" si="18"/>
        <v>1</v>
      </c>
      <c r="P143">
        <v>5.8576877700000001</v>
      </c>
      <c r="R143">
        <f t="shared" si="22"/>
        <v>336.96518477281597</v>
      </c>
      <c r="S143">
        <f t="shared" si="23"/>
        <v>317.63481513181603</v>
      </c>
      <c r="T143">
        <f t="shared" si="19"/>
        <v>0</v>
      </c>
      <c r="U143">
        <f t="shared" si="20"/>
        <v>0</v>
      </c>
    </row>
    <row r="144" spans="1:21" x14ac:dyDescent="0.3">
      <c r="A144" s="1">
        <v>43025</v>
      </c>
      <c r="B144" s="1">
        <v>43116</v>
      </c>
      <c r="C144">
        <v>325.02117292881002</v>
      </c>
      <c r="D144">
        <v>330.49999980926498</v>
      </c>
      <c r="E144">
        <v>325.8</v>
      </c>
      <c r="F144">
        <v>-4.6999998092651296</v>
      </c>
      <c r="G144">
        <v>-0.77882707118988004</v>
      </c>
      <c r="H144">
        <v>4.6999998092651296</v>
      </c>
      <c r="J144">
        <v>325.09187929630201</v>
      </c>
      <c r="K144">
        <v>328.89364941120101</v>
      </c>
      <c r="L144" s="1">
        <v>43116</v>
      </c>
      <c r="M144">
        <v>330.49999980926498</v>
      </c>
      <c r="N144">
        <f t="shared" si="21"/>
        <v>326.33556721210431</v>
      </c>
      <c r="O144">
        <f t="shared" si="18"/>
        <v>1</v>
      </c>
      <c r="P144">
        <v>6.0477347950000002</v>
      </c>
      <c r="R144">
        <f t="shared" si="22"/>
        <v>340.47876222101496</v>
      </c>
      <c r="S144">
        <f t="shared" si="23"/>
        <v>320.52123739751499</v>
      </c>
      <c r="T144">
        <f t="shared" si="19"/>
        <v>1</v>
      </c>
      <c r="U144">
        <f t="shared" si="20"/>
        <v>0</v>
      </c>
    </row>
    <row r="145" spans="1:21" x14ac:dyDescent="0.3">
      <c r="A145" s="1">
        <v>43026</v>
      </c>
      <c r="B145" s="1">
        <v>43117</v>
      </c>
      <c r="C145">
        <v>323.78657445907498</v>
      </c>
      <c r="D145">
        <v>329.19999990463202</v>
      </c>
      <c r="E145">
        <v>325.85000000000002</v>
      </c>
      <c r="F145">
        <v>-3.3499999046325599</v>
      </c>
      <c r="G145">
        <v>-2.06342554092407</v>
      </c>
      <c r="H145">
        <v>3.3499999046325599</v>
      </c>
      <c r="J145">
        <v>323.95086679458598</v>
      </c>
      <c r="K145">
        <v>327.81617420017699</v>
      </c>
      <c r="L145" s="1">
        <v>43117</v>
      </c>
      <c r="M145">
        <v>329.19999990463202</v>
      </c>
      <c r="N145">
        <f t="shared" si="21"/>
        <v>325.18453848461269</v>
      </c>
      <c r="O145">
        <f t="shared" si="18"/>
        <v>1</v>
      </c>
      <c r="P145">
        <v>6.2221468790000003</v>
      </c>
      <c r="R145">
        <f t="shared" si="22"/>
        <v>339.46654225498202</v>
      </c>
      <c r="S145">
        <f t="shared" si="23"/>
        <v>318.93345755428203</v>
      </c>
      <c r="T145">
        <f t="shared" si="19"/>
        <v>0</v>
      </c>
      <c r="U145">
        <f t="shared" si="20"/>
        <v>0</v>
      </c>
    </row>
    <row r="146" spans="1:21" x14ac:dyDescent="0.3">
      <c r="A146" s="1">
        <v>43027</v>
      </c>
      <c r="B146" s="1">
        <v>43118</v>
      </c>
      <c r="C146">
        <v>332.50731239318799</v>
      </c>
      <c r="D146">
        <v>329.40000019073398</v>
      </c>
      <c r="E146">
        <v>324.10000000000002</v>
      </c>
      <c r="F146">
        <v>5.3000001907348597</v>
      </c>
      <c r="G146">
        <v>8.4073123931884695</v>
      </c>
      <c r="H146">
        <v>5.3000001907348597</v>
      </c>
      <c r="J146">
        <v>325.37235174179</v>
      </c>
      <c r="K146">
        <v>326.92281481623598</v>
      </c>
      <c r="L146" s="1">
        <v>43118</v>
      </c>
      <c r="M146">
        <v>329.40000019073398</v>
      </c>
      <c r="N146">
        <f t="shared" si="21"/>
        <v>328.26749298373801</v>
      </c>
      <c r="O146">
        <f t="shared" si="18"/>
        <v>1</v>
      </c>
      <c r="P146">
        <v>6.3237336260000001</v>
      </c>
      <c r="R146">
        <f t="shared" si="22"/>
        <v>339.83416067363396</v>
      </c>
      <c r="S146">
        <f t="shared" si="23"/>
        <v>318.96583970783399</v>
      </c>
      <c r="T146">
        <f t="shared" si="19"/>
        <v>1</v>
      </c>
      <c r="U146">
        <f t="shared" si="20"/>
        <v>1</v>
      </c>
    </row>
    <row r="147" spans="1:21" x14ac:dyDescent="0.3">
      <c r="A147" s="1">
        <v>43028</v>
      </c>
      <c r="B147" s="1">
        <v>43119</v>
      </c>
      <c r="C147">
        <v>330.69666147231999</v>
      </c>
      <c r="D147">
        <v>329.599999904632</v>
      </c>
      <c r="E147">
        <v>326.25</v>
      </c>
      <c r="F147">
        <v>3.3499999046325599</v>
      </c>
      <c r="G147">
        <v>4.4466614723205504</v>
      </c>
      <c r="H147">
        <v>3.3499999046325599</v>
      </c>
      <c r="J147">
        <v>332.427097797393</v>
      </c>
      <c r="K147">
        <v>326.48277789950299</v>
      </c>
      <c r="L147" s="1">
        <v>43119</v>
      </c>
      <c r="M147">
        <v>329.599999904632</v>
      </c>
      <c r="N147">
        <f t="shared" si="21"/>
        <v>329.86884572307196</v>
      </c>
      <c r="O147">
        <f t="shared" si="18"/>
        <v>0</v>
      </c>
      <c r="P147">
        <v>6.4598730900000003</v>
      </c>
      <c r="R147">
        <f t="shared" si="22"/>
        <v>340.25879050313199</v>
      </c>
      <c r="S147">
        <f t="shared" si="23"/>
        <v>318.94120930613201</v>
      </c>
      <c r="T147">
        <f t="shared" si="19"/>
        <v>1</v>
      </c>
      <c r="U147">
        <f t="shared" si="20"/>
        <v>1</v>
      </c>
    </row>
    <row r="148" spans="1:21" x14ac:dyDescent="0.3">
      <c r="A148" s="1">
        <v>43031</v>
      </c>
      <c r="B148" s="1">
        <v>43122</v>
      </c>
      <c r="C148">
        <v>329.38030056953397</v>
      </c>
      <c r="D148">
        <v>326.24999998807903</v>
      </c>
      <c r="E148">
        <v>327.05</v>
      </c>
      <c r="F148">
        <v>-0.80000001192092896</v>
      </c>
      <c r="G148">
        <v>2.3303005695343</v>
      </c>
      <c r="H148">
        <v>-0.80000001192092896</v>
      </c>
      <c r="J148">
        <v>328.46816973686202</v>
      </c>
      <c r="K148">
        <v>325.11420564651399</v>
      </c>
      <c r="L148" s="1">
        <v>43122</v>
      </c>
      <c r="M148">
        <v>326.24999998807903</v>
      </c>
      <c r="N148">
        <f t="shared" si="21"/>
        <v>327.65422531763664</v>
      </c>
      <c r="O148">
        <f t="shared" si="18"/>
        <v>1</v>
      </c>
      <c r="P148">
        <v>6.6151943940000004</v>
      </c>
      <c r="R148">
        <f t="shared" si="22"/>
        <v>337.165070738179</v>
      </c>
      <c r="S148">
        <f t="shared" si="23"/>
        <v>315.33492923797905</v>
      </c>
      <c r="T148">
        <f t="shared" si="19"/>
        <v>0</v>
      </c>
      <c r="U148">
        <f t="shared" si="20"/>
        <v>0</v>
      </c>
    </row>
    <row r="149" spans="1:21" x14ac:dyDescent="0.3">
      <c r="A149" s="1">
        <v>43032</v>
      </c>
      <c r="B149" s="1">
        <v>43123</v>
      </c>
      <c r="C149">
        <v>336.18988494873003</v>
      </c>
      <c r="D149">
        <v>331.24999980926498</v>
      </c>
      <c r="E149">
        <v>326.55</v>
      </c>
      <c r="F149">
        <v>4.6999998092651296</v>
      </c>
      <c r="G149">
        <v>9.6398849487304599</v>
      </c>
      <c r="H149">
        <v>4.6999998092651296</v>
      </c>
      <c r="J149">
        <v>325.50853257179199</v>
      </c>
      <c r="K149">
        <v>329.62815779447499</v>
      </c>
      <c r="L149" s="1">
        <v>43123</v>
      </c>
      <c r="M149">
        <v>331.24999980926498</v>
      </c>
      <c r="N149">
        <f t="shared" si="21"/>
        <v>330.4421917716657</v>
      </c>
      <c r="O149">
        <f t="shared" si="18"/>
        <v>1</v>
      </c>
      <c r="P149">
        <v>6.7771174490000003</v>
      </c>
      <c r="R149">
        <f t="shared" si="22"/>
        <v>342.43224360011499</v>
      </c>
      <c r="S149">
        <f t="shared" si="23"/>
        <v>320.06775601841497</v>
      </c>
      <c r="T149">
        <f t="shared" si="19"/>
        <v>1</v>
      </c>
      <c r="U149">
        <f t="shared" si="20"/>
        <v>1</v>
      </c>
    </row>
    <row r="150" spans="1:21" x14ac:dyDescent="0.3">
      <c r="A150" s="1">
        <v>43033</v>
      </c>
      <c r="B150" s="1">
        <v>43124</v>
      </c>
      <c r="C150">
        <v>328.78957152366598</v>
      </c>
      <c r="D150">
        <v>331.599999904632</v>
      </c>
      <c r="E150">
        <v>326.75</v>
      </c>
      <c r="F150">
        <v>4.8499999046325604</v>
      </c>
      <c r="G150">
        <v>2.0395715236663801</v>
      </c>
      <c r="H150">
        <v>4.8499999046325604</v>
      </c>
      <c r="J150">
        <v>327.93738913535998</v>
      </c>
      <c r="K150">
        <v>327.72728140354099</v>
      </c>
      <c r="L150" s="1">
        <v>43124</v>
      </c>
      <c r="M150">
        <v>331.599999904632</v>
      </c>
      <c r="N150">
        <f t="shared" si="21"/>
        <v>328.15141402085561</v>
      </c>
      <c r="O150">
        <f t="shared" si="18"/>
        <v>1</v>
      </c>
      <c r="P150">
        <v>6.9492586589999998</v>
      </c>
      <c r="R150">
        <f t="shared" si="22"/>
        <v>343.06627669198201</v>
      </c>
      <c r="S150">
        <f t="shared" si="23"/>
        <v>320.13372311728199</v>
      </c>
      <c r="T150">
        <f t="shared" si="19"/>
        <v>1</v>
      </c>
      <c r="U150">
        <f t="shared" si="20"/>
        <v>1</v>
      </c>
    </row>
    <row r="151" spans="1:21" x14ac:dyDescent="0.3">
      <c r="A151" s="1">
        <v>43034</v>
      </c>
      <c r="B151" s="1">
        <v>43125</v>
      </c>
      <c r="C151">
        <v>331.31042098999001</v>
      </c>
      <c r="D151">
        <v>334.30000019073401</v>
      </c>
      <c r="E151">
        <v>323.75</v>
      </c>
      <c r="F151">
        <v>10.550000190734799</v>
      </c>
      <c r="G151">
        <v>7.5604209899902299</v>
      </c>
      <c r="H151">
        <v>10.550000190734799</v>
      </c>
      <c r="J151">
        <v>326.305121421813</v>
      </c>
      <c r="K151">
        <v>327.50711944103199</v>
      </c>
      <c r="L151" s="1">
        <v>43125</v>
      </c>
      <c r="M151">
        <v>334.30000019073401</v>
      </c>
      <c r="N151">
        <f t="shared" si="21"/>
        <v>328.37422061761168</v>
      </c>
      <c r="O151">
        <f t="shared" si="18"/>
        <v>1</v>
      </c>
      <c r="P151">
        <v>7.0238661660000004</v>
      </c>
      <c r="R151">
        <f t="shared" si="22"/>
        <v>345.88937936463401</v>
      </c>
      <c r="S151">
        <f t="shared" si="23"/>
        <v>322.71062101683401</v>
      </c>
      <c r="T151">
        <f t="shared" si="19"/>
        <v>1</v>
      </c>
      <c r="U151">
        <f t="shared" si="20"/>
        <v>1</v>
      </c>
    </row>
    <row r="152" spans="1:21" x14ac:dyDescent="0.3">
      <c r="A152" s="1">
        <v>43035</v>
      </c>
      <c r="B152" s="1">
        <v>43126</v>
      </c>
      <c r="C152">
        <v>337.18093357086099</v>
      </c>
      <c r="D152">
        <v>335.95000038146901</v>
      </c>
      <c r="E152">
        <v>326.85000000000002</v>
      </c>
      <c r="F152">
        <v>9.1000003814697195</v>
      </c>
      <c r="G152">
        <v>10.3309335708618</v>
      </c>
      <c r="H152">
        <v>9.1000003814697195</v>
      </c>
      <c r="J152">
        <v>329.94243130683901</v>
      </c>
      <c r="K152">
        <v>326.54601249694798</v>
      </c>
      <c r="L152" s="1">
        <v>43126</v>
      </c>
      <c r="M152">
        <v>335.95000038146901</v>
      </c>
      <c r="N152">
        <f t="shared" si="21"/>
        <v>331.22312579154931</v>
      </c>
      <c r="O152">
        <f t="shared" si="18"/>
        <v>1</v>
      </c>
      <c r="P152">
        <v>7.2219246679999998</v>
      </c>
      <c r="R152">
        <f t="shared" si="22"/>
        <v>347.86617608366902</v>
      </c>
      <c r="S152">
        <f t="shared" si="23"/>
        <v>324.033824679269</v>
      </c>
      <c r="T152">
        <f t="shared" si="19"/>
        <v>1</v>
      </c>
      <c r="U152">
        <f t="shared" si="20"/>
        <v>1</v>
      </c>
    </row>
    <row r="153" spans="1:21" x14ac:dyDescent="0.3">
      <c r="A153" s="1">
        <v>43038</v>
      </c>
      <c r="B153" s="1">
        <v>43129</v>
      </c>
      <c r="C153">
        <v>334.50814075469901</v>
      </c>
      <c r="D153">
        <v>338.500000190734</v>
      </c>
      <c r="E153">
        <v>327.45</v>
      </c>
      <c r="F153">
        <v>11.050000190734799</v>
      </c>
      <c r="G153">
        <v>7.0581407546996999</v>
      </c>
      <c r="H153">
        <v>11.050000190734799</v>
      </c>
      <c r="J153">
        <v>328.69527287483203</v>
      </c>
      <c r="K153">
        <v>327.14977383613501</v>
      </c>
      <c r="L153" s="1">
        <v>43129</v>
      </c>
      <c r="M153">
        <v>338.500000190734</v>
      </c>
      <c r="N153">
        <f t="shared" si="21"/>
        <v>330.11772915522198</v>
      </c>
      <c r="O153">
        <f t="shared" si="18"/>
        <v>1</v>
      </c>
      <c r="P153">
        <v>7.4264424099999999</v>
      </c>
      <c r="R153">
        <f t="shared" si="22"/>
        <v>350.75363016723401</v>
      </c>
      <c r="S153">
        <f t="shared" si="23"/>
        <v>326.24637021423399</v>
      </c>
      <c r="T153">
        <f t="shared" si="19"/>
        <v>1</v>
      </c>
      <c r="U153">
        <f t="shared" si="20"/>
        <v>1</v>
      </c>
    </row>
    <row r="154" spans="1:21" x14ac:dyDescent="0.3">
      <c r="A154" s="1">
        <v>43039</v>
      </c>
      <c r="B154" s="1">
        <v>43130</v>
      </c>
      <c r="C154">
        <v>339.180107879638</v>
      </c>
      <c r="D154">
        <v>333.89999990463201</v>
      </c>
      <c r="E154">
        <v>331.05</v>
      </c>
      <c r="F154">
        <v>2.8499999046325599</v>
      </c>
      <c r="G154">
        <v>8.1301078796386701</v>
      </c>
      <c r="H154">
        <v>2.8499999046325599</v>
      </c>
      <c r="J154">
        <v>332.18086199760398</v>
      </c>
      <c r="K154">
        <v>329.248540401458</v>
      </c>
      <c r="L154" s="1">
        <v>43130</v>
      </c>
      <c r="M154">
        <v>333.89999990463201</v>
      </c>
      <c r="N154">
        <f t="shared" si="21"/>
        <v>333.53650342623337</v>
      </c>
      <c r="O154">
        <f t="shared" si="18"/>
        <v>1</v>
      </c>
      <c r="P154">
        <v>7.7248648700000002</v>
      </c>
      <c r="R154">
        <f t="shared" si="22"/>
        <v>346.646026940132</v>
      </c>
      <c r="S154">
        <f t="shared" si="23"/>
        <v>321.15397286913202</v>
      </c>
      <c r="T154">
        <f t="shared" si="19"/>
        <v>1</v>
      </c>
      <c r="U154">
        <f t="shared" si="20"/>
        <v>1</v>
      </c>
    </row>
    <row r="155" spans="1:21" x14ac:dyDescent="0.3">
      <c r="A155" s="1">
        <v>43040</v>
      </c>
      <c r="B155" s="1">
        <v>43131</v>
      </c>
      <c r="C155">
        <v>343.64547853469799</v>
      </c>
      <c r="D155">
        <v>334.45000009536699</v>
      </c>
      <c r="E155">
        <v>336.55</v>
      </c>
      <c r="F155">
        <v>-2.0999999046325599</v>
      </c>
      <c r="G155">
        <v>7.0954785346984801</v>
      </c>
      <c r="H155">
        <v>-2.0999999046325599</v>
      </c>
      <c r="J155">
        <v>334.46711068153297</v>
      </c>
      <c r="K155">
        <v>328.26870021820002</v>
      </c>
      <c r="L155" s="1">
        <v>43131</v>
      </c>
      <c r="M155">
        <v>334.45000009536699</v>
      </c>
      <c r="N155">
        <f t="shared" si="21"/>
        <v>335.46042981147701</v>
      </c>
      <c r="O155">
        <f>IF((D155-E155)*(D155-N155)&gt;0,1,0)</f>
        <v>1</v>
      </c>
      <c r="P155">
        <v>8.2105999000000001</v>
      </c>
      <c r="R155">
        <f t="shared" si="22"/>
        <v>347.99748993036701</v>
      </c>
      <c r="S155">
        <f t="shared" si="23"/>
        <v>320.90251026036697</v>
      </c>
      <c r="T155">
        <f t="shared" si="19"/>
        <v>1</v>
      </c>
      <c r="U155">
        <f>IF(AND((C155-E155)*(D155-E155)&gt;0,AND(C155&lt;R155,C155&gt;S155)),1,0)</f>
        <v>0</v>
      </c>
    </row>
    <row r="156" spans="1:21" x14ac:dyDescent="0.3">
      <c r="A156" s="1">
        <v>43041</v>
      </c>
      <c r="B156" s="1">
        <v>43132</v>
      </c>
      <c r="C156">
        <v>342.40796499252298</v>
      </c>
      <c r="D156">
        <v>333.65000002384102</v>
      </c>
      <c r="E156">
        <v>335.05</v>
      </c>
      <c r="F156">
        <v>-1.3999999761581401</v>
      </c>
      <c r="G156">
        <v>7.3579649925231898</v>
      </c>
      <c r="H156">
        <v>-1.3999999761581401</v>
      </c>
      <c r="J156">
        <v>335.54180012941299</v>
      </c>
      <c r="K156">
        <v>331.14073448181102</v>
      </c>
      <c r="L156" s="1">
        <v>43132</v>
      </c>
      <c r="M156">
        <v>333.65000002384102</v>
      </c>
      <c r="N156">
        <f t="shared" si="21"/>
        <v>336.36349986791566</v>
      </c>
      <c r="O156">
        <f t="shared" ref="O156:O180" si="24">IF((D156-E156)*(D156-N156)&gt;0,1,0)</f>
        <v>1</v>
      </c>
      <c r="P156">
        <v>8.5994302559999998</v>
      </c>
      <c r="R156">
        <f t="shared" si="22"/>
        <v>347.83905994624104</v>
      </c>
      <c r="S156">
        <f t="shared" si="23"/>
        <v>319.460940101441</v>
      </c>
      <c r="T156">
        <f t="shared" si="19"/>
        <v>0</v>
      </c>
      <c r="U156">
        <f t="shared" si="20"/>
        <v>0</v>
      </c>
    </row>
    <row r="157" spans="1:21" x14ac:dyDescent="0.3">
      <c r="A157" s="1">
        <v>43042</v>
      </c>
      <c r="B157" s="1">
        <v>43133</v>
      </c>
      <c r="C157">
        <v>340.72514257430998</v>
      </c>
      <c r="D157">
        <v>327.40000019073398</v>
      </c>
      <c r="E157">
        <v>336.35</v>
      </c>
      <c r="F157">
        <v>-8.9499998092651296</v>
      </c>
      <c r="G157">
        <v>4.3751425743103001</v>
      </c>
      <c r="H157">
        <v>-8.9499998092651296</v>
      </c>
      <c r="J157">
        <v>338.22149679660799</v>
      </c>
      <c r="K157">
        <v>334.08803112506803</v>
      </c>
      <c r="L157" s="1">
        <v>43133</v>
      </c>
      <c r="M157">
        <v>327.40000019073398</v>
      </c>
      <c r="N157">
        <f t="shared" si="21"/>
        <v>337.67822349866202</v>
      </c>
      <c r="O157">
        <f t="shared" si="24"/>
        <v>1</v>
      </c>
      <c r="P157">
        <v>9.0092958799999998</v>
      </c>
      <c r="R157">
        <f t="shared" si="22"/>
        <v>342.26533839273395</v>
      </c>
      <c r="S157">
        <f t="shared" si="23"/>
        <v>312.534661988734</v>
      </c>
      <c r="T157">
        <f t="shared" si="19"/>
        <v>0</v>
      </c>
      <c r="U157">
        <f t="shared" si="20"/>
        <v>0</v>
      </c>
    </row>
    <row r="158" spans="1:21" x14ac:dyDescent="0.3">
      <c r="A158" s="1">
        <v>43045</v>
      </c>
      <c r="B158" s="1">
        <v>43136</v>
      </c>
      <c r="C158">
        <v>342.660599136352</v>
      </c>
      <c r="D158">
        <v>323.00000038146902</v>
      </c>
      <c r="E158">
        <v>334.15</v>
      </c>
      <c r="F158">
        <v>-11.149999618530201</v>
      </c>
      <c r="G158">
        <v>8.5105991363525302</v>
      </c>
      <c r="H158">
        <v>-11.149999618530201</v>
      </c>
      <c r="J158">
        <v>334.17811053395201</v>
      </c>
      <c r="K158">
        <v>337.46354138851098</v>
      </c>
      <c r="L158" s="1">
        <v>43136</v>
      </c>
      <c r="M158">
        <v>323.00000038146902</v>
      </c>
      <c r="N158">
        <f t="shared" si="21"/>
        <v>338.10075035293835</v>
      </c>
      <c r="O158">
        <f t="shared" si="24"/>
        <v>1</v>
      </c>
      <c r="P158">
        <v>9.3140300759999999</v>
      </c>
      <c r="R158">
        <f t="shared" si="22"/>
        <v>338.36815000686903</v>
      </c>
      <c r="S158">
        <f t="shared" si="23"/>
        <v>307.63185075606901</v>
      </c>
      <c r="T158">
        <f t="shared" si="19"/>
        <v>0</v>
      </c>
      <c r="U158">
        <f>IF(AND((C158-E158)*(D158-E158)&gt;0,AND(C158&lt;R158,C158&gt;S158)),1,0)</f>
        <v>0</v>
      </c>
    </row>
    <row r="159" spans="1:21" x14ac:dyDescent="0.3">
      <c r="A159" s="1">
        <v>43046</v>
      </c>
      <c r="B159" s="1">
        <v>43137</v>
      </c>
      <c r="C159">
        <v>331.19782280921902</v>
      </c>
      <c r="D159">
        <v>317.64999961852999</v>
      </c>
      <c r="E159">
        <v>333.75</v>
      </c>
      <c r="F159">
        <v>16.100000381469702</v>
      </c>
      <c r="G159">
        <v>-2.5521771907806299</v>
      </c>
      <c r="H159">
        <v>-16.100000381469702</v>
      </c>
      <c r="J159">
        <v>330.603904485702</v>
      </c>
      <c r="K159">
        <v>336.41862716674802</v>
      </c>
      <c r="L159" s="1">
        <v>43137</v>
      </c>
      <c r="M159">
        <v>317.64999961852999</v>
      </c>
      <c r="N159">
        <f t="shared" si="21"/>
        <v>332.74011815388968</v>
      </c>
      <c r="O159">
        <f t="shared" si="24"/>
        <v>1</v>
      </c>
      <c r="P159">
        <v>9.5856255059999995</v>
      </c>
      <c r="R159">
        <f t="shared" si="22"/>
        <v>333.46628170343001</v>
      </c>
      <c r="S159">
        <f t="shared" si="23"/>
        <v>301.83371753362997</v>
      </c>
      <c r="T159">
        <f t="shared" si="19"/>
        <v>1</v>
      </c>
      <c r="U159">
        <f t="shared" si="20"/>
        <v>1</v>
      </c>
    </row>
    <row r="160" spans="1:21" x14ac:dyDescent="0.3">
      <c r="A160" s="1">
        <v>43047</v>
      </c>
      <c r="B160" s="1">
        <v>43138</v>
      </c>
      <c r="C160">
        <v>335.89828956127099</v>
      </c>
      <c r="D160">
        <v>309.5</v>
      </c>
      <c r="E160">
        <v>335.25</v>
      </c>
      <c r="F160">
        <v>-25.75</v>
      </c>
      <c r="G160">
        <v>0.64828956127166704</v>
      </c>
      <c r="H160">
        <v>-25.75</v>
      </c>
      <c r="J160">
        <v>334.27667838334997</v>
      </c>
      <c r="K160">
        <v>337.04616613387998</v>
      </c>
      <c r="L160" s="1">
        <v>43138</v>
      </c>
      <c r="M160">
        <v>309.5</v>
      </c>
      <c r="N160">
        <f t="shared" si="21"/>
        <v>335.74037802616698</v>
      </c>
      <c r="O160">
        <f t="shared" si="24"/>
        <v>1</v>
      </c>
      <c r="P160">
        <v>9.8484155310000006</v>
      </c>
      <c r="R160">
        <f t="shared" si="22"/>
        <v>325.74988562614999</v>
      </c>
      <c r="S160">
        <f t="shared" si="23"/>
        <v>293.25011437385001</v>
      </c>
      <c r="T160">
        <f t="shared" si="19"/>
        <v>0</v>
      </c>
      <c r="U160">
        <f t="shared" si="20"/>
        <v>0</v>
      </c>
    </row>
    <row r="161" spans="1:21" x14ac:dyDescent="0.3">
      <c r="A161" s="1">
        <v>43048</v>
      </c>
      <c r="B161" s="1">
        <v>43139</v>
      </c>
      <c r="C161">
        <v>329.39221515655498</v>
      </c>
      <c r="D161">
        <v>312.50000038146902</v>
      </c>
      <c r="E161">
        <v>333.65</v>
      </c>
      <c r="F161">
        <v>21.149999618530199</v>
      </c>
      <c r="G161">
        <v>-4.2577848434448198</v>
      </c>
      <c r="H161">
        <v>-21.149999618530199</v>
      </c>
      <c r="J161">
        <v>330.841568613052</v>
      </c>
      <c r="K161">
        <v>334.37762620449001</v>
      </c>
      <c r="L161" s="1">
        <v>43139</v>
      </c>
      <c r="M161">
        <v>312.50000038146902</v>
      </c>
      <c r="N161">
        <f t="shared" si="21"/>
        <v>331.53713665803235</v>
      </c>
      <c r="O161">
        <f t="shared" si="24"/>
        <v>1</v>
      </c>
      <c r="P161">
        <v>10.0242763</v>
      </c>
      <c r="R161">
        <f t="shared" si="22"/>
        <v>329.04005627646904</v>
      </c>
      <c r="S161">
        <f t="shared" si="23"/>
        <v>295.959944486469</v>
      </c>
      <c r="T161">
        <f t="shared" si="19"/>
        <v>0</v>
      </c>
      <c r="U161">
        <f t="shared" si="20"/>
        <v>0</v>
      </c>
    </row>
    <row r="162" spans="1:21" x14ac:dyDescent="0.3">
      <c r="A162" s="1">
        <v>43049</v>
      </c>
      <c r="B162" s="1">
        <v>43140</v>
      </c>
      <c r="C162">
        <v>326.09500637054401</v>
      </c>
      <c r="D162">
        <v>303.85000076293898</v>
      </c>
      <c r="E162">
        <v>332.9</v>
      </c>
      <c r="F162">
        <v>29.049999237060501</v>
      </c>
      <c r="G162">
        <v>-6.8049936294555602</v>
      </c>
      <c r="H162">
        <v>-29.049999237060501</v>
      </c>
      <c r="J162">
        <v>327.57448377609199</v>
      </c>
      <c r="K162">
        <v>332.65276470184301</v>
      </c>
      <c r="L162" s="1">
        <v>43140</v>
      </c>
      <c r="M162">
        <v>303.85000076293898</v>
      </c>
      <c r="N162">
        <f t="shared" si="21"/>
        <v>328.77408494949299</v>
      </c>
      <c r="O162">
        <f t="shared" si="24"/>
        <v>1</v>
      </c>
      <c r="P162">
        <v>10.05074624</v>
      </c>
      <c r="R162">
        <f t="shared" si="22"/>
        <v>320.43373205893897</v>
      </c>
      <c r="S162">
        <f t="shared" si="23"/>
        <v>287.26626946693898</v>
      </c>
      <c r="T162">
        <f t="shared" si="19"/>
        <v>0</v>
      </c>
      <c r="U162">
        <f t="shared" si="20"/>
        <v>0</v>
      </c>
    </row>
    <row r="163" spans="1:21" x14ac:dyDescent="0.3">
      <c r="A163" s="1">
        <v>43052</v>
      </c>
      <c r="B163" s="1">
        <v>43143</v>
      </c>
      <c r="C163">
        <v>322.281040954589</v>
      </c>
      <c r="D163">
        <v>308.09999923705999</v>
      </c>
      <c r="E163">
        <v>331.55</v>
      </c>
      <c r="F163">
        <v>23.4500007629394</v>
      </c>
      <c r="G163">
        <v>-9.2689590454101491</v>
      </c>
      <c r="H163">
        <v>-23.4500007629394</v>
      </c>
      <c r="J163">
        <v>327.57478098869302</v>
      </c>
      <c r="K163">
        <v>329.95091819763098</v>
      </c>
      <c r="L163" s="1">
        <v>43143</v>
      </c>
      <c r="M163">
        <v>308.09999923705999</v>
      </c>
      <c r="N163">
        <f t="shared" si="21"/>
        <v>326.60224671363767</v>
      </c>
      <c r="O163">
        <f t="shared" si="24"/>
        <v>1</v>
      </c>
      <c r="P163">
        <v>10.091207969999999</v>
      </c>
      <c r="R163">
        <f t="shared" si="22"/>
        <v>324.75049238755997</v>
      </c>
      <c r="S163">
        <f t="shared" si="23"/>
        <v>291.44950608656001</v>
      </c>
      <c r="T163">
        <f t="shared" si="19"/>
        <v>0</v>
      </c>
      <c r="U163">
        <f>IF(AND((C163-E163)*(D163-E163)&gt;0,AND(C163&lt;R163,C163&gt;S163)),1,0)</f>
        <v>1</v>
      </c>
    </row>
    <row r="164" spans="1:21" x14ac:dyDescent="0.3">
      <c r="A164" s="1">
        <v>43053</v>
      </c>
      <c r="B164" s="1">
        <v>43144</v>
      </c>
      <c r="C164">
        <v>328.97716693878101</v>
      </c>
      <c r="D164">
        <v>311.400000381469</v>
      </c>
      <c r="E164">
        <v>331.3</v>
      </c>
      <c r="F164">
        <v>19.899999618530199</v>
      </c>
      <c r="G164">
        <v>-2.3228330612182599</v>
      </c>
      <c r="H164">
        <v>-19.899999618530199</v>
      </c>
      <c r="J164">
        <v>325.48457460403398</v>
      </c>
      <c r="K164">
        <v>323.993450546264</v>
      </c>
      <c r="L164" s="1">
        <v>43144</v>
      </c>
      <c r="M164">
        <v>311.400000381469</v>
      </c>
      <c r="N164">
        <f t="shared" si="21"/>
        <v>326.15173069635966</v>
      </c>
      <c r="O164">
        <f t="shared" si="24"/>
        <v>1</v>
      </c>
      <c r="P164">
        <v>10.108969269999999</v>
      </c>
      <c r="R164">
        <f t="shared" si="22"/>
        <v>328.079799676969</v>
      </c>
      <c r="S164">
        <f t="shared" si="23"/>
        <v>294.72020108596899</v>
      </c>
      <c r="T164">
        <f t="shared" si="19"/>
        <v>1</v>
      </c>
      <c r="U164">
        <f t="shared" si="20"/>
        <v>0</v>
      </c>
    </row>
    <row r="165" spans="1:21" x14ac:dyDescent="0.3">
      <c r="A165" s="1">
        <v>43054</v>
      </c>
      <c r="B165" s="1">
        <v>43145</v>
      </c>
      <c r="C165">
        <v>322.67885818481398</v>
      </c>
      <c r="D165">
        <v>314.29999961853002</v>
      </c>
      <c r="E165">
        <v>329.15</v>
      </c>
      <c r="F165">
        <v>14.8500003814697</v>
      </c>
      <c r="G165">
        <v>-6.4711418151855398</v>
      </c>
      <c r="H165">
        <v>-14.8500003814697</v>
      </c>
      <c r="J165">
        <v>328.60650207996298</v>
      </c>
      <c r="K165">
        <v>315.23035430908197</v>
      </c>
      <c r="L165" s="1">
        <v>43145</v>
      </c>
      <c r="M165">
        <v>314.29999961853002</v>
      </c>
      <c r="N165">
        <f t="shared" si="21"/>
        <v>322.171904857953</v>
      </c>
      <c r="O165">
        <f t="shared" si="24"/>
        <v>1</v>
      </c>
      <c r="P165">
        <v>10.10183318</v>
      </c>
      <c r="R165">
        <f t="shared" si="22"/>
        <v>330.96802436553003</v>
      </c>
      <c r="S165">
        <f t="shared" si="23"/>
        <v>297.63197487153002</v>
      </c>
      <c r="T165">
        <f t="shared" si="19"/>
        <v>1</v>
      </c>
      <c r="U165">
        <f t="shared" si="20"/>
        <v>1</v>
      </c>
    </row>
    <row r="166" spans="1:21" x14ac:dyDescent="0.3">
      <c r="A166" s="1">
        <v>43055</v>
      </c>
      <c r="B166" s="1">
        <v>43146</v>
      </c>
      <c r="C166">
        <v>325.98200159072798</v>
      </c>
      <c r="D166">
        <v>314.3</v>
      </c>
      <c r="E166">
        <v>331.3</v>
      </c>
      <c r="F166">
        <v>17</v>
      </c>
      <c r="G166">
        <v>-5.3179984092712402</v>
      </c>
      <c r="H166">
        <v>-17</v>
      </c>
      <c r="J166">
        <v>325.54458646774202</v>
      </c>
      <c r="K166">
        <v>313.44946140050803</v>
      </c>
      <c r="L166" s="1">
        <v>43146</v>
      </c>
      <c r="M166">
        <v>314.3</v>
      </c>
      <c r="N166">
        <f t="shared" si="21"/>
        <v>321.65868315299264</v>
      </c>
      <c r="O166">
        <f t="shared" si="24"/>
        <v>1</v>
      </c>
      <c r="P166">
        <v>10.1503003</v>
      </c>
      <c r="R166">
        <f t="shared" si="22"/>
        <v>331.04799549500001</v>
      </c>
      <c r="S166">
        <f t="shared" si="23"/>
        <v>297.55200450500001</v>
      </c>
      <c r="T166">
        <f t="shared" si="19"/>
        <v>1</v>
      </c>
      <c r="U166">
        <f t="shared" si="20"/>
        <v>1</v>
      </c>
    </row>
    <row r="167" spans="1:21" x14ac:dyDescent="0.3">
      <c r="A167" s="1">
        <v>43056</v>
      </c>
      <c r="B167" s="1">
        <v>43147</v>
      </c>
      <c r="C167">
        <v>320.70459480285598</v>
      </c>
      <c r="D167">
        <v>314.30000038146898</v>
      </c>
      <c r="E167">
        <v>330.95</v>
      </c>
      <c r="F167">
        <v>16.649999618530199</v>
      </c>
      <c r="G167">
        <v>-10.2454051971435</v>
      </c>
      <c r="H167">
        <v>-16.649999618530199</v>
      </c>
      <c r="J167">
        <v>324.67609758377</v>
      </c>
      <c r="K167">
        <v>305.27291295528403</v>
      </c>
      <c r="L167" s="1">
        <v>43147</v>
      </c>
      <c r="M167">
        <v>314.30000038146898</v>
      </c>
      <c r="N167">
        <f t="shared" si="21"/>
        <v>316.88453511397</v>
      </c>
      <c r="O167">
        <f t="shared" si="24"/>
        <v>1</v>
      </c>
      <c r="P167">
        <v>10.17647457</v>
      </c>
      <c r="R167">
        <f t="shared" si="22"/>
        <v>331.09118342196899</v>
      </c>
      <c r="S167">
        <f t="shared" si="23"/>
        <v>297.50881734096896</v>
      </c>
      <c r="T167">
        <f t="shared" si="19"/>
        <v>1</v>
      </c>
      <c r="U167">
        <f>IF(AND((C167-E167)*(D167-E167)&gt;0,AND(C167&lt;R167,C167&gt;S167)),1,0)</f>
        <v>1</v>
      </c>
    </row>
    <row r="168" spans="1:21" x14ac:dyDescent="0.3">
      <c r="A168" s="1">
        <v>43059</v>
      </c>
      <c r="B168" s="1">
        <v>43150</v>
      </c>
      <c r="C168">
        <v>326.74803061485198</v>
      </c>
      <c r="D168">
        <v>316.250000190734</v>
      </c>
      <c r="E168">
        <v>329.45</v>
      </c>
      <c r="F168">
        <v>13.199999809265099</v>
      </c>
      <c r="G168">
        <v>-2.7019693851470898</v>
      </c>
      <c r="H168">
        <v>-13.199999809265099</v>
      </c>
      <c r="J168">
        <v>325.57283658981299</v>
      </c>
      <c r="K168">
        <v>311.19760999679499</v>
      </c>
      <c r="L168" s="1">
        <v>43150</v>
      </c>
      <c r="M168">
        <v>316.250000190734</v>
      </c>
      <c r="N168">
        <f t="shared" si="21"/>
        <v>321.17282573381999</v>
      </c>
      <c r="O168">
        <f t="shared" si="24"/>
        <v>1</v>
      </c>
      <c r="P168">
        <v>10.15178745</v>
      </c>
      <c r="R168">
        <f t="shared" si="22"/>
        <v>333.00044948323398</v>
      </c>
      <c r="S168">
        <f t="shared" si="23"/>
        <v>299.49955089823402</v>
      </c>
      <c r="T168">
        <f t="shared" si="19"/>
        <v>1</v>
      </c>
      <c r="U168">
        <f t="shared" si="20"/>
        <v>1</v>
      </c>
    </row>
    <row r="169" spans="1:21" x14ac:dyDescent="0.3">
      <c r="A169" s="1">
        <v>43060</v>
      </c>
      <c r="B169" s="1">
        <v>43151</v>
      </c>
      <c r="C169">
        <v>329.84973869323699</v>
      </c>
      <c r="D169">
        <v>311.99999961853001</v>
      </c>
      <c r="E169">
        <v>330.85</v>
      </c>
      <c r="F169">
        <v>18.850000381469702</v>
      </c>
      <c r="G169">
        <v>-1.00026130676269</v>
      </c>
      <c r="H169">
        <v>-18.850000381469702</v>
      </c>
      <c r="J169">
        <v>325.40696439742999</v>
      </c>
      <c r="K169">
        <v>310.87592097520798</v>
      </c>
      <c r="L169" s="1">
        <v>43151</v>
      </c>
      <c r="M169">
        <v>311.99999961853001</v>
      </c>
      <c r="N169">
        <f t="shared" si="21"/>
        <v>322.04420802195835</v>
      </c>
      <c r="O169">
        <f t="shared" si="24"/>
        <v>1</v>
      </c>
      <c r="P169">
        <v>10.16764092</v>
      </c>
      <c r="R169">
        <f t="shared" si="22"/>
        <v>328.77660713653</v>
      </c>
      <c r="S169">
        <f t="shared" si="23"/>
        <v>295.22339210053002</v>
      </c>
      <c r="T169">
        <f t="shared" si="19"/>
        <v>1</v>
      </c>
      <c r="U169">
        <f>IF(AND((C169-E169)*(D169-E169)&gt;0,AND(C169&lt;R169,C169&gt;S169)),1,0)</f>
        <v>0</v>
      </c>
    </row>
    <row r="170" spans="1:21" x14ac:dyDescent="0.3">
      <c r="A170" s="1">
        <v>43061</v>
      </c>
      <c r="B170" s="1">
        <v>43152</v>
      </c>
      <c r="C170">
        <v>324.97689514160101</v>
      </c>
      <c r="D170">
        <v>314.05</v>
      </c>
      <c r="E170">
        <v>332.55</v>
      </c>
      <c r="F170">
        <v>18.5</v>
      </c>
      <c r="G170">
        <v>-7.5731048583984304</v>
      </c>
      <c r="H170">
        <v>-18.5</v>
      </c>
      <c r="J170">
        <v>324.242351341247</v>
      </c>
      <c r="K170">
        <v>314.69004969596801</v>
      </c>
      <c r="L170" s="1">
        <v>43152</v>
      </c>
      <c r="M170">
        <v>314.05</v>
      </c>
      <c r="N170">
        <f t="shared" si="21"/>
        <v>321.30309872627203</v>
      </c>
      <c r="O170">
        <f t="shared" si="24"/>
        <v>1</v>
      </c>
      <c r="P170">
        <v>10.20110659</v>
      </c>
      <c r="R170">
        <f t="shared" si="22"/>
        <v>330.88182587350002</v>
      </c>
      <c r="S170">
        <f t="shared" si="23"/>
        <v>297.2181741265</v>
      </c>
      <c r="T170">
        <f t="shared" si="19"/>
        <v>1</v>
      </c>
      <c r="U170">
        <f t="shared" si="20"/>
        <v>1</v>
      </c>
    </row>
    <row r="171" spans="1:21" x14ac:dyDescent="0.3">
      <c r="A171" s="1">
        <v>43062</v>
      </c>
      <c r="B171" s="1">
        <v>43153</v>
      </c>
      <c r="C171">
        <v>338.08938999176002</v>
      </c>
      <c r="D171">
        <v>311.84999961852998</v>
      </c>
      <c r="E171">
        <v>331.45</v>
      </c>
      <c r="F171">
        <v>-19.600000381469702</v>
      </c>
      <c r="G171">
        <v>6.6393899917602504</v>
      </c>
      <c r="H171">
        <v>-19.600000381469702</v>
      </c>
      <c r="J171">
        <v>323.63768596649101</v>
      </c>
      <c r="K171">
        <v>316.39128975868198</v>
      </c>
      <c r="L171" s="1">
        <v>43153</v>
      </c>
      <c r="M171">
        <v>311.84999961852998</v>
      </c>
      <c r="N171">
        <f t="shared" si="21"/>
        <v>326.03945523897767</v>
      </c>
      <c r="O171">
        <f t="shared" si="24"/>
        <v>1</v>
      </c>
      <c r="P171">
        <v>10.226004980000001</v>
      </c>
      <c r="R171">
        <f t="shared" si="22"/>
        <v>328.72290783552995</v>
      </c>
      <c r="S171">
        <f t="shared" si="23"/>
        <v>294.97709140153</v>
      </c>
      <c r="T171">
        <f t="shared" si="19"/>
        <v>1</v>
      </c>
      <c r="U171">
        <f t="shared" si="20"/>
        <v>0</v>
      </c>
    </row>
    <row r="172" spans="1:21" x14ac:dyDescent="0.3">
      <c r="A172" s="1">
        <v>43063</v>
      </c>
      <c r="B172" s="1">
        <v>43154</v>
      </c>
      <c r="C172">
        <v>340.83065700531</v>
      </c>
      <c r="D172">
        <v>316.94999980926502</v>
      </c>
      <c r="E172">
        <v>332.25</v>
      </c>
      <c r="F172">
        <v>-15.300000190734799</v>
      </c>
      <c r="G172">
        <v>8.5806570053100497</v>
      </c>
      <c r="H172">
        <v>-15.300000190734799</v>
      </c>
      <c r="J172">
        <v>324.95325136184601</v>
      </c>
      <c r="K172">
        <v>316.43906955718899</v>
      </c>
      <c r="L172" s="1">
        <v>43154</v>
      </c>
      <c r="M172">
        <v>316.94999980926502</v>
      </c>
      <c r="N172">
        <f t="shared" si="21"/>
        <v>327.407659308115</v>
      </c>
      <c r="O172">
        <f t="shared" si="24"/>
        <v>1</v>
      </c>
      <c r="P172">
        <v>10.256343019999999</v>
      </c>
      <c r="R172">
        <f t="shared" si="22"/>
        <v>333.87296579226501</v>
      </c>
      <c r="S172">
        <f t="shared" si="23"/>
        <v>300.02703382626504</v>
      </c>
      <c r="T172">
        <f t="shared" si="19"/>
        <v>1</v>
      </c>
      <c r="U172">
        <f t="shared" si="20"/>
        <v>0</v>
      </c>
    </row>
    <row r="173" spans="1:21" x14ac:dyDescent="0.3">
      <c r="A173" s="1">
        <v>43066</v>
      </c>
      <c r="B173" s="1">
        <v>43157</v>
      </c>
      <c r="C173">
        <v>337.36830749511699</v>
      </c>
      <c r="D173">
        <v>317.099999809265</v>
      </c>
      <c r="E173">
        <v>325.89999999999998</v>
      </c>
      <c r="F173">
        <v>-8.8000001907348597</v>
      </c>
      <c r="G173">
        <v>11.4683074951171</v>
      </c>
      <c r="H173">
        <v>-8.8000001907348597</v>
      </c>
      <c r="J173">
        <v>325.96359265744599</v>
      </c>
      <c r="K173">
        <v>316.20813941955498</v>
      </c>
      <c r="L173" s="1">
        <v>43157</v>
      </c>
      <c r="M173">
        <v>317.099999809265</v>
      </c>
      <c r="N173">
        <f t="shared" si="21"/>
        <v>326.51334652403932</v>
      </c>
      <c r="O173">
        <f t="shared" si="24"/>
        <v>1</v>
      </c>
      <c r="P173">
        <v>10.15876327</v>
      </c>
      <c r="R173">
        <f t="shared" si="22"/>
        <v>333.86195920476501</v>
      </c>
      <c r="S173">
        <f t="shared" si="23"/>
        <v>300.33804041376499</v>
      </c>
      <c r="T173">
        <f t="shared" si="19"/>
        <v>0</v>
      </c>
      <c r="U173">
        <f t="shared" si="20"/>
        <v>0</v>
      </c>
    </row>
    <row r="174" spans="1:21" x14ac:dyDescent="0.3">
      <c r="A174" s="1">
        <v>43067</v>
      </c>
      <c r="B174" s="1">
        <v>43158</v>
      </c>
      <c r="C174">
        <v>338.62349243163999</v>
      </c>
      <c r="D174">
        <v>315.750000190734</v>
      </c>
      <c r="E174">
        <v>327.7</v>
      </c>
      <c r="F174">
        <v>-11.949999809265099</v>
      </c>
      <c r="G174">
        <v>10.9234924316406</v>
      </c>
      <c r="H174">
        <v>-11.949999809265099</v>
      </c>
      <c r="J174">
        <v>327.13620842695201</v>
      </c>
      <c r="K174">
        <v>312.526812493801</v>
      </c>
      <c r="L174" s="1">
        <v>43158</v>
      </c>
      <c r="M174">
        <v>315.750000190734</v>
      </c>
      <c r="N174">
        <f t="shared" si="21"/>
        <v>326.09550445079765</v>
      </c>
      <c r="O174">
        <f t="shared" si="24"/>
        <v>1</v>
      </c>
      <c r="P174">
        <v>10.04686405</v>
      </c>
      <c r="R174">
        <f t="shared" si="22"/>
        <v>332.32732587323397</v>
      </c>
      <c r="S174">
        <f t="shared" si="23"/>
        <v>299.17267450823402</v>
      </c>
      <c r="T174">
        <f t="shared" si="19"/>
        <v>1</v>
      </c>
      <c r="U174">
        <f t="shared" si="20"/>
        <v>0</v>
      </c>
    </row>
    <row r="175" spans="1:21" x14ac:dyDescent="0.3">
      <c r="A175" s="1">
        <v>43068</v>
      </c>
      <c r="B175" s="1">
        <v>43159</v>
      </c>
      <c r="C175">
        <v>337.18182678222598</v>
      </c>
      <c r="D175">
        <v>312.45</v>
      </c>
      <c r="E175">
        <v>327.7</v>
      </c>
      <c r="F175">
        <v>-15.25</v>
      </c>
      <c r="G175">
        <v>9.4818267822265607</v>
      </c>
      <c r="H175">
        <v>-15.25</v>
      </c>
      <c r="J175">
        <v>325.75606436729402</v>
      </c>
      <c r="K175">
        <v>313.74039660692199</v>
      </c>
      <c r="L175" s="1">
        <v>43159</v>
      </c>
      <c r="M175">
        <v>312.45</v>
      </c>
      <c r="N175">
        <f t="shared" si="21"/>
        <v>325.55942925214737</v>
      </c>
      <c r="O175">
        <f t="shared" si="24"/>
        <v>1</v>
      </c>
      <c r="P175">
        <v>9.962235604</v>
      </c>
      <c r="R175">
        <f t="shared" si="22"/>
        <v>328.88768874659996</v>
      </c>
      <c r="S175">
        <f t="shared" si="23"/>
        <v>296.01231125340001</v>
      </c>
      <c r="T175">
        <f t="shared" si="19"/>
        <v>1</v>
      </c>
      <c r="U175">
        <f t="shared" si="20"/>
        <v>0</v>
      </c>
    </row>
    <row r="176" spans="1:21" x14ac:dyDescent="0.3">
      <c r="A176" s="1">
        <v>43069</v>
      </c>
      <c r="B176" s="1">
        <v>43160</v>
      </c>
      <c r="C176">
        <v>323.731468439102</v>
      </c>
      <c r="D176">
        <v>312.44999980926502</v>
      </c>
      <c r="E176">
        <v>322.25</v>
      </c>
      <c r="F176">
        <v>-9.8000001907348597</v>
      </c>
      <c r="G176">
        <v>1.48146843910217</v>
      </c>
      <c r="H176">
        <v>-9.8000001907348597</v>
      </c>
      <c r="J176">
        <v>325.842119932174</v>
      </c>
      <c r="K176">
        <v>312.63982168436002</v>
      </c>
      <c r="L176" s="1">
        <v>43160</v>
      </c>
      <c r="M176">
        <v>312.44999980926502</v>
      </c>
      <c r="N176">
        <f t="shared" si="21"/>
        <v>320.73780335187865</v>
      </c>
      <c r="O176">
        <f t="shared" si="24"/>
        <v>1</v>
      </c>
      <c r="P176">
        <v>9.7879332970000004</v>
      </c>
      <c r="R176">
        <f t="shared" si="22"/>
        <v>328.60008974931503</v>
      </c>
      <c r="S176">
        <f t="shared" si="23"/>
        <v>296.29990986921501</v>
      </c>
      <c r="T176">
        <f t="shared" si="19"/>
        <v>1</v>
      </c>
      <c r="U176">
        <f>IF(AND((C176-E176)*(D176-E176)&gt;0,AND(C176&lt;R176,C176&gt;S176)),1,0)</f>
        <v>0</v>
      </c>
    </row>
    <row r="177" spans="1:21" x14ac:dyDescent="0.3">
      <c r="A177" s="1">
        <v>43070</v>
      </c>
      <c r="B177" s="1">
        <v>43161</v>
      </c>
      <c r="C177">
        <v>320.62030384540498</v>
      </c>
      <c r="D177">
        <v>308.15000019073398</v>
      </c>
      <c r="E177">
        <v>321.85000000000002</v>
      </c>
      <c r="F177">
        <v>13.699999809265099</v>
      </c>
      <c r="G177">
        <v>-1.2296961545944201</v>
      </c>
      <c r="H177">
        <v>-13.699999809265099</v>
      </c>
      <c r="J177">
        <v>325.40170607566802</v>
      </c>
      <c r="K177">
        <v>314.71298522949201</v>
      </c>
      <c r="L177" s="1">
        <v>43161</v>
      </c>
      <c r="M177">
        <v>308.15000019073398</v>
      </c>
      <c r="N177">
        <f t="shared" si="21"/>
        <v>320.2449983835217</v>
      </c>
      <c r="O177">
        <f>IF((D177-E177)*(D177-N177)&gt;0,1,0)</f>
        <v>1</v>
      </c>
      <c r="P177">
        <v>9.5954941100000006</v>
      </c>
      <c r="R177">
        <f t="shared" si="22"/>
        <v>323.982565472234</v>
      </c>
      <c r="S177">
        <f t="shared" si="23"/>
        <v>292.31743490923395</v>
      </c>
      <c r="T177">
        <f t="shared" si="19"/>
        <v>1</v>
      </c>
      <c r="U177">
        <f t="shared" si="20"/>
        <v>1</v>
      </c>
    </row>
    <row r="178" spans="1:21" x14ac:dyDescent="0.3">
      <c r="A178" s="1">
        <v>43073</v>
      </c>
      <c r="B178" s="1">
        <v>43164</v>
      </c>
      <c r="C178">
        <v>326.94049143791199</v>
      </c>
      <c r="D178">
        <v>303.85000038146899</v>
      </c>
      <c r="E178">
        <v>325</v>
      </c>
      <c r="F178">
        <v>-21.149999618530199</v>
      </c>
      <c r="G178">
        <v>1.94049143791198</v>
      </c>
      <c r="H178">
        <v>-21.149999618530199</v>
      </c>
      <c r="J178">
        <v>328.11220192909201</v>
      </c>
      <c r="K178">
        <v>313.62438545227002</v>
      </c>
      <c r="L178" s="1">
        <v>43164</v>
      </c>
      <c r="M178">
        <v>303.85000038146899</v>
      </c>
      <c r="N178">
        <f t="shared" si="21"/>
        <v>322.89235960642463</v>
      </c>
      <c r="O178">
        <f t="shared" si="24"/>
        <v>1</v>
      </c>
      <c r="P178">
        <v>9.3189154460000001</v>
      </c>
      <c r="R178">
        <f t="shared" si="22"/>
        <v>319.22621086736899</v>
      </c>
      <c r="S178">
        <f t="shared" si="23"/>
        <v>288.47378989556898</v>
      </c>
      <c r="T178">
        <f t="shared" si="19"/>
        <v>0</v>
      </c>
      <c r="U178">
        <f t="shared" si="20"/>
        <v>0</v>
      </c>
    </row>
    <row r="179" spans="1:21" x14ac:dyDescent="0.3">
      <c r="A179" s="1">
        <v>43074</v>
      </c>
      <c r="B179" s="1">
        <v>43165</v>
      </c>
      <c r="C179">
        <v>327.04409117102603</v>
      </c>
      <c r="D179">
        <v>310.30000076293902</v>
      </c>
      <c r="E179">
        <v>326.60000000000002</v>
      </c>
      <c r="F179">
        <v>-16.299999237060501</v>
      </c>
      <c r="G179">
        <v>0.44409117102622903</v>
      </c>
      <c r="H179">
        <v>-16.299999237060501</v>
      </c>
      <c r="J179">
        <v>328.01354274749701</v>
      </c>
      <c r="K179">
        <v>312.49717378616299</v>
      </c>
      <c r="L179" s="1">
        <v>43165</v>
      </c>
      <c r="M179">
        <v>310.30000076293902</v>
      </c>
      <c r="N179">
        <f t="shared" si="21"/>
        <v>322.51826923489534</v>
      </c>
      <c r="O179">
        <f t="shared" si="24"/>
        <v>1</v>
      </c>
      <c r="P179">
        <v>9.0036003749999995</v>
      </c>
      <c r="R179">
        <f t="shared" si="22"/>
        <v>325.15594138168905</v>
      </c>
      <c r="S179">
        <f t="shared" si="23"/>
        <v>295.444060144189</v>
      </c>
      <c r="T179">
        <f t="shared" si="19"/>
        <v>1</v>
      </c>
      <c r="U179">
        <f t="shared" si="20"/>
        <v>0</v>
      </c>
    </row>
    <row r="180" spans="1:21" x14ac:dyDescent="0.3">
      <c r="A180" s="1">
        <v>43075</v>
      </c>
      <c r="B180" s="1">
        <v>43166</v>
      </c>
      <c r="C180">
        <v>327.34611644744803</v>
      </c>
      <c r="D180">
        <v>310.45000019073399</v>
      </c>
      <c r="E180">
        <v>321.64999999999998</v>
      </c>
      <c r="F180">
        <v>-11.199999809265099</v>
      </c>
      <c r="G180">
        <v>5.6961164474487296</v>
      </c>
      <c r="H180">
        <v>-11.199999809265099</v>
      </c>
      <c r="J180">
        <v>323.87355914115898</v>
      </c>
      <c r="K180">
        <v>314.00775117874099</v>
      </c>
      <c r="L180" s="1">
        <v>43166</v>
      </c>
      <c r="M180">
        <v>310.45000019073399</v>
      </c>
      <c r="N180">
        <f t="shared" si="21"/>
        <v>321.74247558911605</v>
      </c>
      <c r="O180">
        <f t="shared" si="24"/>
        <v>1</v>
      </c>
      <c r="P180">
        <v>8.635312119</v>
      </c>
      <c r="R180">
        <f t="shared" si="22"/>
        <v>324.69826518708396</v>
      </c>
      <c r="S180">
        <f t="shared" si="23"/>
        <v>296.20173519438401</v>
      </c>
      <c r="T180">
        <f t="shared" si="19"/>
        <v>0</v>
      </c>
      <c r="U180">
        <f t="shared" si="20"/>
        <v>0</v>
      </c>
    </row>
    <row r="181" spans="1:21" x14ac:dyDescent="0.3">
      <c r="A181" s="1">
        <v>43076</v>
      </c>
      <c r="B181" s="1">
        <v>43167</v>
      </c>
      <c r="C181">
        <v>324.34291262626601</v>
      </c>
      <c r="D181">
        <v>313.60000009536702</v>
      </c>
      <c r="E181">
        <v>320.7</v>
      </c>
      <c r="F181">
        <v>-7.0999999046325604</v>
      </c>
      <c r="G181">
        <v>3.6429126262664702</v>
      </c>
      <c r="H181">
        <v>-7.0999999046325604</v>
      </c>
      <c r="J181">
        <v>324.34894223213098</v>
      </c>
      <c r="K181">
        <v>313.65306432247098</v>
      </c>
      <c r="L181" s="1">
        <v>43167</v>
      </c>
      <c r="M181">
        <v>313.60000009536702</v>
      </c>
      <c r="N181">
        <f t="shared" si="21"/>
        <v>320.78163972695597</v>
      </c>
      <c r="O181">
        <f>IF((D181-E181)*(D181-N181)&gt;0,1,0)</f>
        <v>1</v>
      </c>
      <c r="P181">
        <v>8.3815888259999998</v>
      </c>
      <c r="R181">
        <f t="shared" si="22"/>
        <v>327.42962165826702</v>
      </c>
      <c r="S181">
        <f t="shared" si="23"/>
        <v>299.77037853246702</v>
      </c>
      <c r="T181">
        <f t="shared" si="19"/>
        <v>0</v>
      </c>
      <c r="U181">
        <f>IF(AND((C181-E181)*(D181-E181)&gt;0,AND(C181&lt;R181,C181&gt;S181)),1,0)</f>
        <v>0</v>
      </c>
    </row>
    <row r="182" spans="1:21" x14ac:dyDescent="0.3">
      <c r="A182" s="1">
        <v>43077</v>
      </c>
      <c r="B182" s="1">
        <v>43168</v>
      </c>
      <c r="C182">
        <v>323.84786405563301</v>
      </c>
      <c r="D182">
        <v>317.099999809265</v>
      </c>
      <c r="E182">
        <v>321.39999999999998</v>
      </c>
      <c r="F182">
        <v>-4.3000001907348597</v>
      </c>
      <c r="G182">
        <v>2.44786405563354</v>
      </c>
      <c r="H182">
        <v>-4.3000001907348597</v>
      </c>
      <c r="J182">
        <v>323.07431378364498</v>
      </c>
      <c r="K182">
        <v>310.99152340888901</v>
      </c>
      <c r="L182" s="1">
        <v>43168</v>
      </c>
      <c r="M182">
        <v>317.099999809265</v>
      </c>
      <c r="N182">
        <f t="shared" si="21"/>
        <v>319.30456708272231</v>
      </c>
      <c r="O182">
        <f t="shared" ref="O182:O197" si="25">IF((D182-E182)*(D182-N182)&gt;0,1,0)</f>
        <v>1</v>
      </c>
      <c r="P182">
        <v>8.112302949</v>
      </c>
      <c r="R182">
        <f t="shared" si="22"/>
        <v>330.48529967511502</v>
      </c>
      <c r="S182">
        <f t="shared" si="23"/>
        <v>303.71469994341498</v>
      </c>
      <c r="T182">
        <f t="shared" ref="T182:T245" si="26">IF(AND((N182-E182)*(D182-E182)&gt;0,AND(N182&lt;R182,N182&gt;S182)),1,0)</f>
        <v>1</v>
      </c>
      <c r="U182">
        <f t="shared" si="20"/>
        <v>0</v>
      </c>
    </row>
    <row r="183" spans="1:21" x14ac:dyDescent="0.3">
      <c r="A183" s="1">
        <v>43080</v>
      </c>
      <c r="B183" s="1">
        <v>43171</v>
      </c>
      <c r="C183">
        <v>324.03237867355301</v>
      </c>
      <c r="D183">
        <v>320.10000002384101</v>
      </c>
      <c r="E183">
        <v>321.5</v>
      </c>
      <c r="F183">
        <v>-1.3999999761581401</v>
      </c>
      <c r="G183">
        <v>2.5323786735534601</v>
      </c>
      <c r="H183">
        <v>-1.3999999761581401</v>
      </c>
      <c r="J183">
        <v>320.97747659683199</v>
      </c>
      <c r="K183">
        <v>305.49968359470301</v>
      </c>
      <c r="L183" s="1">
        <v>43171</v>
      </c>
      <c r="M183">
        <v>320.10000002384101</v>
      </c>
      <c r="N183">
        <f t="shared" si="21"/>
        <v>316.83651295502938</v>
      </c>
      <c r="O183">
        <f t="shared" si="25"/>
        <v>0</v>
      </c>
      <c r="P183">
        <v>7.9202754510000002</v>
      </c>
      <c r="R183">
        <f t="shared" si="22"/>
        <v>333.16845451799099</v>
      </c>
      <c r="S183">
        <f t="shared" si="23"/>
        <v>307.03154552969102</v>
      </c>
      <c r="T183">
        <f t="shared" si="26"/>
        <v>1</v>
      </c>
      <c r="U183">
        <f t="shared" ref="U183:U190" si="27">IF(AND((C183-E183)*(D183-E183)&gt;0,AND(C183&lt;R183,C183&gt;S183)),1,0)</f>
        <v>0</v>
      </c>
    </row>
    <row r="184" spans="1:21" x14ac:dyDescent="0.3">
      <c r="A184" s="1">
        <v>43081</v>
      </c>
      <c r="B184" s="1">
        <v>43172</v>
      </c>
      <c r="C184">
        <v>328.96590538024901</v>
      </c>
      <c r="D184">
        <v>321.49999995231599</v>
      </c>
      <c r="E184">
        <v>320.45</v>
      </c>
      <c r="F184">
        <v>1.04999995231628</v>
      </c>
      <c r="G184">
        <v>8.5159053802490199</v>
      </c>
      <c r="H184">
        <v>1.04999995231628</v>
      </c>
      <c r="J184">
        <v>321.225757551193</v>
      </c>
      <c r="K184">
        <v>308.368728327751</v>
      </c>
      <c r="L184" s="1">
        <v>43172</v>
      </c>
      <c r="M184">
        <v>321.49999995231599</v>
      </c>
      <c r="N184">
        <f t="shared" si="21"/>
        <v>319.520130419731</v>
      </c>
      <c r="O184">
        <f t="shared" si="25"/>
        <v>1</v>
      </c>
      <c r="P184">
        <v>7.7231132560000004</v>
      </c>
      <c r="R184">
        <f t="shared" si="22"/>
        <v>334.24313682471598</v>
      </c>
      <c r="S184">
        <f t="shared" si="23"/>
        <v>308.756863079916</v>
      </c>
      <c r="T184">
        <f t="shared" si="26"/>
        <v>0</v>
      </c>
      <c r="U184">
        <f t="shared" si="27"/>
        <v>1</v>
      </c>
    </row>
    <row r="185" spans="1:21" x14ac:dyDescent="0.3">
      <c r="A185" s="1">
        <v>43082</v>
      </c>
      <c r="B185" s="1">
        <v>43173</v>
      </c>
      <c r="C185">
        <v>323.59621784686999</v>
      </c>
      <c r="D185">
        <v>321.550000047683</v>
      </c>
      <c r="E185">
        <v>322.85000000000002</v>
      </c>
      <c r="F185">
        <v>-1.29999995231628</v>
      </c>
      <c r="G185">
        <v>0.74621784687042203</v>
      </c>
      <c r="H185">
        <v>-1.29999995231628</v>
      </c>
      <c r="J185">
        <v>321.58009467124901</v>
      </c>
      <c r="K185">
        <v>308.50870473384799</v>
      </c>
      <c r="L185" s="1">
        <v>43173</v>
      </c>
      <c r="M185">
        <v>321.550000047683</v>
      </c>
      <c r="N185">
        <f t="shared" si="21"/>
        <v>317.89500575065563</v>
      </c>
      <c r="O185">
        <f t="shared" si="25"/>
        <v>0</v>
      </c>
      <c r="P185">
        <v>7.4852653340000002</v>
      </c>
      <c r="R185">
        <f t="shared" si="22"/>
        <v>333.90068784878298</v>
      </c>
      <c r="S185">
        <f t="shared" si="23"/>
        <v>309.19931224658302</v>
      </c>
      <c r="T185">
        <f t="shared" si="26"/>
        <v>1</v>
      </c>
      <c r="U185">
        <f t="shared" si="27"/>
        <v>0</v>
      </c>
    </row>
    <row r="186" spans="1:21" x14ac:dyDescent="0.3">
      <c r="A186" s="1">
        <v>43083</v>
      </c>
      <c r="B186" s="1">
        <v>43174</v>
      </c>
      <c r="C186">
        <v>331.062869834899</v>
      </c>
      <c r="D186">
        <v>322.84999995231601</v>
      </c>
      <c r="E186">
        <v>324.3</v>
      </c>
      <c r="F186">
        <v>-1.45000004768371</v>
      </c>
      <c r="G186">
        <v>6.7628698348998997</v>
      </c>
      <c r="H186">
        <v>-1.45000004768371</v>
      </c>
      <c r="J186">
        <v>327.08791213035499</v>
      </c>
      <c r="K186">
        <v>313.33221778869603</v>
      </c>
      <c r="L186" s="1">
        <v>43174</v>
      </c>
      <c r="M186">
        <v>322.84999995231601</v>
      </c>
      <c r="N186">
        <f t="shared" si="21"/>
        <v>323.82766658464999</v>
      </c>
      <c r="O186">
        <f t="shared" si="25"/>
        <v>1</v>
      </c>
      <c r="P186">
        <v>7.2849796900000001</v>
      </c>
      <c r="R186">
        <f t="shared" si="22"/>
        <v>334.87021644081602</v>
      </c>
      <c r="S186">
        <f t="shared" si="23"/>
        <v>310.829783463816</v>
      </c>
      <c r="T186">
        <f t="shared" si="26"/>
        <v>1</v>
      </c>
      <c r="U186">
        <f t="shared" si="27"/>
        <v>0</v>
      </c>
    </row>
    <row r="187" spans="1:21" x14ac:dyDescent="0.3">
      <c r="A187" s="1">
        <v>43084</v>
      </c>
      <c r="B187" s="1">
        <v>43175</v>
      </c>
      <c r="C187">
        <v>322.46679651737202</v>
      </c>
      <c r="D187">
        <v>322</v>
      </c>
      <c r="E187">
        <v>322.75</v>
      </c>
      <c r="F187">
        <v>0.75</v>
      </c>
      <c r="G187">
        <v>-0.28320348262786799</v>
      </c>
      <c r="H187">
        <v>-0.75</v>
      </c>
      <c r="J187">
        <v>321.90970391035</v>
      </c>
      <c r="K187">
        <v>316.496026074886</v>
      </c>
      <c r="L187" s="1">
        <v>43175</v>
      </c>
      <c r="M187">
        <v>322</v>
      </c>
      <c r="N187">
        <f t="shared" si="21"/>
        <v>320.29084216753603</v>
      </c>
      <c r="O187">
        <f t="shared" si="25"/>
        <v>0</v>
      </c>
      <c r="P187">
        <v>7.1034980890000003</v>
      </c>
      <c r="R187">
        <f t="shared" si="22"/>
        <v>333.72077184684997</v>
      </c>
      <c r="S187">
        <f t="shared" si="23"/>
        <v>310.27922815315003</v>
      </c>
      <c r="T187">
        <f t="shared" si="26"/>
        <v>1</v>
      </c>
      <c r="U187">
        <f t="shared" si="27"/>
        <v>1</v>
      </c>
    </row>
    <row r="188" spans="1:21" x14ac:dyDescent="0.3">
      <c r="A188" s="1">
        <v>43087</v>
      </c>
      <c r="B188" s="1">
        <v>43178</v>
      </c>
      <c r="C188">
        <v>324.224285686016</v>
      </c>
      <c r="D188">
        <v>319.849999809265</v>
      </c>
      <c r="E188">
        <v>324.14999999999998</v>
      </c>
      <c r="F188">
        <v>-4.3000001907348597</v>
      </c>
      <c r="G188">
        <v>7.4285686016082694E-2</v>
      </c>
      <c r="H188">
        <v>-4.3000001907348597</v>
      </c>
      <c r="J188">
        <v>326.61765017509401</v>
      </c>
      <c r="K188">
        <v>318.55982885360697</v>
      </c>
      <c r="L188" s="1">
        <v>43178</v>
      </c>
      <c r="M188">
        <v>319.849999809265</v>
      </c>
      <c r="N188">
        <f t="shared" si="21"/>
        <v>323.13392157157233</v>
      </c>
      <c r="O188">
        <f t="shared" si="25"/>
        <v>1</v>
      </c>
      <c r="P188">
        <v>7.0387891629999997</v>
      </c>
      <c r="R188">
        <f t="shared" si="22"/>
        <v>331.464001928215</v>
      </c>
      <c r="S188">
        <f t="shared" si="23"/>
        <v>308.235997690315</v>
      </c>
      <c r="T188">
        <f t="shared" si="26"/>
        <v>1</v>
      </c>
      <c r="U188">
        <f t="shared" si="27"/>
        <v>0</v>
      </c>
    </row>
    <row r="189" spans="1:21" x14ac:dyDescent="0.3">
      <c r="A189" s="1">
        <v>43088</v>
      </c>
      <c r="B189" s="1">
        <v>43179</v>
      </c>
      <c r="C189">
        <v>329.82299766540501</v>
      </c>
      <c r="D189">
        <v>321.300000047683</v>
      </c>
      <c r="E189">
        <v>323.85000000000002</v>
      </c>
      <c r="F189">
        <v>-2.5499999523162802</v>
      </c>
      <c r="G189">
        <v>5.9729976654052699</v>
      </c>
      <c r="H189">
        <v>-2.5499999523162802</v>
      </c>
      <c r="J189">
        <v>325.90993723869298</v>
      </c>
      <c r="K189">
        <v>318.760520219802</v>
      </c>
      <c r="L189" s="1">
        <v>43179</v>
      </c>
      <c r="M189">
        <v>321.300000047683</v>
      </c>
      <c r="N189">
        <f t="shared" si="21"/>
        <v>324.83115170796668</v>
      </c>
      <c r="O189">
        <f t="shared" si="25"/>
        <v>1</v>
      </c>
      <c r="P189">
        <v>6.9600325349999999</v>
      </c>
      <c r="R189">
        <f t="shared" si="22"/>
        <v>332.78405373043302</v>
      </c>
      <c r="S189">
        <f t="shared" si="23"/>
        <v>309.81594636493298</v>
      </c>
      <c r="T189">
        <f t="shared" si="26"/>
        <v>0</v>
      </c>
      <c r="U189">
        <f t="shared" si="27"/>
        <v>0</v>
      </c>
    </row>
    <row r="190" spans="1:21" x14ac:dyDescent="0.3">
      <c r="A190" s="1">
        <v>43089</v>
      </c>
      <c r="B190" s="1">
        <v>43180</v>
      </c>
      <c r="C190">
        <v>323.83574690222702</v>
      </c>
      <c r="D190">
        <v>321.59999995231601</v>
      </c>
      <c r="E190">
        <v>323.55</v>
      </c>
      <c r="F190">
        <v>-1.95000004768371</v>
      </c>
      <c r="G190">
        <v>0.28574690222740101</v>
      </c>
      <c r="H190">
        <v>-1.95000004768371</v>
      </c>
      <c r="J190">
        <v>327.51436953544601</v>
      </c>
      <c r="K190">
        <v>319.11303787231401</v>
      </c>
      <c r="L190" s="1">
        <v>43180</v>
      </c>
      <c r="M190">
        <v>321.59999995231601</v>
      </c>
      <c r="N190">
        <f t="shared" si="21"/>
        <v>323.48771810332897</v>
      </c>
      <c r="O190">
        <f t="shared" si="25"/>
        <v>1</v>
      </c>
      <c r="P190">
        <v>6.8739398659999997</v>
      </c>
      <c r="R190">
        <f t="shared" si="22"/>
        <v>332.94200073121601</v>
      </c>
      <c r="S190">
        <f t="shared" si="23"/>
        <v>310.25799917341601</v>
      </c>
      <c r="T190">
        <f t="shared" si="26"/>
        <v>1</v>
      </c>
      <c r="U190">
        <f t="shared" si="27"/>
        <v>0</v>
      </c>
    </row>
    <row r="191" spans="1:21" x14ac:dyDescent="0.3">
      <c r="A191" s="1">
        <v>43090</v>
      </c>
      <c r="B191" s="1">
        <v>43181</v>
      </c>
      <c r="C191">
        <v>324.67996749877898</v>
      </c>
      <c r="D191">
        <v>322.10000000000002</v>
      </c>
      <c r="E191">
        <v>316.85000000000002</v>
      </c>
      <c r="F191">
        <v>5.25</v>
      </c>
      <c r="G191">
        <v>7.8299674987792898</v>
      </c>
      <c r="H191">
        <v>5.25</v>
      </c>
      <c r="J191">
        <v>322.53517541885299</v>
      </c>
      <c r="K191">
        <v>318.972642278671</v>
      </c>
      <c r="L191" s="1">
        <v>43181</v>
      </c>
      <c r="M191">
        <v>322.10000000000002</v>
      </c>
      <c r="N191">
        <f t="shared" si="21"/>
        <v>322.06259506543432</v>
      </c>
      <c r="O191">
        <f t="shared" si="25"/>
        <v>1</v>
      </c>
      <c r="P191">
        <v>6.8589968470000002</v>
      </c>
      <c r="R191">
        <f t="shared" si="22"/>
        <v>333.41734479755002</v>
      </c>
      <c r="S191">
        <f t="shared" si="23"/>
        <v>310.78265520245003</v>
      </c>
      <c r="T191">
        <f t="shared" si="26"/>
        <v>1</v>
      </c>
      <c r="U191">
        <f>IF(AND((C191-E191)*(D191-E191)&gt;0,AND(C191&lt;R191,C191&gt;S191)),1,0)</f>
        <v>1</v>
      </c>
    </row>
    <row r="192" spans="1:21" x14ac:dyDescent="0.3">
      <c r="A192" s="1">
        <v>43091</v>
      </c>
      <c r="B192" s="1">
        <v>43182</v>
      </c>
      <c r="C192">
        <v>326.20530796051003</v>
      </c>
      <c r="D192">
        <v>311.5</v>
      </c>
      <c r="E192">
        <v>318.5</v>
      </c>
      <c r="F192">
        <v>-7</v>
      </c>
      <c r="G192">
        <v>7.7053079605102504</v>
      </c>
      <c r="H192">
        <v>-7</v>
      </c>
      <c r="J192">
        <v>318.65839682519402</v>
      </c>
      <c r="K192">
        <v>319.09759521484301</v>
      </c>
      <c r="L192" s="1">
        <v>43182</v>
      </c>
      <c r="M192">
        <v>311.5</v>
      </c>
      <c r="N192">
        <f t="shared" si="21"/>
        <v>321.32043333351567</v>
      </c>
      <c r="O192">
        <f t="shared" si="25"/>
        <v>1</v>
      </c>
      <c r="P192">
        <v>6.7655609449999998</v>
      </c>
      <c r="R192">
        <f t="shared" si="22"/>
        <v>322.66317555925002</v>
      </c>
      <c r="S192">
        <f t="shared" si="23"/>
        <v>300.33682444074998</v>
      </c>
      <c r="T192">
        <f t="shared" si="26"/>
        <v>0</v>
      </c>
      <c r="U192">
        <f t="shared" ref="U192:U211" si="28">IF(AND((C192-E192)*(D192-E192)&gt;0,AND(C192&lt;R192,C192&gt;S192)),1,0)</f>
        <v>0</v>
      </c>
    </row>
    <row r="193" spans="1:21" x14ac:dyDescent="0.3">
      <c r="A193" s="1">
        <v>43094</v>
      </c>
      <c r="B193" s="1">
        <v>43185</v>
      </c>
      <c r="C193">
        <v>328.26872634887599</v>
      </c>
      <c r="D193">
        <v>314.5</v>
      </c>
      <c r="E193">
        <v>318.5</v>
      </c>
      <c r="F193">
        <v>-4</v>
      </c>
      <c r="G193">
        <v>9.7687263488769496</v>
      </c>
      <c r="H193">
        <v>-4</v>
      </c>
      <c r="J193">
        <v>321.80651426315302</v>
      </c>
      <c r="K193">
        <v>316.11251125335599</v>
      </c>
      <c r="L193" s="1">
        <v>43185</v>
      </c>
      <c r="M193">
        <v>314.5</v>
      </c>
      <c r="N193">
        <f t="shared" si="21"/>
        <v>322.06258395512833</v>
      </c>
      <c r="O193">
        <f t="shared" si="25"/>
        <v>1</v>
      </c>
      <c r="P193">
        <v>6.6712957890000002</v>
      </c>
      <c r="R193">
        <f t="shared" si="22"/>
        <v>325.50763805184999</v>
      </c>
      <c r="S193">
        <f t="shared" si="23"/>
        <v>303.49236194815001</v>
      </c>
      <c r="T193">
        <f t="shared" si="26"/>
        <v>0</v>
      </c>
      <c r="U193">
        <f t="shared" si="28"/>
        <v>0</v>
      </c>
    </row>
    <row r="194" spans="1:21" x14ac:dyDescent="0.3">
      <c r="A194" s="1">
        <v>43095</v>
      </c>
      <c r="B194" s="1">
        <v>43186</v>
      </c>
      <c r="C194">
        <v>325.92927665710403</v>
      </c>
      <c r="D194">
        <v>315.15000004768302</v>
      </c>
      <c r="E194">
        <v>317.45</v>
      </c>
      <c r="F194">
        <v>-2.2999999523162802</v>
      </c>
      <c r="G194">
        <v>8.4792766571044904</v>
      </c>
      <c r="H194">
        <v>-2.2999999523162802</v>
      </c>
      <c r="J194">
        <v>318.90954310894</v>
      </c>
      <c r="K194">
        <v>319.14739422798101</v>
      </c>
      <c r="L194" s="1">
        <v>43186</v>
      </c>
      <c r="M194">
        <v>315.15000004768302</v>
      </c>
      <c r="N194">
        <f t="shared" si="21"/>
        <v>321.32873799800836</v>
      </c>
      <c r="O194">
        <f t="shared" si="25"/>
        <v>1</v>
      </c>
      <c r="P194">
        <v>6.5345408989999996</v>
      </c>
      <c r="R194">
        <f t="shared" si="22"/>
        <v>325.93199253103302</v>
      </c>
      <c r="S194">
        <f t="shared" si="23"/>
        <v>304.36800756433303</v>
      </c>
      <c r="T194">
        <f t="shared" si="26"/>
        <v>0</v>
      </c>
      <c r="U194">
        <f t="shared" si="28"/>
        <v>0</v>
      </c>
    </row>
    <row r="195" spans="1:21" x14ac:dyDescent="0.3">
      <c r="A195" s="1">
        <v>43096</v>
      </c>
      <c r="B195" s="1">
        <v>43187</v>
      </c>
      <c r="C195">
        <v>336.53359527587799</v>
      </c>
      <c r="D195">
        <v>310.64999980926501</v>
      </c>
      <c r="E195">
        <v>321.2</v>
      </c>
      <c r="F195">
        <v>-10.550000190734799</v>
      </c>
      <c r="G195">
        <v>15.333595275878899</v>
      </c>
      <c r="H195">
        <v>-10.550000190734799</v>
      </c>
      <c r="J195">
        <v>327.19050760269101</v>
      </c>
      <c r="K195">
        <v>319.10237083434998</v>
      </c>
      <c r="L195" s="1">
        <v>43187</v>
      </c>
      <c r="M195">
        <v>310.64999980926501</v>
      </c>
      <c r="N195">
        <f t="shared" ref="N195:N258" si="29">AVERAGE(C195, J195:K195)</f>
        <v>327.60882457097301</v>
      </c>
      <c r="O195">
        <f t="shared" si="25"/>
        <v>1</v>
      </c>
      <c r="P195">
        <v>6.3280589860000003</v>
      </c>
      <c r="R195">
        <f t="shared" ref="R195:R258" si="30">D195+1.65*P195</f>
        <v>321.091297136165</v>
      </c>
      <c r="S195">
        <f t="shared" ref="S195:S258" si="31">D195-1.65*P195</f>
        <v>300.20870248236503</v>
      </c>
      <c r="T195">
        <f t="shared" si="26"/>
        <v>0</v>
      </c>
      <c r="U195">
        <f t="shared" si="28"/>
        <v>0</v>
      </c>
    </row>
    <row r="196" spans="1:21" x14ac:dyDescent="0.3">
      <c r="A196" s="1">
        <v>43097</v>
      </c>
      <c r="B196" s="1">
        <v>43188</v>
      </c>
      <c r="C196">
        <v>334.17532196044903</v>
      </c>
      <c r="D196">
        <v>314.45000019073399</v>
      </c>
      <c r="E196">
        <v>325.64999999999998</v>
      </c>
      <c r="F196">
        <v>-11.199999809265099</v>
      </c>
      <c r="G196">
        <v>8.5253219604492099</v>
      </c>
      <c r="H196">
        <v>-11.199999809265099</v>
      </c>
      <c r="J196">
        <v>328.80835213661101</v>
      </c>
      <c r="K196">
        <v>319.58274135589602</v>
      </c>
      <c r="L196" s="1">
        <v>43188</v>
      </c>
      <c r="M196">
        <v>314.45000019073399</v>
      </c>
      <c r="N196">
        <f t="shared" si="29"/>
        <v>327.52213848431865</v>
      </c>
      <c r="O196">
        <f t="shared" si="25"/>
        <v>1</v>
      </c>
      <c r="P196">
        <v>6.0972874839999998</v>
      </c>
      <c r="R196">
        <f t="shared" si="30"/>
        <v>324.51052453933397</v>
      </c>
      <c r="S196">
        <f t="shared" si="31"/>
        <v>304.389475842134</v>
      </c>
      <c r="T196">
        <f t="shared" si="26"/>
        <v>0</v>
      </c>
      <c r="U196">
        <f t="shared" si="28"/>
        <v>0</v>
      </c>
    </row>
    <row r="197" spans="1:21" x14ac:dyDescent="0.3">
      <c r="A197" s="1">
        <v>43098</v>
      </c>
      <c r="B197" s="1">
        <v>43189</v>
      </c>
      <c r="C197">
        <v>331.45560684204099</v>
      </c>
      <c r="D197">
        <v>314.54999961853002</v>
      </c>
      <c r="E197">
        <v>325.64999999999998</v>
      </c>
      <c r="F197">
        <v>-11.1000003814697</v>
      </c>
      <c r="G197">
        <v>5.8056068420410103</v>
      </c>
      <c r="H197">
        <v>-11.1000003814697</v>
      </c>
      <c r="J197">
        <v>326.22673984765999</v>
      </c>
      <c r="K197">
        <v>313.97716927528302</v>
      </c>
      <c r="L197" s="1">
        <v>43189</v>
      </c>
      <c r="M197">
        <v>314.54999961853002</v>
      </c>
      <c r="N197">
        <f t="shared" si="29"/>
        <v>323.88650532166133</v>
      </c>
      <c r="O197">
        <f t="shared" si="25"/>
        <v>1</v>
      </c>
      <c r="P197">
        <v>5.9388601679999997</v>
      </c>
      <c r="R197">
        <f t="shared" si="30"/>
        <v>324.34911889573004</v>
      </c>
      <c r="S197">
        <f t="shared" si="31"/>
        <v>304.75088034133</v>
      </c>
      <c r="T197">
        <f t="shared" si="26"/>
        <v>1</v>
      </c>
      <c r="U197">
        <f t="shared" si="28"/>
        <v>0</v>
      </c>
    </row>
    <row r="198" spans="1:21" x14ac:dyDescent="0.3">
      <c r="A198" s="1">
        <v>43101</v>
      </c>
      <c r="B198" s="1">
        <v>43192</v>
      </c>
      <c r="C198">
        <v>329.76224222183203</v>
      </c>
      <c r="D198">
        <v>313.45000019073399</v>
      </c>
      <c r="E198">
        <v>325.64999999999998</v>
      </c>
      <c r="F198">
        <v>-12.199999809265099</v>
      </c>
      <c r="G198">
        <v>4.1122422218322701</v>
      </c>
      <c r="H198">
        <v>-12.199999809265099</v>
      </c>
      <c r="J198">
        <v>322.94489159583998</v>
      </c>
      <c r="K198">
        <v>316.68917298316899</v>
      </c>
      <c r="L198" s="1">
        <v>43192</v>
      </c>
      <c r="M198">
        <v>313.45000019073399</v>
      </c>
      <c r="N198">
        <f t="shared" si="29"/>
        <v>323.13210226694702</v>
      </c>
      <c r="O198">
        <f>IF((D198-E198)*(D198-N198)&gt;0,1,0)</f>
        <v>1</v>
      </c>
      <c r="P198">
        <v>5.7707253989999998</v>
      </c>
      <c r="R198">
        <f t="shared" si="30"/>
        <v>322.971697099084</v>
      </c>
      <c r="S198">
        <f t="shared" si="31"/>
        <v>303.92830328238398</v>
      </c>
      <c r="T198">
        <f t="shared" si="26"/>
        <v>0</v>
      </c>
      <c r="U198">
        <f t="shared" si="28"/>
        <v>0</v>
      </c>
    </row>
    <row r="199" spans="1:21" x14ac:dyDescent="0.3">
      <c r="A199" s="1">
        <v>43102</v>
      </c>
      <c r="B199" s="1">
        <v>43193</v>
      </c>
      <c r="C199">
        <v>325.44031071662903</v>
      </c>
      <c r="D199">
        <v>312.80000019073401</v>
      </c>
      <c r="E199">
        <v>326.5</v>
      </c>
      <c r="F199">
        <v>13.699999809265099</v>
      </c>
      <c r="G199">
        <v>-1.0596892833709699</v>
      </c>
      <c r="H199">
        <v>-13.699999809265099</v>
      </c>
      <c r="J199">
        <v>323.55996108055098</v>
      </c>
      <c r="K199">
        <v>311.09321298599201</v>
      </c>
      <c r="L199" s="1">
        <v>43193</v>
      </c>
      <c r="M199">
        <v>312.80000019073401</v>
      </c>
      <c r="N199">
        <f t="shared" si="29"/>
        <v>320.03116159439065</v>
      </c>
      <c r="O199">
        <f t="shared" ref="O199:O216" si="32">IF((D199-E199)*(D199-N199)&gt;0,1,0)</f>
        <v>1</v>
      </c>
      <c r="P199">
        <v>5.5926744240000001</v>
      </c>
      <c r="R199">
        <f t="shared" si="30"/>
        <v>322.02791299033402</v>
      </c>
      <c r="S199">
        <f t="shared" si="31"/>
        <v>303.572087391134</v>
      </c>
      <c r="T199">
        <f t="shared" si="26"/>
        <v>1</v>
      </c>
      <c r="U199">
        <f t="shared" si="28"/>
        <v>0</v>
      </c>
    </row>
    <row r="200" spans="1:21" x14ac:dyDescent="0.3">
      <c r="A200" s="1">
        <v>43103</v>
      </c>
      <c r="B200" s="1">
        <v>43194</v>
      </c>
      <c r="C200">
        <v>327.631966662406</v>
      </c>
      <c r="D200">
        <v>307.55000038146898</v>
      </c>
      <c r="E200">
        <v>327.7</v>
      </c>
      <c r="F200">
        <v>20.149999618530199</v>
      </c>
      <c r="G200">
        <v>-6.8033337593078599E-2</v>
      </c>
      <c r="H200">
        <v>-20.149999618530199</v>
      </c>
      <c r="J200">
        <v>327.52839010655799</v>
      </c>
      <c r="K200">
        <v>308.475828075408</v>
      </c>
      <c r="L200" s="1">
        <v>43194</v>
      </c>
      <c r="M200">
        <v>307.55000038146898</v>
      </c>
      <c r="N200">
        <f t="shared" si="29"/>
        <v>321.21206161479068</v>
      </c>
      <c r="O200">
        <f t="shared" si="32"/>
        <v>1</v>
      </c>
      <c r="P200">
        <v>5.405970924</v>
      </c>
      <c r="R200">
        <f t="shared" si="30"/>
        <v>316.46985240606898</v>
      </c>
      <c r="S200">
        <f t="shared" si="31"/>
        <v>298.63014835686897</v>
      </c>
      <c r="T200">
        <f t="shared" si="26"/>
        <v>0</v>
      </c>
      <c r="U200">
        <f t="shared" si="28"/>
        <v>0</v>
      </c>
    </row>
    <row r="201" spans="1:21" x14ac:dyDescent="0.3">
      <c r="A201" s="1">
        <v>43104</v>
      </c>
      <c r="B201" s="1">
        <v>43195</v>
      </c>
      <c r="C201">
        <v>322.36812043190002</v>
      </c>
      <c r="D201">
        <v>312.94999980926502</v>
      </c>
      <c r="E201">
        <v>325</v>
      </c>
      <c r="F201">
        <v>12.050000190734799</v>
      </c>
      <c r="G201">
        <v>-2.6318795680999698</v>
      </c>
      <c r="H201">
        <v>-12.050000190734799</v>
      </c>
      <c r="J201">
        <v>324.79154574871001</v>
      </c>
      <c r="K201">
        <v>312.05182952880801</v>
      </c>
      <c r="L201" s="1">
        <v>43195</v>
      </c>
      <c r="M201">
        <v>312.94999980926502</v>
      </c>
      <c r="N201">
        <f t="shared" si="29"/>
        <v>319.73716523647266</v>
      </c>
      <c r="O201">
        <f t="shared" si="32"/>
        <v>1</v>
      </c>
      <c r="P201">
        <v>5.2030187239999997</v>
      </c>
      <c r="R201">
        <f t="shared" si="30"/>
        <v>321.53498070386502</v>
      </c>
      <c r="S201">
        <f t="shared" si="31"/>
        <v>304.36501891466503</v>
      </c>
      <c r="T201">
        <f t="shared" si="26"/>
        <v>1</v>
      </c>
      <c r="U201">
        <f t="shared" si="28"/>
        <v>0</v>
      </c>
    </row>
    <row r="202" spans="1:21" x14ac:dyDescent="0.3">
      <c r="A202" s="1">
        <v>43105</v>
      </c>
      <c r="B202" s="1">
        <v>43196</v>
      </c>
      <c r="C202">
        <v>327.97813172340301</v>
      </c>
      <c r="D202">
        <v>311.2</v>
      </c>
      <c r="E202">
        <v>328.95</v>
      </c>
      <c r="F202">
        <v>17.75</v>
      </c>
      <c r="G202">
        <v>-0.971868276596069</v>
      </c>
      <c r="H202">
        <v>-17.75</v>
      </c>
      <c r="J202">
        <v>326.61557335853502</v>
      </c>
      <c r="K202">
        <v>313.71769379377298</v>
      </c>
      <c r="L202" s="1">
        <v>43196</v>
      </c>
      <c r="M202">
        <v>311.2</v>
      </c>
      <c r="N202">
        <f t="shared" si="29"/>
        <v>322.77046629190363</v>
      </c>
      <c r="O202">
        <f t="shared" si="32"/>
        <v>1</v>
      </c>
      <c r="P202">
        <v>4.9938311710000001</v>
      </c>
      <c r="R202">
        <f t="shared" si="30"/>
        <v>319.43982143214998</v>
      </c>
      <c r="S202">
        <f t="shared" si="31"/>
        <v>302.96017856784999</v>
      </c>
      <c r="T202">
        <f t="shared" si="26"/>
        <v>0</v>
      </c>
      <c r="U202">
        <f t="shared" si="28"/>
        <v>0</v>
      </c>
    </row>
    <row r="203" spans="1:21" x14ac:dyDescent="0.3">
      <c r="A203" s="1">
        <v>43108</v>
      </c>
      <c r="B203" s="1">
        <v>43199</v>
      </c>
      <c r="C203">
        <v>330.71830725669798</v>
      </c>
      <c r="D203">
        <v>312.950000762939</v>
      </c>
      <c r="E203">
        <v>331.25</v>
      </c>
      <c r="F203">
        <v>18.299999237060501</v>
      </c>
      <c r="G203">
        <v>-0.53169274330139105</v>
      </c>
      <c r="H203">
        <v>-18.299999237060501</v>
      </c>
      <c r="J203">
        <v>328.72248339652998</v>
      </c>
      <c r="K203">
        <v>314.803103995323</v>
      </c>
      <c r="L203" s="1">
        <v>43199</v>
      </c>
      <c r="M203">
        <v>312.950000762939</v>
      </c>
      <c r="N203">
        <f t="shared" si="29"/>
        <v>324.74796488285034</v>
      </c>
      <c r="O203">
        <f t="shared" si="32"/>
        <v>1</v>
      </c>
      <c r="P203">
        <v>4.790699247</v>
      </c>
      <c r="R203">
        <f t="shared" si="30"/>
        <v>320.85465452048902</v>
      </c>
      <c r="S203">
        <f t="shared" si="31"/>
        <v>305.04534700538898</v>
      </c>
      <c r="T203">
        <f t="shared" si="26"/>
        <v>0</v>
      </c>
      <c r="U203">
        <f t="shared" si="28"/>
        <v>0</v>
      </c>
    </row>
    <row r="204" spans="1:21" x14ac:dyDescent="0.3">
      <c r="A204" s="1">
        <v>43109</v>
      </c>
      <c r="B204" s="1">
        <v>43200</v>
      </c>
      <c r="C204">
        <v>330.24271009564399</v>
      </c>
      <c r="D204">
        <v>313.45</v>
      </c>
      <c r="E204">
        <v>330.45</v>
      </c>
      <c r="F204">
        <v>17</v>
      </c>
      <c r="G204">
        <v>-0.207289904356002</v>
      </c>
      <c r="H204">
        <v>-17</v>
      </c>
      <c r="J204">
        <v>329.19088597297599</v>
      </c>
      <c r="K204">
        <v>313.90760188102701</v>
      </c>
      <c r="L204" s="1">
        <v>43200</v>
      </c>
      <c r="M204">
        <v>313.45</v>
      </c>
      <c r="N204">
        <f t="shared" si="29"/>
        <v>324.44706598321568</v>
      </c>
      <c r="O204">
        <f t="shared" si="32"/>
        <v>1</v>
      </c>
      <c r="P204">
        <v>4.7421819520000001</v>
      </c>
      <c r="R204">
        <f t="shared" si="30"/>
        <v>321.27460022079998</v>
      </c>
      <c r="S204">
        <f t="shared" si="31"/>
        <v>305.6253997792</v>
      </c>
      <c r="T204">
        <f t="shared" si="26"/>
        <v>0</v>
      </c>
      <c r="U204">
        <f t="shared" si="28"/>
        <v>0</v>
      </c>
    </row>
    <row r="205" spans="1:21" x14ac:dyDescent="0.3">
      <c r="A205" s="1">
        <v>43110</v>
      </c>
      <c r="B205" s="1">
        <v>43201</v>
      </c>
      <c r="C205">
        <v>332.599052047729</v>
      </c>
      <c r="D205">
        <v>312.45000038146901</v>
      </c>
      <c r="E205">
        <v>327.85</v>
      </c>
      <c r="F205">
        <v>-15.399999618530201</v>
      </c>
      <c r="G205">
        <v>4.7490520477294904</v>
      </c>
      <c r="H205">
        <v>-15.399999618530201</v>
      </c>
      <c r="J205">
        <v>327.79169031083501</v>
      </c>
      <c r="K205">
        <v>312.92729883193903</v>
      </c>
      <c r="L205" s="1">
        <v>43201</v>
      </c>
      <c r="M205">
        <v>312.45000038146901</v>
      </c>
      <c r="N205">
        <f t="shared" si="29"/>
        <v>324.43934706350097</v>
      </c>
      <c r="O205">
        <f t="shared" si="32"/>
        <v>1</v>
      </c>
      <c r="P205">
        <v>4.7224139489999999</v>
      </c>
      <c r="R205">
        <f t="shared" si="30"/>
        <v>320.24198339731902</v>
      </c>
      <c r="S205">
        <f t="shared" si="31"/>
        <v>304.658017365619</v>
      </c>
      <c r="T205">
        <f t="shared" si="26"/>
        <v>0</v>
      </c>
      <c r="U205">
        <f t="shared" si="28"/>
        <v>0</v>
      </c>
    </row>
    <row r="206" spans="1:21" x14ac:dyDescent="0.3">
      <c r="A206" s="1">
        <v>43111</v>
      </c>
      <c r="B206" s="1">
        <v>43202</v>
      </c>
      <c r="C206">
        <v>332.17848682403502</v>
      </c>
      <c r="D206">
        <v>311.75</v>
      </c>
      <c r="E206">
        <v>326.5</v>
      </c>
      <c r="F206">
        <v>-14.75</v>
      </c>
      <c r="G206">
        <v>5.6784868240356401</v>
      </c>
      <c r="H206">
        <v>-14.75</v>
      </c>
      <c r="J206">
        <v>327.21081107854798</v>
      </c>
      <c r="K206">
        <v>317.95483036041202</v>
      </c>
      <c r="L206" s="1">
        <v>43202</v>
      </c>
      <c r="M206">
        <v>311.75</v>
      </c>
      <c r="N206">
        <f t="shared" si="29"/>
        <v>325.78137608766497</v>
      </c>
      <c r="O206">
        <f t="shared" si="32"/>
        <v>1</v>
      </c>
      <c r="P206">
        <v>4.7201115590000002</v>
      </c>
      <c r="R206">
        <f t="shared" si="30"/>
        <v>319.53818407235002</v>
      </c>
      <c r="S206">
        <f t="shared" si="31"/>
        <v>303.96181592764998</v>
      </c>
      <c r="T206">
        <f t="shared" si="26"/>
        <v>0</v>
      </c>
      <c r="U206">
        <f t="shared" si="28"/>
        <v>0</v>
      </c>
    </row>
    <row r="207" spans="1:21" x14ac:dyDescent="0.3">
      <c r="A207" s="1">
        <v>43112</v>
      </c>
      <c r="B207" s="1">
        <v>43203</v>
      </c>
      <c r="C207">
        <v>329.036017513275</v>
      </c>
      <c r="D207">
        <v>314.45000038146901</v>
      </c>
      <c r="E207">
        <v>326.85000000000002</v>
      </c>
      <c r="F207">
        <v>-12.399999618530201</v>
      </c>
      <c r="G207">
        <v>2.1860175132751398</v>
      </c>
      <c r="H207">
        <v>-12.399999618530201</v>
      </c>
      <c r="J207">
        <v>326.09237841367701</v>
      </c>
      <c r="K207">
        <v>316.754025650024</v>
      </c>
      <c r="L207" s="1">
        <v>43203</v>
      </c>
      <c r="M207">
        <v>314.45000038146901</v>
      </c>
      <c r="N207">
        <f t="shared" si="29"/>
        <v>323.96080719232532</v>
      </c>
      <c r="O207">
        <f t="shared" si="32"/>
        <v>1</v>
      </c>
      <c r="P207">
        <v>4.7158153760000001</v>
      </c>
      <c r="R207">
        <f t="shared" si="30"/>
        <v>322.23109575186902</v>
      </c>
      <c r="S207">
        <f t="shared" si="31"/>
        <v>306.668905011069</v>
      </c>
      <c r="T207">
        <f t="shared" si="26"/>
        <v>0</v>
      </c>
      <c r="U207">
        <f t="shared" si="28"/>
        <v>0</v>
      </c>
    </row>
    <row r="208" spans="1:21" x14ac:dyDescent="0.3">
      <c r="A208" s="1">
        <v>43115</v>
      </c>
      <c r="B208" s="1">
        <v>43206</v>
      </c>
      <c r="C208">
        <v>335.99113540649398</v>
      </c>
      <c r="D208">
        <v>314.3</v>
      </c>
      <c r="E208">
        <v>327.3</v>
      </c>
      <c r="F208">
        <v>-13</v>
      </c>
      <c r="G208">
        <v>8.6911354064941406</v>
      </c>
      <c r="H208">
        <v>-13</v>
      </c>
      <c r="J208">
        <v>325.93997948169698</v>
      </c>
      <c r="K208">
        <v>317.52911539077701</v>
      </c>
      <c r="L208" s="1">
        <v>43206</v>
      </c>
      <c r="M208">
        <v>314.3</v>
      </c>
      <c r="N208">
        <f t="shared" si="29"/>
        <v>326.48674342632262</v>
      </c>
      <c r="O208">
        <f t="shared" si="32"/>
        <v>1</v>
      </c>
      <c r="P208">
        <v>4.712607502</v>
      </c>
      <c r="R208">
        <f t="shared" si="30"/>
        <v>322.07580237830001</v>
      </c>
      <c r="S208">
        <f t="shared" si="31"/>
        <v>306.52419762170001</v>
      </c>
      <c r="T208">
        <f t="shared" si="26"/>
        <v>0</v>
      </c>
      <c r="U208">
        <f t="shared" si="28"/>
        <v>0</v>
      </c>
    </row>
    <row r="209" spans="1:21" x14ac:dyDescent="0.3">
      <c r="A209" s="1">
        <v>43116</v>
      </c>
      <c r="B209" s="1">
        <v>43207</v>
      </c>
      <c r="C209">
        <v>330.67074406146997</v>
      </c>
      <c r="D209">
        <v>314.39999961852999</v>
      </c>
      <c r="E209">
        <v>330.5</v>
      </c>
      <c r="F209">
        <v>-16.100000381469702</v>
      </c>
      <c r="G209">
        <v>0.17074406147003099</v>
      </c>
      <c r="H209">
        <v>-16.100000381469702</v>
      </c>
      <c r="J209">
        <v>328.92063701152802</v>
      </c>
      <c r="K209">
        <v>318.80762786865199</v>
      </c>
      <c r="L209" s="1">
        <v>43207</v>
      </c>
      <c r="M209">
        <v>314.39999961852999</v>
      </c>
      <c r="N209">
        <f t="shared" si="29"/>
        <v>326.13300298054997</v>
      </c>
      <c r="O209">
        <f t="shared" si="32"/>
        <v>1</v>
      </c>
      <c r="P209">
        <v>4.7306853010000003</v>
      </c>
      <c r="R209">
        <f t="shared" si="30"/>
        <v>322.20563036518001</v>
      </c>
      <c r="S209">
        <f t="shared" si="31"/>
        <v>306.59436887187996</v>
      </c>
      <c r="T209">
        <f t="shared" si="26"/>
        <v>0</v>
      </c>
      <c r="U209">
        <f t="shared" si="28"/>
        <v>0</v>
      </c>
    </row>
    <row r="210" spans="1:21" x14ac:dyDescent="0.3">
      <c r="A210" s="1">
        <v>43117</v>
      </c>
      <c r="B210" s="1">
        <v>43208</v>
      </c>
      <c r="C210">
        <v>330.373392534255</v>
      </c>
      <c r="D210">
        <v>317.59999961852998</v>
      </c>
      <c r="E210">
        <v>329.2</v>
      </c>
      <c r="F210">
        <v>-11.6000003814697</v>
      </c>
      <c r="G210">
        <v>1.1733925342559799</v>
      </c>
      <c r="H210">
        <v>-11.6000003814697</v>
      </c>
      <c r="J210">
        <v>327.30708510875701</v>
      </c>
      <c r="K210">
        <v>314.66217107772798</v>
      </c>
      <c r="L210" s="1">
        <v>43208</v>
      </c>
      <c r="M210">
        <v>317.59999961852998</v>
      </c>
      <c r="N210">
        <f t="shared" si="29"/>
        <v>324.11421624024666</v>
      </c>
      <c r="O210">
        <f t="shared" si="32"/>
        <v>1</v>
      </c>
      <c r="P210">
        <v>4.7359423810000001</v>
      </c>
      <c r="R210">
        <f t="shared" si="30"/>
        <v>325.41430454718</v>
      </c>
      <c r="S210">
        <f t="shared" si="31"/>
        <v>309.78569468987996</v>
      </c>
      <c r="T210">
        <f t="shared" si="26"/>
        <v>1</v>
      </c>
      <c r="U210">
        <f t="shared" si="28"/>
        <v>0</v>
      </c>
    </row>
    <row r="211" spans="1:21" x14ac:dyDescent="0.3">
      <c r="A211" s="1">
        <v>43118</v>
      </c>
      <c r="B211" s="1">
        <v>43209</v>
      </c>
      <c r="C211">
        <v>329.94173552989901</v>
      </c>
      <c r="D211">
        <v>319.00000038146902</v>
      </c>
      <c r="E211">
        <v>329.4</v>
      </c>
      <c r="F211">
        <v>-10.399999618530201</v>
      </c>
      <c r="G211">
        <v>0.54173552989959695</v>
      </c>
      <c r="H211">
        <v>-10.399999618530201</v>
      </c>
      <c r="J211">
        <v>327.71151509284903</v>
      </c>
      <c r="K211">
        <v>316.27144050598099</v>
      </c>
      <c r="L211" s="1">
        <v>43209</v>
      </c>
      <c r="M211">
        <v>319.00000038146902</v>
      </c>
      <c r="N211">
        <f t="shared" si="29"/>
        <v>324.64156370957636</v>
      </c>
      <c r="O211">
        <f t="shared" si="32"/>
        <v>1</v>
      </c>
      <c r="P211">
        <v>4.7295354959999996</v>
      </c>
      <c r="R211">
        <f t="shared" si="30"/>
        <v>326.80373394986901</v>
      </c>
      <c r="S211">
        <f t="shared" si="31"/>
        <v>311.19626681306903</v>
      </c>
      <c r="T211">
        <f t="shared" si="26"/>
        <v>1</v>
      </c>
      <c r="U211">
        <f t="shared" si="28"/>
        <v>0</v>
      </c>
    </row>
    <row r="212" spans="1:21" x14ac:dyDescent="0.3">
      <c r="A212" s="1">
        <v>43119</v>
      </c>
      <c r="B212" s="1">
        <v>43210</v>
      </c>
      <c r="C212">
        <v>333.704204654693</v>
      </c>
      <c r="D212">
        <v>316.90000019073398</v>
      </c>
      <c r="E212">
        <v>329.6</v>
      </c>
      <c r="F212">
        <v>-12.699999809265099</v>
      </c>
      <c r="G212">
        <v>4.1042046546936</v>
      </c>
      <c r="H212">
        <v>-12.699999809265099</v>
      </c>
      <c r="J212">
        <v>327.11397538185099</v>
      </c>
      <c r="K212">
        <v>313.816636395454</v>
      </c>
      <c r="L212" s="1">
        <v>43210</v>
      </c>
      <c r="M212">
        <v>316.90000019073398</v>
      </c>
      <c r="N212">
        <f t="shared" si="29"/>
        <v>324.87827214399931</v>
      </c>
      <c r="O212">
        <f t="shared" si="32"/>
        <v>1</v>
      </c>
      <c r="P212">
        <v>4.7377438029999999</v>
      </c>
      <c r="R212">
        <f t="shared" si="30"/>
        <v>324.71727746568399</v>
      </c>
      <c r="S212">
        <f t="shared" si="31"/>
        <v>309.08272291578396</v>
      </c>
      <c r="T212">
        <f t="shared" si="26"/>
        <v>0</v>
      </c>
      <c r="U212">
        <f>IF(AND((C212-E212)*(D212-E212)&gt;0,AND(C212&lt;R212,C212&gt;S212)),1,0)</f>
        <v>0</v>
      </c>
    </row>
    <row r="213" spans="1:21" x14ac:dyDescent="0.3">
      <c r="A213" s="1">
        <v>43122</v>
      </c>
      <c r="B213" s="1">
        <v>43213</v>
      </c>
      <c r="C213">
        <v>329.68194794654801</v>
      </c>
      <c r="D213">
        <v>317.10000038146899</v>
      </c>
      <c r="E213">
        <v>326.25</v>
      </c>
      <c r="F213">
        <v>-9.1499996185302699</v>
      </c>
      <c r="G213">
        <v>3.4319479465484601</v>
      </c>
      <c r="H213">
        <v>-9.1499996185302699</v>
      </c>
      <c r="J213">
        <v>325.59790784120497</v>
      </c>
      <c r="K213">
        <v>315.57210414409599</v>
      </c>
      <c r="L213" s="1">
        <v>43213</v>
      </c>
      <c r="M213">
        <v>317.10000038146899</v>
      </c>
      <c r="N213">
        <f t="shared" si="29"/>
        <v>323.61731997728299</v>
      </c>
      <c r="O213">
        <f t="shared" si="32"/>
        <v>1</v>
      </c>
      <c r="P213">
        <v>4.7392007810000001</v>
      </c>
      <c r="R213">
        <f t="shared" si="30"/>
        <v>324.91968167011896</v>
      </c>
      <c r="S213">
        <f t="shared" si="31"/>
        <v>309.28031909281901</v>
      </c>
      <c r="T213">
        <f t="shared" si="26"/>
        <v>1</v>
      </c>
      <c r="U213">
        <f t="shared" ref="U213:U214" si="33">IF(AND((C213-E213)*(D213-E213)&gt;0,AND(C213&lt;R213,C213&gt;S213)),1,0)</f>
        <v>0</v>
      </c>
    </row>
    <row r="214" spans="1:21" x14ac:dyDescent="0.3">
      <c r="A214" s="1">
        <v>43123</v>
      </c>
      <c r="B214" s="1">
        <v>43214</v>
      </c>
      <c r="C214">
        <v>331.60257610678599</v>
      </c>
      <c r="D214">
        <v>315.35000038146899</v>
      </c>
      <c r="E214">
        <v>331.25</v>
      </c>
      <c r="F214">
        <v>-15.899999618530201</v>
      </c>
      <c r="G214">
        <v>0.35257610678672702</v>
      </c>
      <c r="H214">
        <v>-15.899999618530201</v>
      </c>
      <c r="J214">
        <v>327.457041025161</v>
      </c>
      <c r="K214">
        <v>314.03419976830401</v>
      </c>
      <c r="L214" s="1">
        <v>43214</v>
      </c>
      <c r="M214">
        <v>315.35000038146899</v>
      </c>
      <c r="N214">
        <f t="shared" si="29"/>
        <v>324.364605633417</v>
      </c>
      <c r="O214">
        <f t="shared" si="32"/>
        <v>1</v>
      </c>
      <c r="P214">
        <v>4.7649728590000002</v>
      </c>
      <c r="R214">
        <f t="shared" si="30"/>
        <v>323.21220559881897</v>
      </c>
      <c r="S214">
        <f t="shared" si="31"/>
        <v>307.48779516411901</v>
      </c>
      <c r="T214">
        <f t="shared" si="26"/>
        <v>0</v>
      </c>
      <c r="U214">
        <f t="shared" si="33"/>
        <v>0</v>
      </c>
    </row>
    <row r="215" spans="1:21" x14ac:dyDescent="0.3">
      <c r="A215" s="1">
        <v>43124</v>
      </c>
      <c r="B215" s="1">
        <v>43215</v>
      </c>
      <c r="C215">
        <v>332.49312744140599</v>
      </c>
      <c r="D215">
        <v>312.95000038146901</v>
      </c>
      <c r="E215">
        <v>331.6</v>
      </c>
      <c r="F215">
        <v>-18.649999618530199</v>
      </c>
      <c r="G215">
        <v>0.89312744140625</v>
      </c>
      <c r="H215">
        <v>-18.649999618530199</v>
      </c>
      <c r="J215">
        <v>328.15017495155303</v>
      </c>
      <c r="K215">
        <v>316.557386612892</v>
      </c>
      <c r="L215" s="1">
        <v>43215</v>
      </c>
      <c r="M215">
        <v>312.95000038146901</v>
      </c>
      <c r="N215">
        <f t="shared" si="29"/>
        <v>325.73356300195036</v>
      </c>
      <c r="O215">
        <f t="shared" si="32"/>
        <v>1</v>
      </c>
      <c r="P215">
        <v>4.7946086010000002</v>
      </c>
      <c r="R215">
        <f t="shared" si="30"/>
        <v>320.86110457311901</v>
      </c>
      <c r="S215">
        <f t="shared" si="31"/>
        <v>305.03889618981901</v>
      </c>
      <c r="T215">
        <f t="shared" si="26"/>
        <v>0</v>
      </c>
      <c r="U215">
        <f>IF(AND((C215-E215)*(D215-E215)&gt;0,AND(C215&lt;R215,C215&gt;S215)),1,0)</f>
        <v>0</v>
      </c>
    </row>
    <row r="216" spans="1:21" x14ac:dyDescent="0.3">
      <c r="A216" s="1">
        <v>43125</v>
      </c>
      <c r="B216" s="1">
        <v>43216</v>
      </c>
      <c r="C216">
        <v>333.478408741951</v>
      </c>
      <c r="D216">
        <v>317.44999961853</v>
      </c>
      <c r="E216">
        <v>334.3</v>
      </c>
      <c r="F216">
        <v>16.850000381469702</v>
      </c>
      <c r="G216">
        <v>-0.82159125804901101</v>
      </c>
      <c r="H216">
        <v>-16.850000381469702</v>
      </c>
      <c r="J216">
        <v>328.33112363815297</v>
      </c>
      <c r="K216">
        <v>316.38014507293701</v>
      </c>
      <c r="L216" s="1">
        <v>43216</v>
      </c>
      <c r="M216">
        <v>317.44999961853</v>
      </c>
      <c r="N216">
        <f t="shared" si="29"/>
        <v>326.06322581768035</v>
      </c>
      <c r="O216">
        <f t="shared" si="32"/>
        <v>1</v>
      </c>
      <c r="P216">
        <v>4.8493324529999997</v>
      </c>
      <c r="R216">
        <f t="shared" si="30"/>
        <v>325.45139816597998</v>
      </c>
      <c r="S216">
        <f t="shared" si="31"/>
        <v>309.44860107108002</v>
      </c>
      <c r="T216">
        <f t="shared" si="26"/>
        <v>0</v>
      </c>
      <c r="U216">
        <f t="shared" ref="U216:U276" si="34">IF(AND((C216-E216)*(D216-E216)&gt;0,AND(C216&lt;R216,C216&gt;S216)),1,0)</f>
        <v>0</v>
      </c>
    </row>
    <row r="217" spans="1:21" x14ac:dyDescent="0.3">
      <c r="A217" s="1">
        <v>43126</v>
      </c>
      <c r="B217" s="1">
        <v>43217</v>
      </c>
      <c r="C217">
        <v>335.66197187900502</v>
      </c>
      <c r="D217">
        <v>320.14999980926501</v>
      </c>
      <c r="E217">
        <v>335.95</v>
      </c>
      <c r="F217">
        <v>15.800000190734799</v>
      </c>
      <c r="G217">
        <v>-0.28802812099456698</v>
      </c>
      <c r="H217">
        <v>-15.800000190734799</v>
      </c>
      <c r="J217">
        <v>326.93635196685699</v>
      </c>
      <c r="K217">
        <v>314.57594623565598</v>
      </c>
      <c r="L217" s="1">
        <v>43217</v>
      </c>
      <c r="M217">
        <v>320.14999980926501</v>
      </c>
      <c r="N217">
        <f t="shared" si="29"/>
        <v>325.72475669383931</v>
      </c>
      <c r="O217">
        <f>IF((D217-E217)*(D217-N217)&gt;0,1,0)</f>
        <v>1</v>
      </c>
      <c r="P217">
        <v>4.9602066730000001</v>
      </c>
      <c r="R217">
        <f t="shared" si="30"/>
        <v>328.33434081971501</v>
      </c>
      <c r="S217">
        <f t="shared" si="31"/>
        <v>311.96565879881501</v>
      </c>
      <c r="T217">
        <f t="shared" si="26"/>
        <v>1</v>
      </c>
      <c r="U217">
        <f t="shared" si="34"/>
        <v>0</v>
      </c>
    </row>
    <row r="218" spans="1:21" x14ac:dyDescent="0.3">
      <c r="A218" s="1">
        <v>43129</v>
      </c>
      <c r="B218" s="1">
        <v>43220</v>
      </c>
      <c r="C218">
        <v>337.54767191410002</v>
      </c>
      <c r="D218">
        <v>321.64999961852999</v>
      </c>
      <c r="E218">
        <v>338.5</v>
      </c>
      <c r="F218">
        <v>16.850000381469702</v>
      </c>
      <c r="G218">
        <v>-0.95232808589935303</v>
      </c>
      <c r="H218">
        <v>-16.850000381469702</v>
      </c>
      <c r="J218">
        <v>330.30540084838799</v>
      </c>
      <c r="K218">
        <v>316.28310749530698</v>
      </c>
      <c r="L218" s="1">
        <v>43220</v>
      </c>
      <c r="M218">
        <v>321.64999961852999</v>
      </c>
      <c r="N218">
        <f t="shared" si="29"/>
        <v>328.04539341926494</v>
      </c>
      <c r="O218">
        <f t="shared" ref="O218:O276" si="35">IF((D218-E218)*(D218-N218)&gt;0,1,0)</f>
        <v>1</v>
      </c>
      <c r="P218">
        <v>5.139521523</v>
      </c>
      <c r="R218">
        <f t="shared" si="30"/>
        <v>330.13021013148</v>
      </c>
      <c r="S218">
        <f t="shared" si="31"/>
        <v>313.16978910557998</v>
      </c>
      <c r="T218">
        <f t="shared" si="26"/>
        <v>1</v>
      </c>
      <c r="U218">
        <f t="shared" si="34"/>
        <v>0</v>
      </c>
    </row>
    <row r="219" spans="1:21" x14ac:dyDescent="0.3">
      <c r="A219" s="1">
        <v>43130</v>
      </c>
      <c r="B219" s="1">
        <v>43221</v>
      </c>
      <c r="C219">
        <v>337.015576744079</v>
      </c>
      <c r="D219">
        <v>321.64999999999998</v>
      </c>
      <c r="E219">
        <v>333.9</v>
      </c>
      <c r="F219">
        <v>-12.25</v>
      </c>
      <c r="G219">
        <v>3.1155767440795898</v>
      </c>
      <c r="H219">
        <v>-12.25</v>
      </c>
      <c r="J219">
        <v>333.16142984628601</v>
      </c>
      <c r="K219">
        <v>315.60352418422701</v>
      </c>
      <c r="L219" s="1">
        <v>43221</v>
      </c>
      <c r="M219">
        <v>321.64999999999998</v>
      </c>
      <c r="N219">
        <f t="shared" si="29"/>
        <v>328.59351025819734</v>
      </c>
      <c r="O219">
        <f t="shared" si="35"/>
        <v>1</v>
      </c>
      <c r="P219">
        <v>5.1795488179999998</v>
      </c>
      <c r="R219">
        <f t="shared" si="30"/>
        <v>330.19625554969997</v>
      </c>
      <c r="S219">
        <f t="shared" si="31"/>
        <v>313.10374445029998</v>
      </c>
      <c r="T219">
        <f t="shared" si="26"/>
        <v>1</v>
      </c>
      <c r="U219">
        <f t="shared" si="34"/>
        <v>0</v>
      </c>
    </row>
    <row r="220" spans="1:21" x14ac:dyDescent="0.3">
      <c r="A220" s="1">
        <v>43131</v>
      </c>
      <c r="B220" s="1">
        <v>43222</v>
      </c>
      <c r="C220">
        <v>327.86383171081502</v>
      </c>
      <c r="D220">
        <v>319.750000190734</v>
      </c>
      <c r="E220">
        <v>334.45</v>
      </c>
      <c r="F220">
        <v>14.699999809265099</v>
      </c>
      <c r="G220">
        <v>-6.5861682891845703</v>
      </c>
      <c r="H220">
        <v>-14.699999809265099</v>
      </c>
      <c r="J220">
        <v>332.56788380146003</v>
      </c>
      <c r="K220">
        <v>316.640041065216</v>
      </c>
      <c r="L220" s="1">
        <v>43222</v>
      </c>
      <c r="M220">
        <v>319.750000190734</v>
      </c>
      <c r="N220">
        <f t="shared" si="29"/>
        <v>325.69058552583039</v>
      </c>
      <c r="O220">
        <f t="shared" si="35"/>
        <v>1</v>
      </c>
      <c r="P220">
        <v>5.1308128389999998</v>
      </c>
      <c r="R220">
        <f t="shared" si="30"/>
        <v>328.21584137508398</v>
      </c>
      <c r="S220">
        <f t="shared" si="31"/>
        <v>311.28415900638402</v>
      </c>
      <c r="T220">
        <f t="shared" si="26"/>
        <v>1</v>
      </c>
      <c r="U220">
        <f t="shared" si="34"/>
        <v>1</v>
      </c>
    </row>
    <row r="221" spans="1:21" x14ac:dyDescent="0.3">
      <c r="A221" s="1">
        <v>43132</v>
      </c>
      <c r="B221" s="1">
        <v>43223</v>
      </c>
      <c r="C221">
        <v>326.795389556884</v>
      </c>
      <c r="D221">
        <v>318.00000038146902</v>
      </c>
      <c r="E221">
        <v>333.65</v>
      </c>
      <c r="F221">
        <v>15.649999618530201</v>
      </c>
      <c r="G221">
        <v>-6.8546104431152299</v>
      </c>
      <c r="H221">
        <v>-15.649999618530201</v>
      </c>
      <c r="J221">
        <v>333.21831580400402</v>
      </c>
      <c r="K221">
        <v>320.90794868469197</v>
      </c>
      <c r="L221" s="1">
        <v>43223</v>
      </c>
      <c r="M221">
        <v>318.00000038146902</v>
      </c>
      <c r="N221">
        <f t="shared" si="29"/>
        <v>326.97388468186</v>
      </c>
      <c r="O221">
        <f t="shared" si="35"/>
        <v>1</v>
      </c>
      <c r="P221">
        <v>5.1028800309999998</v>
      </c>
      <c r="R221">
        <f t="shared" si="30"/>
        <v>326.41975243261902</v>
      </c>
      <c r="S221">
        <f t="shared" si="31"/>
        <v>309.58024833031902</v>
      </c>
      <c r="T221">
        <f t="shared" si="26"/>
        <v>0</v>
      </c>
      <c r="U221">
        <f t="shared" si="34"/>
        <v>0</v>
      </c>
    </row>
    <row r="222" spans="1:21" x14ac:dyDescent="0.3">
      <c r="A222" s="1">
        <v>43133</v>
      </c>
      <c r="B222" s="1">
        <v>43224</v>
      </c>
      <c r="C222">
        <v>332.51547136306698</v>
      </c>
      <c r="D222">
        <v>316.45000019073399</v>
      </c>
      <c r="E222">
        <v>327.39999999999998</v>
      </c>
      <c r="F222">
        <v>-10.949999809265099</v>
      </c>
      <c r="G222">
        <v>5.1154713630676198</v>
      </c>
      <c r="H222">
        <v>-10.949999809265099</v>
      </c>
      <c r="J222">
        <v>326.49604400396299</v>
      </c>
      <c r="K222">
        <v>321.00932356119102</v>
      </c>
      <c r="L222" s="1">
        <v>43224</v>
      </c>
      <c r="M222">
        <v>316.45000019073399</v>
      </c>
      <c r="N222">
        <f t="shared" si="29"/>
        <v>326.67361297607363</v>
      </c>
      <c r="O222">
        <f t="shared" si="35"/>
        <v>1</v>
      </c>
      <c r="P222">
        <v>4.9881768869999998</v>
      </c>
      <c r="R222">
        <f t="shared" si="30"/>
        <v>324.680492054284</v>
      </c>
      <c r="S222">
        <f t="shared" si="31"/>
        <v>308.21950832718397</v>
      </c>
      <c r="T222">
        <f t="shared" si="26"/>
        <v>0</v>
      </c>
      <c r="U222">
        <f t="shared" si="34"/>
        <v>0</v>
      </c>
    </row>
    <row r="223" spans="1:21" x14ac:dyDescent="0.3">
      <c r="A223" s="1">
        <v>43136</v>
      </c>
      <c r="B223" s="1">
        <v>43227</v>
      </c>
      <c r="C223">
        <v>338.84457778930602</v>
      </c>
      <c r="D223">
        <v>316.44999980926502</v>
      </c>
      <c r="E223">
        <v>323</v>
      </c>
      <c r="F223">
        <v>-6.5500001907348597</v>
      </c>
      <c r="G223">
        <v>15.8445777893066</v>
      </c>
      <c r="H223">
        <v>-6.5500001907348597</v>
      </c>
      <c r="J223">
        <v>322.43541240692099</v>
      </c>
      <c r="K223">
        <v>317.09312381744297</v>
      </c>
      <c r="L223" s="1">
        <v>43227</v>
      </c>
      <c r="M223">
        <v>316.44999980926502</v>
      </c>
      <c r="N223">
        <f t="shared" si="29"/>
        <v>326.12437133788995</v>
      </c>
      <c r="O223">
        <f t="shared" si="35"/>
        <v>1</v>
      </c>
      <c r="P223">
        <v>4.9533709139999997</v>
      </c>
      <c r="R223">
        <f t="shared" si="30"/>
        <v>324.623061817365</v>
      </c>
      <c r="S223">
        <f t="shared" si="31"/>
        <v>308.27693780116505</v>
      </c>
      <c r="T223">
        <f t="shared" si="26"/>
        <v>0</v>
      </c>
      <c r="U223">
        <f t="shared" si="34"/>
        <v>0</v>
      </c>
    </row>
    <row r="224" spans="1:21" x14ac:dyDescent="0.3">
      <c r="A224" s="1">
        <v>43137</v>
      </c>
      <c r="B224" s="1">
        <v>43228</v>
      </c>
      <c r="C224">
        <v>339.89576759338303</v>
      </c>
      <c r="D224">
        <v>314.05000009536701</v>
      </c>
      <c r="E224">
        <v>317.64999999999998</v>
      </c>
      <c r="F224">
        <v>-3.5999999046325599</v>
      </c>
      <c r="G224">
        <v>22.2457675933837</v>
      </c>
      <c r="H224">
        <v>-3.5999999046325599</v>
      </c>
      <c r="J224">
        <v>318.88282027244497</v>
      </c>
      <c r="K224">
        <v>315.60503187179501</v>
      </c>
      <c r="L224" s="1">
        <v>43228</v>
      </c>
      <c r="M224">
        <v>314.05000009536701</v>
      </c>
      <c r="N224">
        <f t="shared" si="29"/>
        <v>324.79453991254104</v>
      </c>
      <c r="O224">
        <f t="shared" si="35"/>
        <v>1</v>
      </c>
      <c r="P224">
        <v>5.0375850580000003</v>
      </c>
      <c r="R224">
        <f t="shared" si="30"/>
        <v>322.362015441067</v>
      </c>
      <c r="S224">
        <f t="shared" si="31"/>
        <v>305.73798474966702</v>
      </c>
      <c r="T224">
        <f t="shared" si="26"/>
        <v>0</v>
      </c>
      <c r="U224">
        <f t="shared" si="34"/>
        <v>0</v>
      </c>
    </row>
    <row r="225" spans="1:21" x14ac:dyDescent="0.3">
      <c r="A225" s="1">
        <v>43138</v>
      </c>
      <c r="B225" s="1">
        <v>43229</v>
      </c>
      <c r="C225">
        <v>333.86287689208899</v>
      </c>
      <c r="D225">
        <v>314.05000019073401</v>
      </c>
      <c r="E225">
        <v>309.5</v>
      </c>
      <c r="F225">
        <v>4.5500001907348597</v>
      </c>
      <c r="G225">
        <v>24.362876892089801</v>
      </c>
      <c r="H225">
        <v>4.5500001907348597</v>
      </c>
      <c r="J225">
        <v>307.71182274818398</v>
      </c>
      <c r="K225">
        <v>313.30405330657902</v>
      </c>
      <c r="L225" s="1">
        <v>43229</v>
      </c>
      <c r="M225">
        <v>314.05000019073401</v>
      </c>
      <c r="N225">
        <f t="shared" si="29"/>
        <v>318.29291764895066</v>
      </c>
      <c r="O225">
        <f t="shared" si="35"/>
        <v>0</v>
      </c>
      <c r="P225">
        <v>5.3981002939999998</v>
      </c>
      <c r="R225">
        <f t="shared" si="30"/>
        <v>322.95686567583402</v>
      </c>
      <c r="S225">
        <f t="shared" si="31"/>
        <v>305.143134705634</v>
      </c>
      <c r="T225">
        <f t="shared" si="26"/>
        <v>1</v>
      </c>
      <c r="U225">
        <f t="shared" si="34"/>
        <v>0</v>
      </c>
    </row>
    <row r="226" spans="1:21" x14ac:dyDescent="0.3">
      <c r="A226" s="1">
        <v>43139</v>
      </c>
      <c r="B226" s="1">
        <v>43230</v>
      </c>
      <c r="C226">
        <v>330.022100448608</v>
      </c>
      <c r="D226">
        <v>315.849999904632</v>
      </c>
      <c r="E226">
        <v>312.5</v>
      </c>
      <c r="F226">
        <v>3.3499999046325599</v>
      </c>
      <c r="G226">
        <v>17.522100448608398</v>
      </c>
      <c r="H226">
        <v>3.3499999046325599</v>
      </c>
      <c r="J226">
        <v>303.94567680358801</v>
      </c>
      <c r="K226">
        <v>313.37589550018299</v>
      </c>
      <c r="L226" s="1">
        <v>43230</v>
      </c>
      <c r="M226">
        <v>315.849999904632</v>
      </c>
      <c r="N226">
        <f t="shared" si="29"/>
        <v>315.781224250793</v>
      </c>
      <c r="O226">
        <f t="shared" si="35"/>
        <v>1</v>
      </c>
      <c r="P226">
        <v>5.6150264139999999</v>
      </c>
      <c r="R226">
        <f t="shared" si="30"/>
        <v>325.11479348773202</v>
      </c>
      <c r="S226">
        <f t="shared" si="31"/>
        <v>306.58520632153198</v>
      </c>
      <c r="T226">
        <f t="shared" si="26"/>
        <v>1</v>
      </c>
      <c r="U226">
        <f t="shared" si="34"/>
        <v>0</v>
      </c>
    </row>
    <row r="227" spans="1:21" x14ac:dyDescent="0.3">
      <c r="A227" s="1">
        <v>43140</v>
      </c>
      <c r="B227" s="1">
        <v>43231</v>
      </c>
      <c r="C227">
        <v>319.24764690399098</v>
      </c>
      <c r="D227">
        <v>317.65000019073398</v>
      </c>
      <c r="E227">
        <v>303.85000000000002</v>
      </c>
      <c r="F227">
        <v>13.800000190734799</v>
      </c>
      <c r="G227">
        <v>15.397646903991699</v>
      </c>
      <c r="H227">
        <v>13.800000190734799</v>
      </c>
      <c r="J227">
        <v>300.31805715560898</v>
      </c>
      <c r="K227">
        <v>312.578368616104</v>
      </c>
      <c r="L227" s="1">
        <v>43231</v>
      </c>
      <c r="M227">
        <v>317.65000019073398</v>
      </c>
      <c r="N227">
        <f t="shared" si="29"/>
        <v>310.71469089190128</v>
      </c>
      <c r="O227">
        <f t="shared" si="35"/>
        <v>1</v>
      </c>
      <c r="P227">
        <v>6.223028051</v>
      </c>
      <c r="R227">
        <f t="shared" si="30"/>
        <v>327.91799647488398</v>
      </c>
      <c r="S227">
        <f t="shared" si="31"/>
        <v>307.38200390658398</v>
      </c>
      <c r="T227">
        <f t="shared" si="26"/>
        <v>1</v>
      </c>
      <c r="U227">
        <f t="shared" si="34"/>
        <v>1</v>
      </c>
    </row>
    <row r="228" spans="1:21" x14ac:dyDescent="0.3">
      <c r="A228" s="1">
        <v>43143</v>
      </c>
      <c r="B228" s="1">
        <v>43234</v>
      </c>
      <c r="C228">
        <v>311.46997342109597</v>
      </c>
      <c r="D228">
        <v>316.85000000000002</v>
      </c>
      <c r="E228">
        <v>308.10000000000002</v>
      </c>
      <c r="F228">
        <v>8.75</v>
      </c>
      <c r="G228">
        <v>3.3699734210968</v>
      </c>
      <c r="H228">
        <v>8.75</v>
      </c>
      <c r="J228">
        <v>301.79649934768599</v>
      </c>
      <c r="K228">
        <v>312.68138189315698</v>
      </c>
      <c r="L228" s="1">
        <v>43234</v>
      </c>
      <c r="M228">
        <v>316.85000000000002</v>
      </c>
      <c r="N228">
        <f t="shared" si="29"/>
        <v>308.649284887313</v>
      </c>
      <c r="O228">
        <f t="shared" si="35"/>
        <v>1</v>
      </c>
      <c r="P228">
        <v>6.5709688939999999</v>
      </c>
      <c r="R228">
        <f t="shared" si="30"/>
        <v>327.6920986751</v>
      </c>
      <c r="S228">
        <f t="shared" si="31"/>
        <v>306.00790132490005</v>
      </c>
      <c r="T228">
        <f t="shared" si="26"/>
        <v>1</v>
      </c>
      <c r="U228">
        <f t="shared" si="34"/>
        <v>1</v>
      </c>
    </row>
    <row r="229" spans="1:21" x14ac:dyDescent="0.3">
      <c r="A229" s="1">
        <v>43144</v>
      </c>
      <c r="B229" s="1">
        <v>43235</v>
      </c>
      <c r="C229">
        <v>314.48341455459502</v>
      </c>
      <c r="D229">
        <v>313.74999990463198</v>
      </c>
      <c r="E229">
        <v>311.39999999999998</v>
      </c>
      <c r="F229">
        <v>2.3499999046325599</v>
      </c>
      <c r="G229">
        <v>3.0834145545959402</v>
      </c>
      <c r="H229">
        <v>2.3499999046325599</v>
      </c>
      <c r="J229">
        <v>306.49776401519699</v>
      </c>
      <c r="K229">
        <v>312.36709170341402</v>
      </c>
      <c r="L229" s="1">
        <v>43235</v>
      </c>
      <c r="M229">
        <v>313.74999990463198</v>
      </c>
      <c r="N229">
        <f t="shared" si="29"/>
        <v>311.11609009106866</v>
      </c>
      <c r="O229">
        <f t="shared" si="35"/>
        <v>1</v>
      </c>
      <c r="P229">
        <v>6.7675366930000003</v>
      </c>
      <c r="R229">
        <f t="shared" si="30"/>
        <v>324.91643544808198</v>
      </c>
      <c r="S229">
        <f t="shared" si="31"/>
        <v>302.58356436118197</v>
      </c>
      <c r="T229">
        <f t="shared" si="26"/>
        <v>0</v>
      </c>
      <c r="U229">
        <f t="shared" si="34"/>
        <v>1</v>
      </c>
    </row>
    <row r="230" spans="1:21" x14ac:dyDescent="0.3">
      <c r="A230" s="1">
        <v>43145</v>
      </c>
      <c r="B230" s="1">
        <v>43236</v>
      </c>
      <c r="C230">
        <v>317.57814817428499</v>
      </c>
      <c r="D230">
        <v>314.90000002384102</v>
      </c>
      <c r="E230">
        <v>314.3</v>
      </c>
      <c r="F230">
        <v>0.60000002384185702</v>
      </c>
      <c r="G230">
        <v>3.2781481742858798</v>
      </c>
      <c r="H230">
        <v>0.60000002384185702</v>
      </c>
      <c r="J230">
        <v>309.08871870040798</v>
      </c>
      <c r="K230">
        <v>316.96711997985801</v>
      </c>
      <c r="L230" s="1">
        <v>43236</v>
      </c>
      <c r="M230">
        <v>314.90000002384102</v>
      </c>
      <c r="N230">
        <f t="shared" si="29"/>
        <v>314.54466228485029</v>
      </c>
      <c r="O230">
        <f t="shared" si="35"/>
        <v>1</v>
      </c>
      <c r="P230">
        <v>6.8889796680000002</v>
      </c>
      <c r="R230">
        <f t="shared" si="30"/>
        <v>326.26681647604101</v>
      </c>
      <c r="S230">
        <f t="shared" si="31"/>
        <v>303.53318357164102</v>
      </c>
      <c r="T230">
        <f t="shared" si="26"/>
        <v>1</v>
      </c>
      <c r="U230">
        <f t="shared" si="34"/>
        <v>1</v>
      </c>
    </row>
    <row r="231" spans="1:21" x14ac:dyDescent="0.3">
      <c r="A231" s="1">
        <v>43146</v>
      </c>
      <c r="B231" s="1">
        <v>43237</v>
      </c>
      <c r="C231">
        <v>317.41174464225702</v>
      </c>
      <c r="D231">
        <v>313.40000002384102</v>
      </c>
      <c r="E231">
        <v>314.3</v>
      </c>
      <c r="F231">
        <v>-0.89999997615814198</v>
      </c>
      <c r="G231">
        <v>3.11174464225769</v>
      </c>
      <c r="H231">
        <v>-0.89999997615814198</v>
      </c>
      <c r="J231">
        <v>308.349479484558</v>
      </c>
      <c r="K231">
        <v>318.76163301467898</v>
      </c>
      <c r="L231" s="1">
        <v>43237</v>
      </c>
      <c r="M231">
        <v>313.40000002384102</v>
      </c>
      <c r="N231">
        <f t="shared" si="29"/>
        <v>314.84095238049798</v>
      </c>
      <c r="O231">
        <f t="shared" si="35"/>
        <v>1</v>
      </c>
      <c r="P231">
        <v>6.9753420439999996</v>
      </c>
      <c r="R231">
        <f t="shared" si="30"/>
        <v>324.909314396441</v>
      </c>
      <c r="S231">
        <f t="shared" si="31"/>
        <v>301.89068565124103</v>
      </c>
      <c r="T231">
        <f t="shared" si="26"/>
        <v>0</v>
      </c>
      <c r="U231">
        <f t="shared" si="34"/>
        <v>0</v>
      </c>
    </row>
    <row r="232" spans="1:21" x14ac:dyDescent="0.3">
      <c r="A232" s="1">
        <v>43147</v>
      </c>
      <c r="B232" s="1">
        <v>43238</v>
      </c>
      <c r="C232">
        <v>317.13391761779701</v>
      </c>
      <c r="D232">
        <v>314.74999998807903</v>
      </c>
      <c r="E232">
        <v>314.3</v>
      </c>
      <c r="F232">
        <v>0.44999998807907099</v>
      </c>
      <c r="G232">
        <v>2.8339176177978498</v>
      </c>
      <c r="H232">
        <v>0.44999998807907099</v>
      </c>
      <c r="J232">
        <v>310.72960691451999</v>
      </c>
      <c r="K232">
        <v>318.16925337314598</v>
      </c>
      <c r="L232" s="1">
        <v>43238</v>
      </c>
      <c r="M232">
        <v>314.74999998807903</v>
      </c>
      <c r="N232">
        <f t="shared" si="29"/>
        <v>315.34425930182101</v>
      </c>
      <c r="O232">
        <f t="shared" si="35"/>
        <v>0</v>
      </c>
      <c r="P232">
        <v>7.0558114180000002</v>
      </c>
      <c r="R232">
        <f t="shared" si="30"/>
        <v>326.39208882777905</v>
      </c>
      <c r="S232">
        <f t="shared" si="31"/>
        <v>303.107911148379</v>
      </c>
      <c r="T232">
        <f t="shared" si="26"/>
        <v>1</v>
      </c>
      <c r="U232">
        <f t="shared" si="34"/>
        <v>1</v>
      </c>
    </row>
    <row r="233" spans="1:21" x14ac:dyDescent="0.3">
      <c r="A233" s="1">
        <v>43150</v>
      </c>
      <c r="B233" s="1">
        <v>43241</v>
      </c>
      <c r="C233">
        <v>317.74437236785798</v>
      </c>
      <c r="D233">
        <v>315.10000002384101</v>
      </c>
      <c r="E233">
        <v>316.25</v>
      </c>
      <c r="F233">
        <v>-1.1499999761581401</v>
      </c>
      <c r="G233">
        <v>1.4943723678588801</v>
      </c>
      <c r="H233">
        <v>-1.1499999761581401</v>
      </c>
      <c r="J233">
        <v>311.77683115005402</v>
      </c>
      <c r="K233">
        <v>317.11413801312398</v>
      </c>
      <c r="L233" s="1">
        <v>43241</v>
      </c>
      <c r="M233">
        <v>315.10000002384101</v>
      </c>
      <c r="N233">
        <f t="shared" si="29"/>
        <v>315.54511384367862</v>
      </c>
      <c r="O233">
        <f t="shared" si="35"/>
        <v>1</v>
      </c>
      <c r="P233">
        <v>7.1057772909999999</v>
      </c>
      <c r="R233">
        <f t="shared" si="30"/>
        <v>326.82453255399099</v>
      </c>
      <c r="S233">
        <f t="shared" si="31"/>
        <v>303.37546749369102</v>
      </c>
      <c r="T233">
        <f t="shared" si="26"/>
        <v>1</v>
      </c>
      <c r="U233">
        <f t="shared" si="34"/>
        <v>0</v>
      </c>
    </row>
    <row r="234" spans="1:21" x14ac:dyDescent="0.3">
      <c r="A234" s="1">
        <v>43151</v>
      </c>
      <c r="B234" s="1">
        <v>43242</v>
      </c>
      <c r="C234">
        <v>318.45698165893498</v>
      </c>
      <c r="D234">
        <v>315.099999904632</v>
      </c>
      <c r="E234">
        <v>312</v>
      </c>
      <c r="F234">
        <v>3.0999999046325599</v>
      </c>
      <c r="G234">
        <v>6.4569816589355398</v>
      </c>
      <c r="H234">
        <v>3.0999999046325599</v>
      </c>
      <c r="J234">
        <v>307.12371683120699</v>
      </c>
      <c r="K234">
        <v>314.53863114118502</v>
      </c>
      <c r="L234" s="1">
        <v>43242</v>
      </c>
      <c r="M234">
        <v>315.099999904632</v>
      </c>
      <c r="N234">
        <f t="shared" si="29"/>
        <v>313.37310987710902</v>
      </c>
      <c r="O234">
        <f t="shared" si="35"/>
        <v>1</v>
      </c>
      <c r="P234">
        <v>7.2247302480000002</v>
      </c>
      <c r="R234">
        <f t="shared" si="30"/>
        <v>327.020804813832</v>
      </c>
      <c r="S234">
        <f t="shared" si="31"/>
        <v>303.179194995432</v>
      </c>
      <c r="T234">
        <f t="shared" si="26"/>
        <v>1</v>
      </c>
      <c r="U234">
        <f t="shared" si="34"/>
        <v>1</v>
      </c>
    </row>
    <row r="235" spans="1:21" x14ac:dyDescent="0.3">
      <c r="A235" s="1">
        <v>43152</v>
      </c>
      <c r="B235" s="1">
        <v>43243</v>
      </c>
      <c r="C235">
        <v>308.18122272491399</v>
      </c>
      <c r="D235">
        <v>317.14999990463201</v>
      </c>
      <c r="E235">
        <v>314.05</v>
      </c>
      <c r="F235">
        <v>-3.0999999046325599</v>
      </c>
      <c r="G235">
        <v>-5.8687772750854403</v>
      </c>
      <c r="H235">
        <v>3.0999999046325599</v>
      </c>
      <c r="J235">
        <v>308.35241632461498</v>
      </c>
      <c r="K235">
        <v>315.71901043653401</v>
      </c>
      <c r="L235" s="1">
        <v>43243</v>
      </c>
      <c r="M235">
        <v>317.14999990463201</v>
      </c>
      <c r="N235">
        <f t="shared" si="29"/>
        <v>310.75088316202101</v>
      </c>
      <c r="O235">
        <f t="shared" si="35"/>
        <v>1</v>
      </c>
      <c r="P235">
        <v>7.2539401589999999</v>
      </c>
      <c r="R235">
        <f t="shared" si="30"/>
        <v>329.119001166982</v>
      </c>
      <c r="S235">
        <f t="shared" si="31"/>
        <v>305.18099864228202</v>
      </c>
      <c r="T235">
        <f t="shared" si="26"/>
        <v>0</v>
      </c>
      <c r="U235">
        <f t="shared" si="34"/>
        <v>0</v>
      </c>
    </row>
    <row r="236" spans="1:21" x14ac:dyDescent="0.3">
      <c r="A236" s="1">
        <v>43153</v>
      </c>
      <c r="B236" s="1">
        <v>43244</v>
      </c>
      <c r="C236">
        <v>318.82047805786101</v>
      </c>
      <c r="D236">
        <v>316.54999980926499</v>
      </c>
      <c r="E236">
        <v>311.85000000000002</v>
      </c>
      <c r="F236">
        <v>4.6999998092651296</v>
      </c>
      <c r="G236">
        <v>6.9704780578613201</v>
      </c>
      <c r="H236">
        <v>4.6999998092651296</v>
      </c>
      <c r="J236">
        <v>308.46824631690902</v>
      </c>
      <c r="K236">
        <v>314.52839543819402</v>
      </c>
      <c r="L236" s="1">
        <v>43244</v>
      </c>
      <c r="M236">
        <v>316.54999980926499</v>
      </c>
      <c r="N236">
        <f t="shared" si="29"/>
        <v>313.93903993765468</v>
      </c>
      <c r="O236">
        <f t="shared" si="35"/>
        <v>1</v>
      </c>
      <c r="P236">
        <v>7.3415822909999999</v>
      </c>
      <c r="R236">
        <f t="shared" si="30"/>
        <v>328.66361058941499</v>
      </c>
      <c r="S236">
        <f t="shared" si="31"/>
        <v>304.43638902911499</v>
      </c>
      <c r="T236">
        <f t="shared" si="26"/>
        <v>1</v>
      </c>
      <c r="U236">
        <f t="shared" si="34"/>
        <v>1</v>
      </c>
    </row>
    <row r="237" spans="1:21" x14ac:dyDescent="0.3">
      <c r="A237" s="1">
        <v>43154</v>
      </c>
      <c r="B237" s="1">
        <v>43245</v>
      </c>
      <c r="C237">
        <v>318.88290352821298</v>
      </c>
      <c r="D237">
        <v>317.29999999403901</v>
      </c>
      <c r="E237">
        <v>316.95</v>
      </c>
      <c r="F237">
        <v>0.34999999403953502</v>
      </c>
      <c r="G237">
        <v>1.9329035282135001</v>
      </c>
      <c r="H237">
        <v>0.34999999403953502</v>
      </c>
      <c r="J237">
        <v>310.894644451141</v>
      </c>
      <c r="K237">
        <v>315.18892741203302</v>
      </c>
      <c r="L237" s="1">
        <v>43245</v>
      </c>
      <c r="M237">
        <v>317.29999999403901</v>
      </c>
      <c r="N237">
        <f t="shared" si="29"/>
        <v>314.98882513046237</v>
      </c>
      <c r="O237">
        <f t="shared" si="35"/>
        <v>1</v>
      </c>
      <c r="P237">
        <v>7.3046936469999997</v>
      </c>
      <c r="R237">
        <f t="shared" si="30"/>
        <v>329.35274451158904</v>
      </c>
      <c r="S237">
        <f t="shared" si="31"/>
        <v>305.24725547648899</v>
      </c>
      <c r="T237">
        <f t="shared" si="26"/>
        <v>0</v>
      </c>
      <c r="U237">
        <f>IF(AND((C237-E237)*(D237-E237)&gt;0,AND(C237&lt;R237,C237&gt;S237)),1,0)</f>
        <v>1</v>
      </c>
    </row>
    <row r="238" spans="1:21" x14ac:dyDescent="0.3">
      <c r="A238" s="1">
        <v>43157</v>
      </c>
      <c r="B238" s="1">
        <v>43248</v>
      </c>
      <c r="C238">
        <v>316.59752473831099</v>
      </c>
      <c r="D238">
        <v>318.10000000000002</v>
      </c>
      <c r="E238">
        <v>317.10000000000002</v>
      </c>
      <c r="F238">
        <v>-1</v>
      </c>
      <c r="G238">
        <v>-0.50247526168823198</v>
      </c>
      <c r="H238">
        <v>1</v>
      </c>
      <c r="J238">
        <v>309.99941120147702</v>
      </c>
      <c r="K238">
        <v>315.36005393266601</v>
      </c>
      <c r="L238" s="1">
        <v>43248</v>
      </c>
      <c r="M238">
        <v>318.10000000000002</v>
      </c>
      <c r="N238">
        <f t="shared" si="29"/>
        <v>313.98566329081797</v>
      </c>
      <c r="O238">
        <f t="shared" si="35"/>
        <v>1</v>
      </c>
      <c r="P238">
        <v>7.3382094889999996</v>
      </c>
      <c r="R238">
        <f t="shared" si="30"/>
        <v>330.20804565685</v>
      </c>
      <c r="S238">
        <f t="shared" si="31"/>
        <v>305.99195434315004</v>
      </c>
      <c r="T238">
        <f t="shared" si="26"/>
        <v>0</v>
      </c>
      <c r="U238">
        <f t="shared" si="34"/>
        <v>0</v>
      </c>
    </row>
    <row r="239" spans="1:21" x14ac:dyDescent="0.3">
      <c r="A239" s="1">
        <v>43158</v>
      </c>
      <c r="B239" s="1">
        <v>43249</v>
      </c>
      <c r="C239">
        <v>316.16731813549899</v>
      </c>
      <c r="D239">
        <v>314.89999997615803</v>
      </c>
      <c r="E239">
        <v>315.75</v>
      </c>
      <c r="F239">
        <v>-0.85000002384185702</v>
      </c>
      <c r="G239">
        <v>0.417318135499954</v>
      </c>
      <c r="H239">
        <v>-0.85000002384185702</v>
      </c>
      <c r="J239">
        <v>309.33641529083201</v>
      </c>
      <c r="K239">
        <v>315.871852016449</v>
      </c>
      <c r="L239" s="1">
        <v>43249</v>
      </c>
      <c r="M239">
        <v>314.89999997615803</v>
      </c>
      <c r="N239">
        <f t="shared" si="29"/>
        <v>313.79186181426002</v>
      </c>
      <c r="O239">
        <f>IF((D239-E239)*(D239-N239)&gt;0,1,0)</f>
        <v>0</v>
      </c>
      <c r="P239">
        <v>7.3737460639999997</v>
      </c>
      <c r="R239">
        <f t="shared" si="30"/>
        <v>327.06668098175805</v>
      </c>
      <c r="S239">
        <f t="shared" si="31"/>
        <v>302.733318970558</v>
      </c>
      <c r="T239">
        <f t="shared" si="26"/>
        <v>1</v>
      </c>
      <c r="U239">
        <f t="shared" si="34"/>
        <v>0</v>
      </c>
    </row>
    <row r="240" spans="1:21" x14ac:dyDescent="0.3">
      <c r="A240" s="1">
        <v>43159</v>
      </c>
      <c r="B240" s="1">
        <v>43250</v>
      </c>
      <c r="C240">
        <v>313.06416089534702</v>
      </c>
      <c r="D240">
        <v>307.54999990463199</v>
      </c>
      <c r="E240">
        <v>312.45</v>
      </c>
      <c r="F240">
        <v>-4.9000000953674299</v>
      </c>
      <c r="G240">
        <v>0.61416089534759499</v>
      </c>
      <c r="H240">
        <v>-4.9000000953674299</v>
      </c>
      <c r="J240">
        <v>308.56508655547998</v>
      </c>
      <c r="K240">
        <v>317.83271964788401</v>
      </c>
      <c r="L240" s="1">
        <v>43250</v>
      </c>
      <c r="M240">
        <v>307.54999990463199</v>
      </c>
      <c r="N240">
        <f t="shared" si="29"/>
        <v>313.15398903290367</v>
      </c>
      <c r="O240">
        <f t="shared" si="35"/>
        <v>1</v>
      </c>
      <c r="P240">
        <v>7.4649805819999999</v>
      </c>
      <c r="R240">
        <f t="shared" si="30"/>
        <v>319.867217864932</v>
      </c>
      <c r="S240">
        <f t="shared" si="31"/>
        <v>295.23278194433198</v>
      </c>
      <c r="T240">
        <f t="shared" si="26"/>
        <v>0</v>
      </c>
      <c r="U240">
        <f t="shared" si="34"/>
        <v>0</v>
      </c>
    </row>
    <row r="241" spans="1:21" x14ac:dyDescent="0.3">
      <c r="A241" s="1">
        <v>43160</v>
      </c>
      <c r="B241" s="1">
        <v>43251</v>
      </c>
      <c r="C241">
        <v>311.71993000507302</v>
      </c>
      <c r="D241">
        <v>309.15000004768302</v>
      </c>
      <c r="E241">
        <v>312.45</v>
      </c>
      <c r="F241">
        <v>3.2999999523162802</v>
      </c>
      <c r="G241">
        <v>-0.73006999492645197</v>
      </c>
      <c r="H241">
        <v>-3.2999999523162802</v>
      </c>
      <c r="J241">
        <v>308.37540454864501</v>
      </c>
      <c r="K241">
        <v>319.86352353095998</v>
      </c>
      <c r="L241" s="1">
        <v>43251</v>
      </c>
      <c r="M241">
        <v>309.15000004768302</v>
      </c>
      <c r="N241">
        <f t="shared" si="29"/>
        <v>313.31961936155932</v>
      </c>
      <c r="O241">
        <f t="shared" si="35"/>
        <v>1</v>
      </c>
      <c r="P241">
        <v>7.5743936989999998</v>
      </c>
      <c r="R241">
        <f t="shared" si="30"/>
        <v>321.647749651033</v>
      </c>
      <c r="S241">
        <f t="shared" si="31"/>
        <v>296.65225044433305</v>
      </c>
      <c r="T241">
        <f t="shared" si="26"/>
        <v>0</v>
      </c>
      <c r="U241">
        <f t="shared" si="34"/>
        <v>1</v>
      </c>
    </row>
    <row r="242" spans="1:21" x14ac:dyDescent="0.3">
      <c r="A242" s="1">
        <v>43161</v>
      </c>
      <c r="B242" s="1">
        <v>43252</v>
      </c>
      <c r="C242">
        <v>314.57869853973301</v>
      </c>
      <c r="D242">
        <v>311.39999999999998</v>
      </c>
      <c r="E242">
        <v>308.14999999999998</v>
      </c>
      <c r="F242">
        <v>3.25</v>
      </c>
      <c r="G242">
        <v>6.4286985397338796</v>
      </c>
      <c r="H242">
        <v>3.25</v>
      </c>
      <c r="J242">
        <v>305.37457957267702</v>
      </c>
      <c r="K242">
        <v>318.71320085525502</v>
      </c>
      <c r="L242" s="1">
        <v>43252</v>
      </c>
      <c r="M242">
        <v>311.39999999999998</v>
      </c>
      <c r="N242">
        <f t="shared" si="29"/>
        <v>312.88882632255508</v>
      </c>
      <c r="O242">
        <f t="shared" si="35"/>
        <v>0</v>
      </c>
      <c r="P242">
        <v>7.7846316790000003</v>
      </c>
      <c r="R242">
        <f t="shared" si="30"/>
        <v>324.24464227034997</v>
      </c>
      <c r="S242">
        <f t="shared" si="31"/>
        <v>298.55535772964998</v>
      </c>
      <c r="T242">
        <f t="shared" si="26"/>
        <v>1</v>
      </c>
      <c r="U242">
        <f t="shared" si="34"/>
        <v>1</v>
      </c>
    </row>
    <row r="243" spans="1:21" x14ac:dyDescent="0.3">
      <c r="A243" s="1">
        <v>43164</v>
      </c>
      <c r="B243" s="1">
        <v>43255</v>
      </c>
      <c r="C243">
        <v>316.72406730651801</v>
      </c>
      <c r="D243">
        <v>313.15000019073398</v>
      </c>
      <c r="E243">
        <v>303.85000000000002</v>
      </c>
      <c r="F243">
        <v>9.3000001907348597</v>
      </c>
      <c r="G243">
        <v>12.8740673065185</v>
      </c>
      <c r="H243">
        <v>9.3000001907348597</v>
      </c>
      <c r="J243">
        <v>300.96949205398499</v>
      </c>
      <c r="K243">
        <v>318.750520324707</v>
      </c>
      <c r="L243" s="1">
        <v>43255</v>
      </c>
      <c r="M243">
        <v>313.15000019073398</v>
      </c>
      <c r="N243">
        <f t="shared" si="29"/>
        <v>312.14802656173669</v>
      </c>
      <c r="O243">
        <f t="shared" si="35"/>
        <v>1</v>
      </c>
      <c r="P243">
        <v>8.1110012539999996</v>
      </c>
      <c r="R243">
        <f t="shared" si="30"/>
        <v>326.53315225983397</v>
      </c>
      <c r="S243">
        <f t="shared" si="31"/>
        <v>299.76684812163398</v>
      </c>
      <c r="T243">
        <f t="shared" si="26"/>
        <v>1</v>
      </c>
      <c r="U243">
        <f t="shared" si="34"/>
        <v>1</v>
      </c>
    </row>
    <row r="244" spans="1:21" x14ac:dyDescent="0.3">
      <c r="A244" s="1">
        <v>43165</v>
      </c>
      <c r="B244" s="1">
        <v>43256</v>
      </c>
      <c r="C244">
        <v>313.34616117477401</v>
      </c>
      <c r="D244">
        <v>313.75000004768299</v>
      </c>
      <c r="E244">
        <v>310.3</v>
      </c>
      <c r="F244">
        <v>3.45000004768371</v>
      </c>
      <c r="G244">
        <v>3.0461611747741699</v>
      </c>
      <c r="H244">
        <v>3.45000004768371</v>
      </c>
      <c r="J244">
        <v>305.61260919570901</v>
      </c>
      <c r="K244">
        <v>314.96569705903499</v>
      </c>
      <c r="L244" s="1">
        <v>43256</v>
      </c>
      <c r="M244">
        <v>313.75000004768299</v>
      </c>
      <c r="N244">
        <f t="shared" si="29"/>
        <v>311.30815580983932</v>
      </c>
      <c r="O244">
        <f t="shared" si="35"/>
        <v>1</v>
      </c>
      <c r="P244">
        <v>8.2212875949999997</v>
      </c>
      <c r="R244">
        <f t="shared" si="30"/>
        <v>327.31512457943296</v>
      </c>
      <c r="S244">
        <f t="shared" si="31"/>
        <v>300.18487551593302</v>
      </c>
      <c r="T244">
        <f t="shared" si="26"/>
        <v>1</v>
      </c>
      <c r="U244">
        <f t="shared" si="34"/>
        <v>1</v>
      </c>
    </row>
    <row r="245" spans="1:21" x14ac:dyDescent="0.3">
      <c r="A245" s="1">
        <v>43166</v>
      </c>
      <c r="B245" s="1">
        <v>43257</v>
      </c>
      <c r="C245">
        <v>315.48066301345801</v>
      </c>
      <c r="D245">
        <v>313.74999995231599</v>
      </c>
      <c r="E245">
        <v>310.45</v>
      </c>
      <c r="F245">
        <v>3.2999999523162802</v>
      </c>
      <c r="G245">
        <v>5.0306630134582502</v>
      </c>
      <c r="H245">
        <v>3.2999999523162802</v>
      </c>
      <c r="J245">
        <v>303.13626832962001</v>
      </c>
      <c r="K245">
        <v>311.46428565978999</v>
      </c>
      <c r="L245" s="1">
        <v>43257</v>
      </c>
      <c r="M245">
        <v>313.74999995231599</v>
      </c>
      <c r="N245">
        <f t="shared" si="29"/>
        <v>310.02707233428936</v>
      </c>
      <c r="O245">
        <f t="shared" si="35"/>
        <v>1</v>
      </c>
      <c r="P245">
        <v>8.3422529989999994</v>
      </c>
      <c r="R245">
        <f t="shared" si="30"/>
        <v>327.51471740066597</v>
      </c>
      <c r="S245">
        <f t="shared" si="31"/>
        <v>299.985282503966</v>
      </c>
      <c r="T245">
        <f t="shared" si="26"/>
        <v>0</v>
      </c>
      <c r="U245">
        <f t="shared" si="34"/>
        <v>1</v>
      </c>
    </row>
    <row r="246" spans="1:21" x14ac:dyDescent="0.3">
      <c r="A246" s="1">
        <v>43167</v>
      </c>
      <c r="B246" s="1">
        <v>43258</v>
      </c>
      <c r="C246">
        <v>317.30174956321702</v>
      </c>
      <c r="D246">
        <v>316.85000000000002</v>
      </c>
      <c r="E246">
        <v>313.60000000000002</v>
      </c>
      <c r="F246">
        <v>3.25</v>
      </c>
      <c r="G246">
        <v>3.70174956321716</v>
      </c>
      <c r="H246">
        <v>3.25</v>
      </c>
      <c r="J246">
        <v>307.34776411056498</v>
      </c>
      <c r="K246">
        <v>311.244785928726</v>
      </c>
      <c r="L246" s="1">
        <v>43258</v>
      </c>
      <c r="M246">
        <v>316.85000000000002</v>
      </c>
      <c r="N246">
        <f t="shared" si="29"/>
        <v>311.96476653416931</v>
      </c>
      <c r="O246">
        <f t="shared" si="35"/>
        <v>1</v>
      </c>
      <c r="P246">
        <v>8.4016687900000004</v>
      </c>
      <c r="R246">
        <f t="shared" si="30"/>
        <v>330.71275350350004</v>
      </c>
      <c r="S246">
        <f t="shared" si="31"/>
        <v>302.98724649650001</v>
      </c>
      <c r="T246">
        <f t="shared" ref="T246:T276" si="36">IF(AND((N246-E246)*(D246-E246)&gt;0,AND(N246&lt;R246,N246&gt;S246)),1,0)</f>
        <v>0</v>
      </c>
      <c r="U246">
        <f t="shared" si="34"/>
        <v>1</v>
      </c>
    </row>
    <row r="247" spans="1:21" x14ac:dyDescent="0.3">
      <c r="A247" s="1">
        <v>43168</v>
      </c>
      <c r="B247" s="1">
        <v>43259</v>
      </c>
      <c r="C247">
        <v>317.44190633892998</v>
      </c>
      <c r="D247">
        <v>313.300000047683</v>
      </c>
      <c r="E247">
        <v>317.10000000000002</v>
      </c>
      <c r="F247">
        <v>-3.7999999523162802</v>
      </c>
      <c r="G247">
        <v>0.34190633893013</v>
      </c>
      <c r="H247">
        <v>-3.7999999523162802</v>
      </c>
      <c r="J247">
        <v>308.08229503631497</v>
      </c>
      <c r="K247">
        <v>313.16791906356798</v>
      </c>
      <c r="L247" s="1">
        <v>43259</v>
      </c>
      <c r="M247">
        <v>313.300000047683</v>
      </c>
      <c r="N247">
        <f t="shared" si="29"/>
        <v>312.89737347960431</v>
      </c>
      <c r="O247">
        <f t="shared" si="35"/>
        <v>0</v>
      </c>
      <c r="P247">
        <v>8.4200109340000004</v>
      </c>
      <c r="R247">
        <f t="shared" si="30"/>
        <v>327.19301808878299</v>
      </c>
      <c r="S247">
        <f t="shared" si="31"/>
        <v>299.40698200658301</v>
      </c>
      <c r="T247">
        <f t="shared" si="36"/>
        <v>1</v>
      </c>
      <c r="U247">
        <f t="shared" si="34"/>
        <v>0</v>
      </c>
    </row>
    <row r="248" spans="1:21" x14ac:dyDescent="0.3">
      <c r="A248" s="1">
        <v>43171</v>
      </c>
      <c r="B248" s="1">
        <v>43262</v>
      </c>
      <c r="C248">
        <v>319.96358091235101</v>
      </c>
      <c r="D248">
        <v>316.14999995231602</v>
      </c>
      <c r="E248">
        <v>320.10000000000002</v>
      </c>
      <c r="F248">
        <v>3.95000004768371</v>
      </c>
      <c r="G248">
        <v>-0.136419087648391</v>
      </c>
      <c r="H248">
        <v>-3.95000004768371</v>
      </c>
      <c r="J248">
        <v>311.98663768768301</v>
      </c>
      <c r="K248">
        <v>313.84568067789002</v>
      </c>
      <c r="L248" s="1">
        <v>43262</v>
      </c>
      <c r="M248">
        <v>316.14999995231602</v>
      </c>
      <c r="N248">
        <f t="shared" si="29"/>
        <v>315.26529975930799</v>
      </c>
      <c r="O248">
        <f t="shared" si="35"/>
        <v>0</v>
      </c>
      <c r="P248">
        <v>8.4218353159999992</v>
      </c>
      <c r="R248">
        <f t="shared" si="30"/>
        <v>330.04602822371601</v>
      </c>
      <c r="S248">
        <f t="shared" si="31"/>
        <v>302.25397168091604</v>
      </c>
      <c r="T248">
        <f t="shared" si="36"/>
        <v>1</v>
      </c>
      <c r="U248">
        <f t="shared" si="34"/>
        <v>1</v>
      </c>
    </row>
    <row r="249" spans="1:21" x14ac:dyDescent="0.3">
      <c r="A249" s="1">
        <v>43172</v>
      </c>
      <c r="B249" s="1">
        <v>43263</v>
      </c>
      <c r="C249">
        <v>322.593463182449</v>
      </c>
      <c r="D249">
        <v>315.65000009536698</v>
      </c>
      <c r="E249">
        <v>321.5</v>
      </c>
      <c r="F249">
        <v>-5.8499999046325604</v>
      </c>
      <c r="G249">
        <v>1.0934631824493399</v>
      </c>
      <c r="H249">
        <v>-5.8499999046325604</v>
      </c>
      <c r="J249">
        <v>309.83223628997803</v>
      </c>
      <c r="K249">
        <v>314.04642912745402</v>
      </c>
      <c r="L249" s="1">
        <v>43263</v>
      </c>
      <c r="M249">
        <v>315.65000009536698</v>
      </c>
      <c r="N249">
        <f t="shared" si="29"/>
        <v>315.49070953329368</v>
      </c>
      <c r="O249">
        <f t="shared" si="35"/>
        <v>0</v>
      </c>
      <c r="P249">
        <v>8.4208132720000002</v>
      </c>
      <c r="R249">
        <f t="shared" si="30"/>
        <v>329.54434199416698</v>
      </c>
      <c r="S249">
        <f t="shared" si="31"/>
        <v>301.75565819656697</v>
      </c>
      <c r="T249">
        <f t="shared" si="36"/>
        <v>1</v>
      </c>
      <c r="U249">
        <f t="shared" si="34"/>
        <v>0</v>
      </c>
    </row>
    <row r="250" spans="1:21" x14ac:dyDescent="0.3">
      <c r="A250" s="1">
        <v>43173</v>
      </c>
      <c r="B250" s="1">
        <v>43264</v>
      </c>
      <c r="C250">
        <v>321.93261213898597</v>
      </c>
      <c r="D250">
        <v>315.64999990463201</v>
      </c>
      <c r="E250">
        <v>321.55</v>
      </c>
      <c r="F250">
        <v>-5.9000000953674299</v>
      </c>
      <c r="G250">
        <v>0.38261213898658702</v>
      </c>
      <c r="H250">
        <v>-5.9000000953674299</v>
      </c>
      <c r="J250">
        <v>308.588596153259</v>
      </c>
      <c r="K250">
        <v>314.73828369378998</v>
      </c>
      <c r="L250" s="1">
        <v>43264</v>
      </c>
      <c r="M250">
        <v>315.64999990463201</v>
      </c>
      <c r="N250">
        <f t="shared" si="29"/>
        <v>315.08649732867832</v>
      </c>
      <c r="O250">
        <f t="shared" si="35"/>
        <v>0</v>
      </c>
      <c r="P250">
        <v>8.4191190099999993</v>
      </c>
      <c r="R250">
        <f t="shared" si="30"/>
        <v>329.54154627113201</v>
      </c>
      <c r="S250">
        <f t="shared" si="31"/>
        <v>301.75845353813202</v>
      </c>
      <c r="T250">
        <f t="shared" si="36"/>
        <v>1</v>
      </c>
      <c r="U250">
        <f t="shared" si="34"/>
        <v>0</v>
      </c>
    </row>
    <row r="251" spans="1:21" x14ac:dyDescent="0.3">
      <c r="A251" s="1">
        <v>43174</v>
      </c>
      <c r="B251" s="1">
        <v>43265</v>
      </c>
      <c r="C251">
        <v>324.87573037147502</v>
      </c>
      <c r="D251">
        <v>310.40000019073398</v>
      </c>
      <c r="E251">
        <v>322.85000000000002</v>
      </c>
      <c r="F251">
        <v>-12.449999809265099</v>
      </c>
      <c r="G251">
        <v>2.02573037147521</v>
      </c>
      <c r="H251">
        <v>-12.449999809265099</v>
      </c>
      <c r="J251">
        <v>311.13054523468003</v>
      </c>
      <c r="K251">
        <v>316.80380646735398</v>
      </c>
      <c r="L251" s="1">
        <v>43265</v>
      </c>
      <c r="M251">
        <v>310.40000019073398</v>
      </c>
      <c r="N251">
        <f t="shared" si="29"/>
        <v>317.60336069116966</v>
      </c>
      <c r="O251">
        <f t="shared" si="35"/>
        <v>1</v>
      </c>
      <c r="P251">
        <v>8.4134700549999994</v>
      </c>
      <c r="R251">
        <f t="shared" si="30"/>
        <v>324.28222578148399</v>
      </c>
      <c r="S251">
        <f t="shared" si="31"/>
        <v>296.51777459998397</v>
      </c>
      <c r="T251">
        <f t="shared" si="36"/>
        <v>1</v>
      </c>
      <c r="U251">
        <f t="shared" si="34"/>
        <v>0</v>
      </c>
    </row>
    <row r="252" spans="1:21" x14ac:dyDescent="0.3">
      <c r="A252" s="1">
        <v>43175</v>
      </c>
      <c r="B252" s="1">
        <v>43266</v>
      </c>
      <c r="C252">
        <v>319.45804452896101</v>
      </c>
      <c r="D252">
        <v>309.19999980926502</v>
      </c>
      <c r="E252">
        <v>322</v>
      </c>
      <c r="F252">
        <v>12.800000190734799</v>
      </c>
      <c r="G252">
        <v>-2.5419554710388099</v>
      </c>
      <c r="H252">
        <v>-12.800000190734799</v>
      </c>
      <c r="J252">
        <v>311.094557762146</v>
      </c>
      <c r="K252">
        <v>315.95328359603798</v>
      </c>
      <c r="L252" s="1">
        <v>43266</v>
      </c>
      <c r="M252">
        <v>309.19999980926502</v>
      </c>
      <c r="N252">
        <f t="shared" si="29"/>
        <v>315.50196196238164</v>
      </c>
      <c r="O252">
        <f t="shared" si="35"/>
        <v>1</v>
      </c>
      <c r="P252">
        <v>8.4121949600000008</v>
      </c>
      <c r="R252">
        <f t="shared" si="30"/>
        <v>323.08012149326504</v>
      </c>
      <c r="S252">
        <f t="shared" si="31"/>
        <v>295.31987812526501</v>
      </c>
      <c r="T252">
        <f t="shared" si="36"/>
        <v>1</v>
      </c>
      <c r="U252">
        <f t="shared" si="34"/>
        <v>1</v>
      </c>
    </row>
    <row r="253" spans="1:21" x14ac:dyDescent="0.3">
      <c r="A253" s="1">
        <v>43178</v>
      </c>
      <c r="B253" s="1">
        <v>43269</v>
      </c>
      <c r="C253">
        <v>320.674076890945</v>
      </c>
      <c r="D253">
        <v>305.85000000000002</v>
      </c>
      <c r="E253">
        <v>319.85000000000002</v>
      </c>
      <c r="F253">
        <v>-14</v>
      </c>
      <c r="G253">
        <v>0.82407689094543402</v>
      </c>
      <c r="H253">
        <v>-14</v>
      </c>
      <c r="J253">
        <v>308.26641902923501</v>
      </c>
      <c r="K253">
        <v>318.29796519279398</v>
      </c>
      <c r="L253" s="1">
        <v>43269</v>
      </c>
      <c r="M253">
        <v>305.85000000000002</v>
      </c>
      <c r="N253">
        <f t="shared" si="29"/>
        <v>315.74615370432463</v>
      </c>
      <c r="O253">
        <f t="shared" si="35"/>
        <v>1</v>
      </c>
      <c r="P253">
        <v>8.4075674189999994</v>
      </c>
      <c r="R253">
        <f t="shared" si="30"/>
        <v>319.72248624135</v>
      </c>
      <c r="S253">
        <f t="shared" si="31"/>
        <v>291.97751375865005</v>
      </c>
      <c r="T253">
        <f t="shared" si="36"/>
        <v>1</v>
      </c>
      <c r="U253">
        <f>IF(AND((C253-E253)*(D253-E253)&gt;0,AND(C253&lt;R253,C253&gt;S253)),1,0)</f>
        <v>0</v>
      </c>
    </row>
    <row r="254" spans="1:21" x14ac:dyDescent="0.3">
      <c r="A254" s="1">
        <v>43179</v>
      </c>
      <c r="B254" s="1">
        <v>43270</v>
      </c>
      <c r="C254">
        <v>325.93715744018499</v>
      </c>
      <c r="D254">
        <v>301.34999923705999</v>
      </c>
      <c r="E254">
        <v>321.3</v>
      </c>
      <c r="F254">
        <v>-19.9500007629394</v>
      </c>
      <c r="G254">
        <v>4.6371574401855398</v>
      </c>
      <c r="H254">
        <v>-19.9500007629394</v>
      </c>
      <c r="J254">
        <v>312.65243034362697</v>
      </c>
      <c r="K254">
        <v>319.46808519363401</v>
      </c>
      <c r="L254" s="1">
        <v>43270</v>
      </c>
      <c r="M254">
        <v>301.34999923705999</v>
      </c>
      <c r="N254">
        <f t="shared" si="29"/>
        <v>319.35255765914866</v>
      </c>
      <c r="O254">
        <f t="shared" si="35"/>
        <v>1</v>
      </c>
      <c r="P254">
        <v>8.4018458220000003</v>
      </c>
      <c r="R254">
        <f t="shared" si="30"/>
        <v>315.21304484335997</v>
      </c>
      <c r="S254">
        <f t="shared" si="31"/>
        <v>287.48695363076001</v>
      </c>
      <c r="T254">
        <f t="shared" si="36"/>
        <v>0</v>
      </c>
      <c r="U254">
        <f t="shared" si="34"/>
        <v>0</v>
      </c>
    </row>
    <row r="255" spans="1:21" x14ac:dyDescent="0.3">
      <c r="A255" s="1">
        <v>43180</v>
      </c>
      <c r="B255" s="1">
        <v>43271</v>
      </c>
      <c r="C255">
        <v>329.07683811187701</v>
      </c>
      <c r="D255">
        <v>304.20000038146901</v>
      </c>
      <c r="E255">
        <v>321.60000000000002</v>
      </c>
      <c r="F255">
        <v>-17.399999618530199</v>
      </c>
      <c r="G255">
        <v>7.4768381118774396</v>
      </c>
      <c r="H255">
        <v>-17.399999618530199</v>
      </c>
      <c r="J255">
        <v>315.82599887847903</v>
      </c>
      <c r="K255">
        <v>319.11778345108002</v>
      </c>
      <c r="L255" s="1">
        <v>43271</v>
      </c>
      <c r="M255">
        <v>304.20000038146901</v>
      </c>
      <c r="N255">
        <f t="shared" si="29"/>
        <v>321.34020681381202</v>
      </c>
      <c r="O255">
        <f t="shared" si="35"/>
        <v>1</v>
      </c>
      <c r="P255">
        <v>8.3973422559999999</v>
      </c>
      <c r="R255">
        <f t="shared" si="30"/>
        <v>318.055615103869</v>
      </c>
      <c r="S255">
        <f t="shared" si="31"/>
        <v>290.34438565906902</v>
      </c>
      <c r="T255">
        <f t="shared" si="36"/>
        <v>0</v>
      </c>
      <c r="U255">
        <f t="shared" si="34"/>
        <v>0</v>
      </c>
    </row>
    <row r="256" spans="1:21" x14ac:dyDescent="0.3">
      <c r="A256" s="1">
        <v>43181</v>
      </c>
      <c r="B256" s="1">
        <v>43272</v>
      </c>
      <c r="C256">
        <v>329.3748837471</v>
      </c>
      <c r="D256">
        <v>300.74999961853001</v>
      </c>
      <c r="E256">
        <v>322.10000000000002</v>
      </c>
      <c r="F256">
        <v>-21.350000381469702</v>
      </c>
      <c r="G256">
        <v>7.2748837471008301</v>
      </c>
      <c r="H256">
        <v>-21.350000381469702</v>
      </c>
      <c r="J256">
        <v>314.85406169891297</v>
      </c>
      <c r="K256">
        <v>312.48620953559799</v>
      </c>
      <c r="L256" s="1">
        <v>43272</v>
      </c>
      <c r="M256">
        <v>300.74999961853001</v>
      </c>
      <c r="N256">
        <f t="shared" si="29"/>
        <v>318.90505166053703</v>
      </c>
      <c r="O256">
        <f t="shared" si="35"/>
        <v>1</v>
      </c>
      <c r="P256">
        <v>8.3789192900000007</v>
      </c>
      <c r="R256">
        <f t="shared" si="30"/>
        <v>314.57521644703002</v>
      </c>
      <c r="S256">
        <f t="shared" si="31"/>
        <v>286.92478279003001</v>
      </c>
      <c r="T256">
        <f t="shared" si="36"/>
        <v>0</v>
      </c>
      <c r="U256">
        <f>IF(AND((C256-E256)*(D256-E256)&gt;0,AND(C256&lt;R256,C256&gt;S256)),1,0)</f>
        <v>0</v>
      </c>
    </row>
    <row r="257" spans="1:21" x14ac:dyDescent="0.3">
      <c r="A257" s="1">
        <v>43182</v>
      </c>
      <c r="B257" s="1">
        <v>43273</v>
      </c>
      <c r="C257">
        <v>326.67883491516102</v>
      </c>
      <c r="D257">
        <v>303.65000009536698</v>
      </c>
      <c r="E257">
        <v>311.5</v>
      </c>
      <c r="F257">
        <v>-7.8499999046325604</v>
      </c>
      <c r="G257">
        <v>15.178834915161101</v>
      </c>
      <c r="H257">
        <v>-7.8499999046325604</v>
      </c>
      <c r="J257">
        <v>311.66399590671</v>
      </c>
      <c r="K257">
        <v>312.60262794494599</v>
      </c>
      <c r="L257" s="1">
        <v>43273</v>
      </c>
      <c r="M257">
        <v>303.65000009536698</v>
      </c>
      <c r="N257">
        <f t="shared" si="29"/>
        <v>316.981819588939</v>
      </c>
      <c r="O257">
        <f t="shared" si="35"/>
        <v>1</v>
      </c>
      <c r="P257">
        <v>8.4613439439999993</v>
      </c>
      <c r="R257">
        <f t="shared" si="30"/>
        <v>317.61121760296697</v>
      </c>
      <c r="S257">
        <f t="shared" si="31"/>
        <v>289.68878258776698</v>
      </c>
      <c r="T257">
        <f t="shared" si="36"/>
        <v>0</v>
      </c>
      <c r="U257">
        <f t="shared" si="34"/>
        <v>0</v>
      </c>
    </row>
    <row r="258" spans="1:21" x14ac:dyDescent="0.3">
      <c r="A258" s="1">
        <v>43185</v>
      </c>
      <c r="B258" s="1">
        <v>43276</v>
      </c>
      <c r="C258">
        <v>333.66542434692298</v>
      </c>
      <c r="D258">
        <v>303.25</v>
      </c>
      <c r="E258">
        <v>314.5</v>
      </c>
      <c r="F258">
        <v>-11.25</v>
      </c>
      <c r="G258">
        <v>19.1654243469238</v>
      </c>
      <c r="H258">
        <v>-11.25</v>
      </c>
      <c r="J258">
        <v>315.16946530342102</v>
      </c>
      <c r="K258">
        <v>310.89357099532998</v>
      </c>
      <c r="L258" s="1">
        <v>43276</v>
      </c>
      <c r="M258">
        <v>303.25</v>
      </c>
      <c r="N258">
        <f t="shared" si="29"/>
        <v>319.90948688189133</v>
      </c>
      <c r="O258">
        <f t="shared" si="35"/>
        <v>1</v>
      </c>
      <c r="P258">
        <v>8.4964367529999993</v>
      </c>
      <c r="R258">
        <f t="shared" si="30"/>
        <v>317.26912064244999</v>
      </c>
      <c r="S258">
        <f t="shared" si="31"/>
        <v>289.23087935755001</v>
      </c>
      <c r="T258">
        <f t="shared" si="36"/>
        <v>0</v>
      </c>
      <c r="U258">
        <f t="shared" si="34"/>
        <v>0</v>
      </c>
    </row>
    <row r="259" spans="1:21" x14ac:dyDescent="0.3">
      <c r="A259" s="1">
        <v>43186</v>
      </c>
      <c r="B259" s="1">
        <v>43277</v>
      </c>
      <c r="C259">
        <v>323.191883468627</v>
      </c>
      <c r="D259">
        <v>302.39999999999998</v>
      </c>
      <c r="E259">
        <v>315.14999999999998</v>
      </c>
      <c r="F259">
        <v>-12.75</v>
      </c>
      <c r="G259">
        <v>8.0418834686279297</v>
      </c>
      <c r="H259">
        <v>-12.75</v>
      </c>
      <c r="J259">
        <v>309.992405796051</v>
      </c>
      <c r="K259">
        <v>310.35237846374503</v>
      </c>
      <c r="L259" s="1">
        <v>43277</v>
      </c>
      <c r="M259">
        <v>302.39999999999998</v>
      </c>
      <c r="N259">
        <f t="shared" ref="N259:N276" si="37">AVERAGE(C259, J259:K259)</f>
        <v>314.51222257614103</v>
      </c>
      <c r="O259">
        <f t="shared" si="35"/>
        <v>1</v>
      </c>
      <c r="P259">
        <v>8.5171890680000004</v>
      </c>
      <c r="R259">
        <f t="shared" ref="R259:R276" si="38">D259+1.65*P259</f>
        <v>316.45336196220001</v>
      </c>
      <c r="S259">
        <f t="shared" ref="S259:S276" si="39">D259-1.65*P259</f>
        <v>288.34663803779995</v>
      </c>
      <c r="T259">
        <f t="shared" si="36"/>
        <v>1</v>
      </c>
      <c r="U259">
        <f t="shared" si="34"/>
        <v>0</v>
      </c>
    </row>
    <row r="260" spans="1:21" x14ac:dyDescent="0.3">
      <c r="A260" s="1">
        <v>43187</v>
      </c>
      <c r="B260" s="1">
        <v>43278</v>
      </c>
      <c r="C260">
        <v>316.52939310073799</v>
      </c>
      <c r="D260">
        <v>301.54999961853002</v>
      </c>
      <c r="E260">
        <v>310.64999999999998</v>
      </c>
      <c r="F260">
        <v>-9.1000003814697195</v>
      </c>
      <c r="G260">
        <v>5.8793931007385201</v>
      </c>
      <c r="H260">
        <v>-9.1000003814697195</v>
      </c>
      <c r="J260">
        <v>311.07205935716598</v>
      </c>
      <c r="K260">
        <v>311.90815753936698</v>
      </c>
      <c r="L260" s="1">
        <v>43278</v>
      </c>
      <c r="M260">
        <v>301.54999961853002</v>
      </c>
      <c r="N260">
        <f t="shared" si="37"/>
        <v>313.16986999909028</v>
      </c>
      <c r="O260">
        <f t="shared" si="35"/>
        <v>1</v>
      </c>
      <c r="P260">
        <v>8.6170227179999994</v>
      </c>
      <c r="R260">
        <f t="shared" si="38"/>
        <v>315.76808710323002</v>
      </c>
      <c r="S260">
        <f t="shared" si="39"/>
        <v>287.33191213383003</v>
      </c>
      <c r="T260">
        <f t="shared" si="36"/>
        <v>0</v>
      </c>
      <c r="U260">
        <f t="shared" si="34"/>
        <v>0</v>
      </c>
    </row>
    <row r="261" spans="1:21" x14ac:dyDescent="0.3">
      <c r="A261" s="1">
        <v>43188</v>
      </c>
      <c r="B261" s="1">
        <v>43279</v>
      </c>
      <c r="C261">
        <v>315.53707845210999</v>
      </c>
      <c r="D261">
        <v>299.09999961852998</v>
      </c>
      <c r="E261">
        <v>314.45</v>
      </c>
      <c r="F261">
        <v>-15.3500003814697</v>
      </c>
      <c r="G261">
        <v>1.0870784521102901</v>
      </c>
      <c r="H261">
        <v>-15.3500003814697</v>
      </c>
      <c r="J261">
        <v>312.440815162658</v>
      </c>
      <c r="K261">
        <v>302.95115327834998</v>
      </c>
      <c r="L261" s="1">
        <v>43279</v>
      </c>
      <c r="M261">
        <v>299.09999961852998</v>
      </c>
      <c r="N261">
        <f t="shared" si="37"/>
        <v>310.30968229770593</v>
      </c>
      <c r="O261">
        <f t="shared" si="35"/>
        <v>1</v>
      </c>
      <c r="P261">
        <v>8.6352032039999997</v>
      </c>
      <c r="R261">
        <f t="shared" si="38"/>
        <v>313.34808490512995</v>
      </c>
      <c r="S261">
        <f t="shared" si="39"/>
        <v>284.85191433193</v>
      </c>
      <c r="T261">
        <f t="shared" si="36"/>
        <v>1</v>
      </c>
      <c r="U261">
        <f>IF(AND((C261-E261)*(D261-E261)&gt;0,AND(C261&lt;R261,C261&gt;S261)),1,0)</f>
        <v>0</v>
      </c>
    </row>
    <row r="262" spans="1:21" x14ac:dyDescent="0.3">
      <c r="A262" s="1">
        <v>43189</v>
      </c>
      <c r="B262" s="1">
        <v>43280</v>
      </c>
      <c r="C262">
        <v>316.89828162193299</v>
      </c>
      <c r="D262">
        <v>299.99999980926498</v>
      </c>
      <c r="E262">
        <v>314.55</v>
      </c>
      <c r="F262">
        <v>-14.550000190734799</v>
      </c>
      <c r="G262">
        <v>2.3482816219329798</v>
      </c>
      <c r="H262">
        <v>-14.550000190734799</v>
      </c>
      <c r="J262">
        <v>310.37985639572099</v>
      </c>
      <c r="K262">
        <v>308.29279747009201</v>
      </c>
      <c r="L262" s="1">
        <v>43280</v>
      </c>
      <c r="M262">
        <v>299.99999980926498</v>
      </c>
      <c r="N262">
        <f t="shared" si="37"/>
        <v>311.85697849591537</v>
      </c>
      <c r="O262">
        <f t="shared" si="35"/>
        <v>1</v>
      </c>
      <c r="P262">
        <v>8.6487421970000007</v>
      </c>
      <c r="R262">
        <f t="shared" si="38"/>
        <v>314.27042443431498</v>
      </c>
      <c r="S262">
        <f t="shared" si="39"/>
        <v>285.72957518421498</v>
      </c>
      <c r="T262">
        <f t="shared" si="36"/>
        <v>1</v>
      </c>
      <c r="U262">
        <f t="shared" si="34"/>
        <v>0</v>
      </c>
    </row>
    <row r="263" spans="1:21" x14ac:dyDescent="0.3">
      <c r="A263" s="1">
        <v>43192</v>
      </c>
      <c r="B263" s="1">
        <v>43283</v>
      </c>
      <c r="C263">
        <v>308.82410449981597</v>
      </c>
      <c r="D263">
        <v>292.90000076293899</v>
      </c>
      <c r="E263">
        <v>313.45</v>
      </c>
      <c r="F263">
        <v>20.549999237060501</v>
      </c>
      <c r="G263">
        <v>-4.6258955001831001</v>
      </c>
      <c r="H263">
        <v>-20.549999237060501</v>
      </c>
      <c r="J263">
        <v>321.03744239807099</v>
      </c>
      <c r="K263">
        <v>304.57633221149399</v>
      </c>
      <c r="L263" s="1">
        <v>43283</v>
      </c>
      <c r="M263">
        <v>292.90000076293899</v>
      </c>
      <c r="N263">
        <f t="shared" si="37"/>
        <v>311.47929303646032</v>
      </c>
      <c r="O263">
        <f t="shared" si="35"/>
        <v>1</v>
      </c>
      <c r="P263">
        <v>8.6717526760000005</v>
      </c>
      <c r="R263">
        <f t="shared" si="38"/>
        <v>307.20839267833901</v>
      </c>
      <c r="S263">
        <f t="shared" si="39"/>
        <v>278.59160884753896</v>
      </c>
      <c r="T263">
        <f t="shared" si="36"/>
        <v>0</v>
      </c>
      <c r="U263">
        <f t="shared" si="34"/>
        <v>0</v>
      </c>
    </row>
    <row r="264" spans="1:21" x14ac:dyDescent="0.3">
      <c r="A264" s="1">
        <v>43193</v>
      </c>
      <c r="B264" s="1">
        <v>43284</v>
      </c>
      <c r="C264">
        <v>310.34255437850902</v>
      </c>
      <c r="D264">
        <v>293.75000076293901</v>
      </c>
      <c r="E264">
        <v>312.8</v>
      </c>
      <c r="F264">
        <v>19.049999237060501</v>
      </c>
      <c r="G264">
        <v>-2.4574456214904701</v>
      </c>
      <c r="H264">
        <v>-19.049999237060501</v>
      </c>
      <c r="J264">
        <v>320.308736133575</v>
      </c>
      <c r="K264">
        <v>306.54823246002098</v>
      </c>
      <c r="L264" s="1">
        <v>43284</v>
      </c>
      <c r="M264">
        <v>293.75000076293901</v>
      </c>
      <c r="N264">
        <f t="shared" si="37"/>
        <v>312.39984099070165</v>
      </c>
      <c r="O264">
        <f t="shared" si="35"/>
        <v>1</v>
      </c>
      <c r="P264">
        <v>8.6901519890000003</v>
      </c>
      <c r="R264">
        <f t="shared" si="38"/>
        <v>308.08875154478903</v>
      </c>
      <c r="S264">
        <f t="shared" si="39"/>
        <v>279.41124998108899</v>
      </c>
      <c r="T264">
        <f t="shared" si="36"/>
        <v>0</v>
      </c>
      <c r="U264">
        <f t="shared" si="34"/>
        <v>0</v>
      </c>
    </row>
    <row r="265" spans="1:21" x14ac:dyDescent="0.3">
      <c r="A265" s="1">
        <v>43194</v>
      </c>
      <c r="B265" s="1">
        <v>43285</v>
      </c>
      <c r="C265">
        <v>309.17072420120201</v>
      </c>
      <c r="D265">
        <v>292.55</v>
      </c>
      <c r="E265">
        <v>307.55</v>
      </c>
      <c r="F265">
        <v>-15</v>
      </c>
      <c r="G265">
        <v>1.6207242012023899</v>
      </c>
      <c r="H265">
        <v>-15</v>
      </c>
      <c r="J265">
        <v>317.14147548675498</v>
      </c>
      <c r="K265">
        <v>303.46857874393402</v>
      </c>
      <c r="L265" s="1">
        <v>43285</v>
      </c>
      <c r="M265">
        <v>292.55</v>
      </c>
      <c r="N265">
        <f t="shared" si="37"/>
        <v>309.92692614396367</v>
      </c>
      <c r="O265">
        <f t="shared" si="35"/>
        <v>1</v>
      </c>
      <c r="P265">
        <v>8.7806458519999993</v>
      </c>
      <c r="R265">
        <f t="shared" si="38"/>
        <v>307.03806565579998</v>
      </c>
      <c r="S265">
        <f t="shared" si="39"/>
        <v>278.06193434420004</v>
      </c>
      <c r="T265">
        <f t="shared" si="36"/>
        <v>0</v>
      </c>
      <c r="U265">
        <f>IF(AND((C265-E265)*(D265-E265)&gt;0,AND(C265&lt;R265,C265&gt;S265)),1,0)</f>
        <v>0</v>
      </c>
    </row>
    <row r="266" spans="1:21" x14ac:dyDescent="0.3">
      <c r="A266" s="1">
        <v>43195</v>
      </c>
      <c r="B266" s="1">
        <v>43286</v>
      </c>
      <c r="C266">
        <v>311.83433396816201</v>
      </c>
      <c r="D266">
        <v>291.99999923706002</v>
      </c>
      <c r="E266">
        <v>312.95</v>
      </c>
      <c r="F266">
        <v>20.9500007629394</v>
      </c>
      <c r="G266">
        <v>-1.11566603183746</v>
      </c>
      <c r="H266">
        <v>-20.9500007629394</v>
      </c>
      <c r="J266">
        <v>318.03397579193103</v>
      </c>
      <c r="K266">
        <v>301.44326410293502</v>
      </c>
      <c r="L266" s="1">
        <v>43286</v>
      </c>
      <c r="M266">
        <v>291.99999923706002</v>
      </c>
      <c r="N266">
        <f t="shared" si="37"/>
        <v>310.43719128767606</v>
      </c>
      <c r="O266">
        <f t="shared" si="35"/>
        <v>1</v>
      </c>
      <c r="P266">
        <v>8.8002029589999999</v>
      </c>
      <c r="R266">
        <f t="shared" si="38"/>
        <v>306.52033411940999</v>
      </c>
      <c r="S266">
        <f t="shared" si="39"/>
        <v>277.47966435471005</v>
      </c>
      <c r="T266">
        <f t="shared" si="36"/>
        <v>0</v>
      </c>
      <c r="U266">
        <f t="shared" si="34"/>
        <v>0</v>
      </c>
    </row>
    <row r="267" spans="1:21" x14ac:dyDescent="0.3">
      <c r="A267" s="1">
        <v>43196</v>
      </c>
      <c r="B267" s="1">
        <v>43287</v>
      </c>
      <c r="C267">
        <v>312.06876964569</v>
      </c>
      <c r="D267">
        <v>293.59999961852998</v>
      </c>
      <c r="E267">
        <v>311.2</v>
      </c>
      <c r="F267">
        <v>-17.600000381469702</v>
      </c>
      <c r="G267">
        <v>0.86876964569091797</v>
      </c>
      <c r="H267">
        <v>-17.600000381469702</v>
      </c>
      <c r="J267">
        <v>319.77917499542201</v>
      </c>
      <c r="K267">
        <v>302.17906212806702</v>
      </c>
      <c r="L267" s="1">
        <v>43287</v>
      </c>
      <c r="M267">
        <v>293.59999961852998</v>
      </c>
      <c r="N267">
        <f t="shared" si="37"/>
        <v>311.34233558972636</v>
      </c>
      <c r="O267">
        <f t="shared" si="35"/>
        <v>1</v>
      </c>
      <c r="P267">
        <v>8.7870778289999993</v>
      </c>
      <c r="R267">
        <f t="shared" si="38"/>
        <v>308.09867803637997</v>
      </c>
      <c r="S267">
        <f t="shared" si="39"/>
        <v>279.10132120067999</v>
      </c>
      <c r="T267">
        <f t="shared" si="36"/>
        <v>0</v>
      </c>
      <c r="U267">
        <f>IF(AND((C267-E267)*(D267-E267)&gt;0,AND(C267&lt;R267,C267&gt;S267)),1,0)</f>
        <v>0</v>
      </c>
    </row>
    <row r="268" spans="1:21" x14ac:dyDescent="0.3">
      <c r="A268" s="1">
        <v>43199</v>
      </c>
      <c r="B268" s="1">
        <v>43290</v>
      </c>
      <c r="C268">
        <v>313.368876737356</v>
      </c>
      <c r="D268">
        <v>296.24999923706002</v>
      </c>
      <c r="E268">
        <v>312.95</v>
      </c>
      <c r="F268">
        <v>-16.7000007629394</v>
      </c>
      <c r="G268">
        <v>0.41887673735618502</v>
      </c>
      <c r="H268">
        <v>-16.7000007629394</v>
      </c>
      <c r="J268">
        <v>318.72796602249099</v>
      </c>
      <c r="K268">
        <v>297.07806625366197</v>
      </c>
      <c r="L268" s="1">
        <v>43290</v>
      </c>
      <c r="M268">
        <v>296.24999923706002</v>
      </c>
      <c r="N268">
        <f t="shared" si="37"/>
        <v>309.72496967116967</v>
      </c>
      <c r="O268">
        <f t="shared" si="35"/>
        <v>1</v>
      </c>
      <c r="P268">
        <v>8.6981674269999996</v>
      </c>
      <c r="R268">
        <f t="shared" si="38"/>
        <v>310.60197549161001</v>
      </c>
      <c r="S268">
        <f t="shared" si="39"/>
        <v>281.89802298251004</v>
      </c>
      <c r="T268">
        <f t="shared" si="36"/>
        <v>1</v>
      </c>
      <c r="U268">
        <f t="shared" si="34"/>
        <v>0</v>
      </c>
    </row>
    <row r="269" spans="1:21" x14ac:dyDescent="0.3">
      <c r="A269" s="1">
        <v>43200</v>
      </c>
      <c r="B269" s="1">
        <v>43291</v>
      </c>
      <c r="C269">
        <v>313.57525251507701</v>
      </c>
      <c r="D269">
        <v>296.95</v>
      </c>
      <c r="E269">
        <v>313.45</v>
      </c>
      <c r="F269">
        <v>-16.5</v>
      </c>
      <c r="G269">
        <v>0.12525251507759</v>
      </c>
      <c r="H269">
        <v>-16.5</v>
      </c>
      <c r="J269">
        <v>319.65442152023297</v>
      </c>
      <c r="K269">
        <v>297.84722137451098</v>
      </c>
      <c r="L269" s="1">
        <v>43291</v>
      </c>
      <c r="M269">
        <v>296.95</v>
      </c>
      <c r="N269">
        <f t="shared" si="37"/>
        <v>310.35896513660697</v>
      </c>
      <c r="O269">
        <f t="shared" si="35"/>
        <v>1</v>
      </c>
      <c r="P269">
        <v>8.6110026469999994</v>
      </c>
      <c r="R269">
        <f t="shared" si="38"/>
        <v>311.15815436754997</v>
      </c>
      <c r="S269">
        <f t="shared" si="39"/>
        <v>282.74184563245001</v>
      </c>
      <c r="T269">
        <f t="shared" si="36"/>
        <v>1</v>
      </c>
      <c r="U269">
        <f t="shared" si="34"/>
        <v>0</v>
      </c>
    </row>
    <row r="270" spans="1:21" x14ac:dyDescent="0.3">
      <c r="A270" s="1">
        <v>43201</v>
      </c>
      <c r="B270" s="1">
        <v>43292</v>
      </c>
      <c r="C270">
        <v>312.87614963650702</v>
      </c>
      <c r="D270">
        <v>295.30000038146898</v>
      </c>
      <c r="E270">
        <v>312.45</v>
      </c>
      <c r="F270">
        <v>-17.149999618530199</v>
      </c>
      <c r="G270">
        <v>0.42614963650703402</v>
      </c>
      <c r="H270">
        <v>-17.149999618530199</v>
      </c>
      <c r="J270">
        <v>318.760158252716</v>
      </c>
      <c r="K270">
        <v>297.05117206573402</v>
      </c>
      <c r="L270" s="1">
        <v>43292</v>
      </c>
      <c r="M270">
        <v>295.30000038146898</v>
      </c>
      <c r="N270">
        <f t="shared" si="37"/>
        <v>309.56249331831901</v>
      </c>
      <c r="O270">
        <f t="shared" si="35"/>
        <v>1</v>
      </c>
      <c r="P270">
        <v>8.5749008320000009</v>
      </c>
      <c r="R270">
        <f t="shared" si="38"/>
        <v>309.448586754269</v>
      </c>
      <c r="S270">
        <f t="shared" si="39"/>
        <v>281.15141400866895</v>
      </c>
      <c r="T270">
        <f t="shared" si="36"/>
        <v>0</v>
      </c>
      <c r="U270">
        <f t="shared" si="34"/>
        <v>0</v>
      </c>
    </row>
    <row r="271" spans="1:21" x14ac:dyDescent="0.3">
      <c r="A271" s="1">
        <v>43202</v>
      </c>
      <c r="B271" s="1">
        <v>43293</v>
      </c>
      <c r="C271">
        <v>313.42654848098698</v>
      </c>
      <c r="D271">
        <v>296</v>
      </c>
      <c r="E271">
        <v>311.75</v>
      </c>
      <c r="F271">
        <v>-15.75</v>
      </c>
      <c r="G271">
        <v>1.6765484809875399</v>
      </c>
      <c r="H271">
        <v>-15.75</v>
      </c>
      <c r="J271">
        <v>320.97007465362498</v>
      </c>
      <c r="K271">
        <v>297.82612419128401</v>
      </c>
      <c r="L271" s="1">
        <v>43293</v>
      </c>
      <c r="M271">
        <v>296</v>
      </c>
      <c r="N271">
        <f t="shared" si="37"/>
        <v>310.74091577529862</v>
      </c>
      <c r="O271">
        <f t="shared" si="35"/>
        <v>1</v>
      </c>
      <c r="P271">
        <v>8.5615552539999999</v>
      </c>
      <c r="R271">
        <f t="shared" si="38"/>
        <v>310.12656616909999</v>
      </c>
      <c r="S271">
        <f t="shared" si="39"/>
        <v>281.87343383090001</v>
      </c>
      <c r="T271">
        <f t="shared" si="36"/>
        <v>0</v>
      </c>
      <c r="U271">
        <f t="shared" si="34"/>
        <v>0</v>
      </c>
    </row>
    <row r="272" spans="1:21" x14ac:dyDescent="0.3">
      <c r="A272" s="1">
        <v>43203</v>
      </c>
      <c r="B272" s="1">
        <v>43294</v>
      </c>
      <c r="C272">
        <v>322.112242889404</v>
      </c>
      <c r="D272">
        <v>299.09999961852998</v>
      </c>
      <c r="E272">
        <v>314.45</v>
      </c>
      <c r="F272">
        <v>-15.3500003814697</v>
      </c>
      <c r="G272">
        <v>7.6622428894042898</v>
      </c>
      <c r="H272">
        <v>-15.3500003814697</v>
      </c>
      <c r="J272">
        <v>317.63670964240998</v>
      </c>
      <c r="K272">
        <v>298.52537879943799</v>
      </c>
      <c r="L272" s="1">
        <v>43294</v>
      </c>
      <c r="M272">
        <v>299.09999961852998</v>
      </c>
      <c r="N272">
        <f t="shared" si="37"/>
        <v>312.75811044375064</v>
      </c>
      <c r="O272">
        <f t="shared" si="35"/>
        <v>1</v>
      </c>
      <c r="P272">
        <v>8.5109402159999998</v>
      </c>
      <c r="R272">
        <f t="shared" si="38"/>
        <v>313.14305097492996</v>
      </c>
      <c r="S272">
        <f t="shared" si="39"/>
        <v>285.05694826212999</v>
      </c>
      <c r="T272">
        <f t="shared" si="36"/>
        <v>1</v>
      </c>
      <c r="U272">
        <f t="shared" si="34"/>
        <v>0</v>
      </c>
    </row>
    <row r="273" spans="1:21" x14ac:dyDescent="0.3">
      <c r="A273" s="1">
        <v>43206</v>
      </c>
      <c r="B273" s="1">
        <v>43297</v>
      </c>
      <c r="C273">
        <v>320.35874633789001</v>
      </c>
      <c r="D273">
        <v>298.19999961853</v>
      </c>
      <c r="E273">
        <v>314.3</v>
      </c>
      <c r="F273">
        <v>-16.100000381469702</v>
      </c>
      <c r="G273">
        <v>6.0587463378906197</v>
      </c>
      <c r="H273">
        <v>-16.100000381469702</v>
      </c>
      <c r="J273">
        <v>315.01686458587602</v>
      </c>
      <c r="K273">
        <v>298.400959491729</v>
      </c>
      <c r="L273" s="1">
        <v>43297</v>
      </c>
      <c r="M273">
        <v>298.19999961853</v>
      </c>
      <c r="N273">
        <f t="shared" si="37"/>
        <v>311.25885680516507</v>
      </c>
      <c r="O273">
        <f t="shared" si="35"/>
        <v>1</v>
      </c>
      <c r="P273">
        <v>8.4492516450000004</v>
      </c>
      <c r="R273">
        <f t="shared" si="38"/>
        <v>312.14126483278</v>
      </c>
      <c r="S273">
        <f t="shared" si="39"/>
        <v>284.25873440428001</v>
      </c>
      <c r="T273">
        <f t="shared" si="36"/>
        <v>1</v>
      </c>
      <c r="U273">
        <f t="shared" si="34"/>
        <v>0</v>
      </c>
    </row>
    <row r="274" spans="1:21" x14ac:dyDescent="0.3">
      <c r="A274" s="1">
        <v>43207</v>
      </c>
      <c r="B274" s="1">
        <v>43298</v>
      </c>
      <c r="C274">
        <v>327.61510124206501</v>
      </c>
      <c r="D274">
        <v>297.35000076293898</v>
      </c>
      <c r="E274">
        <v>314.39999999999998</v>
      </c>
      <c r="F274">
        <v>-17.049999237060501</v>
      </c>
      <c r="G274">
        <v>13.215101242065399</v>
      </c>
      <c r="H274">
        <v>-17.049999237060501</v>
      </c>
      <c r="J274">
        <v>319.87029829025198</v>
      </c>
      <c r="K274">
        <v>295.83941681384999</v>
      </c>
      <c r="L274" s="1">
        <v>43298</v>
      </c>
      <c r="M274">
        <v>297.35000076293898</v>
      </c>
      <c r="N274">
        <f t="shared" si="37"/>
        <v>314.44160544872233</v>
      </c>
      <c r="O274">
        <f t="shared" si="35"/>
        <v>1</v>
      </c>
      <c r="P274">
        <v>8.3157281179999991</v>
      </c>
      <c r="R274">
        <f t="shared" si="38"/>
        <v>311.070952157639</v>
      </c>
      <c r="S274">
        <f t="shared" si="39"/>
        <v>283.62904936823895</v>
      </c>
      <c r="T274">
        <f t="shared" si="36"/>
        <v>0</v>
      </c>
      <c r="U274">
        <f>IF(AND((C274-E274)*(D274-E274)&gt;0,AND(C274&lt;R274,C274&gt;S274)),1,0)</f>
        <v>0</v>
      </c>
    </row>
    <row r="275" spans="1:21" x14ac:dyDescent="0.3">
      <c r="A275" s="1">
        <v>43208</v>
      </c>
      <c r="B275" s="1">
        <v>43299</v>
      </c>
      <c r="C275">
        <v>324.31428871154702</v>
      </c>
      <c r="D275">
        <v>297.05000076293902</v>
      </c>
      <c r="E275">
        <v>317.60000000000002</v>
      </c>
      <c r="F275">
        <v>-20.549999237060501</v>
      </c>
      <c r="G275">
        <v>6.7142887115478498</v>
      </c>
      <c r="H275">
        <v>-20.549999237060501</v>
      </c>
      <c r="J275">
        <v>319.11862263679501</v>
      </c>
      <c r="K275">
        <v>297.37801389694198</v>
      </c>
      <c r="L275" s="1">
        <v>43299</v>
      </c>
      <c r="M275">
        <v>297.05000076293902</v>
      </c>
      <c r="N275">
        <f t="shared" si="37"/>
        <v>313.603641748428</v>
      </c>
      <c r="O275">
        <f t="shared" si="35"/>
        <v>1</v>
      </c>
      <c r="P275">
        <v>8.1924887910000006</v>
      </c>
      <c r="R275">
        <f t="shared" si="38"/>
        <v>310.56760726808903</v>
      </c>
      <c r="S275">
        <f t="shared" si="39"/>
        <v>283.53239425778901</v>
      </c>
      <c r="T275">
        <f t="shared" si="36"/>
        <v>0</v>
      </c>
      <c r="U275">
        <f t="shared" si="34"/>
        <v>0</v>
      </c>
    </row>
    <row r="276" spans="1:21" x14ac:dyDescent="0.3">
      <c r="A276" s="1">
        <v>43209</v>
      </c>
      <c r="B276" s="1">
        <v>43300</v>
      </c>
      <c r="C276">
        <v>319.94798684120099</v>
      </c>
      <c r="D276">
        <v>296.04999923705998</v>
      </c>
      <c r="E276">
        <v>319</v>
      </c>
      <c r="F276">
        <v>-22.9500007629394</v>
      </c>
      <c r="G276">
        <v>0.947986841201782</v>
      </c>
      <c r="H276">
        <v>-22.9500007629394</v>
      </c>
      <c r="J276">
        <v>323.93508386611899</v>
      </c>
      <c r="K276">
        <v>296.187549710273</v>
      </c>
      <c r="L276" s="1">
        <v>43300</v>
      </c>
      <c r="M276">
        <v>296.04999923705998</v>
      </c>
      <c r="N276">
        <f t="shared" si="37"/>
        <v>313.35687347253105</v>
      </c>
      <c r="O276">
        <f t="shared" si="35"/>
        <v>1</v>
      </c>
      <c r="P276">
        <v>8.0608853479999993</v>
      </c>
      <c r="R276">
        <f t="shared" si="38"/>
        <v>309.35046006125998</v>
      </c>
      <c r="S276">
        <f t="shared" si="39"/>
        <v>282.74953841285998</v>
      </c>
      <c r="T276">
        <f t="shared" si="36"/>
        <v>0</v>
      </c>
      <c r="U276">
        <f t="shared" si="34"/>
        <v>0</v>
      </c>
    </row>
    <row r="277" spans="1:21" x14ac:dyDescent="0.3">
      <c r="A277" t="s">
        <v>8</v>
      </c>
      <c r="B277" t="s">
        <v>9</v>
      </c>
      <c r="L277" t="s">
        <v>9</v>
      </c>
      <c r="O277">
        <f>SUM(O2:O276)/275</f>
        <v>0.88363636363636366</v>
      </c>
      <c r="T277">
        <f>SUM(T2:T276)/275</f>
        <v>0.52363636363636368</v>
      </c>
      <c r="U277">
        <f>SUM(U2:U276)/275</f>
        <v>0.41454545454545455</v>
      </c>
    </row>
    <row r="278" spans="1:21" x14ac:dyDescent="0.3">
      <c r="A278">
        <v>0.62909090909090903</v>
      </c>
      <c r="B278">
        <v>7.9214029999999998</v>
      </c>
      <c r="L278">
        <v>7.9214029999999998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vdiff_l2_reg_65_20_20_0.001_200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2018-08-24T06:51:10Z</dcterms:created>
  <dcterms:modified xsi:type="dcterms:W3CDTF">2018-08-24T06:51:10Z</dcterms:modified>
</cp:coreProperties>
</file>