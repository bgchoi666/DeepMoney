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5.0\"/>
    </mc:Choice>
  </mc:AlternateContent>
  <bookViews>
    <workbookView xWindow="0" yWindow="0" windowWidth="28800" windowHeight="12390"/>
  </bookViews>
  <sheets>
    <sheet name="v5.0_65_1_100_0.001_200_100_201" sheetId="1" r:id="rId1"/>
  </sheets>
  <calcPr calcId="0"/>
</workbook>
</file>

<file path=xl/calcChain.xml><?xml version="1.0" encoding="utf-8"?>
<calcChain xmlns="http://schemas.openxmlformats.org/spreadsheetml/2006/main">
  <c r="T3" i="1" l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U2" i="1"/>
  <c r="T2" i="1"/>
  <c r="S196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" i="1"/>
  <c r="O3" i="1"/>
  <c r="P3" i="1"/>
  <c r="Q3" i="1"/>
  <c r="R3" i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O21" i="1"/>
  <c r="P21" i="1"/>
  <c r="Q21" i="1"/>
  <c r="R21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O26" i="1"/>
  <c r="P26" i="1"/>
  <c r="Q26" i="1"/>
  <c r="R26" i="1"/>
  <c r="O27" i="1"/>
  <c r="P27" i="1"/>
  <c r="Q27" i="1"/>
  <c r="R27" i="1"/>
  <c r="O28" i="1"/>
  <c r="P28" i="1"/>
  <c r="Q28" i="1"/>
  <c r="R28" i="1"/>
  <c r="O29" i="1"/>
  <c r="P29" i="1"/>
  <c r="Q29" i="1"/>
  <c r="R29" i="1"/>
  <c r="O30" i="1"/>
  <c r="P30" i="1"/>
  <c r="Q30" i="1"/>
  <c r="R30" i="1"/>
  <c r="O31" i="1"/>
  <c r="P31" i="1"/>
  <c r="Q31" i="1"/>
  <c r="R31" i="1"/>
  <c r="O32" i="1"/>
  <c r="P32" i="1"/>
  <c r="Q32" i="1"/>
  <c r="R32" i="1"/>
  <c r="O33" i="1"/>
  <c r="P33" i="1"/>
  <c r="Q33" i="1"/>
  <c r="R33" i="1"/>
  <c r="O34" i="1"/>
  <c r="P34" i="1"/>
  <c r="Q34" i="1"/>
  <c r="R34" i="1"/>
  <c r="O35" i="1"/>
  <c r="P35" i="1"/>
  <c r="Q35" i="1"/>
  <c r="R35" i="1"/>
  <c r="O36" i="1"/>
  <c r="P36" i="1"/>
  <c r="Q36" i="1"/>
  <c r="R36" i="1"/>
  <c r="O37" i="1"/>
  <c r="P37" i="1"/>
  <c r="Q37" i="1"/>
  <c r="R37" i="1"/>
  <c r="O38" i="1"/>
  <c r="P38" i="1"/>
  <c r="Q38" i="1"/>
  <c r="R38" i="1"/>
  <c r="O39" i="1"/>
  <c r="P39" i="1"/>
  <c r="Q39" i="1"/>
  <c r="R39" i="1"/>
  <c r="O40" i="1"/>
  <c r="P40" i="1"/>
  <c r="Q40" i="1"/>
  <c r="R40" i="1"/>
  <c r="O41" i="1"/>
  <c r="P41" i="1"/>
  <c r="Q41" i="1"/>
  <c r="R41" i="1"/>
  <c r="O42" i="1"/>
  <c r="P42" i="1"/>
  <c r="Q42" i="1"/>
  <c r="R42" i="1"/>
  <c r="O43" i="1"/>
  <c r="P43" i="1"/>
  <c r="Q43" i="1"/>
  <c r="R43" i="1"/>
  <c r="O44" i="1"/>
  <c r="P44" i="1"/>
  <c r="Q44" i="1"/>
  <c r="R44" i="1"/>
  <c r="O45" i="1"/>
  <c r="P45" i="1"/>
  <c r="Q45" i="1"/>
  <c r="R45" i="1"/>
  <c r="O46" i="1"/>
  <c r="P46" i="1"/>
  <c r="Q46" i="1"/>
  <c r="R46" i="1"/>
  <c r="O47" i="1"/>
  <c r="P47" i="1"/>
  <c r="Q47" i="1"/>
  <c r="R47" i="1"/>
  <c r="O48" i="1"/>
  <c r="P48" i="1"/>
  <c r="Q48" i="1"/>
  <c r="R48" i="1"/>
  <c r="O49" i="1"/>
  <c r="P49" i="1"/>
  <c r="Q49" i="1"/>
  <c r="R49" i="1"/>
  <c r="O50" i="1"/>
  <c r="P50" i="1"/>
  <c r="Q50" i="1"/>
  <c r="R50" i="1"/>
  <c r="O51" i="1"/>
  <c r="P51" i="1"/>
  <c r="Q51" i="1"/>
  <c r="R51" i="1"/>
  <c r="O52" i="1"/>
  <c r="P52" i="1"/>
  <c r="Q52" i="1"/>
  <c r="R52" i="1"/>
  <c r="O53" i="1"/>
  <c r="P53" i="1"/>
  <c r="Q53" i="1"/>
  <c r="R53" i="1"/>
  <c r="O54" i="1"/>
  <c r="P54" i="1"/>
  <c r="Q54" i="1"/>
  <c r="R54" i="1"/>
  <c r="O55" i="1"/>
  <c r="P55" i="1"/>
  <c r="Q55" i="1"/>
  <c r="R55" i="1"/>
  <c r="O56" i="1"/>
  <c r="P56" i="1"/>
  <c r="Q56" i="1"/>
  <c r="R56" i="1"/>
  <c r="O57" i="1"/>
  <c r="P57" i="1"/>
  <c r="Q57" i="1"/>
  <c r="R57" i="1"/>
  <c r="O58" i="1"/>
  <c r="P58" i="1"/>
  <c r="Q58" i="1"/>
  <c r="R58" i="1"/>
  <c r="O59" i="1"/>
  <c r="P59" i="1"/>
  <c r="Q59" i="1"/>
  <c r="R59" i="1"/>
  <c r="O60" i="1"/>
  <c r="P60" i="1"/>
  <c r="Q60" i="1"/>
  <c r="R60" i="1"/>
  <c r="O61" i="1"/>
  <c r="P61" i="1"/>
  <c r="Q61" i="1"/>
  <c r="R61" i="1"/>
  <c r="O62" i="1"/>
  <c r="P62" i="1"/>
  <c r="Q62" i="1"/>
  <c r="R62" i="1"/>
  <c r="O63" i="1"/>
  <c r="P63" i="1"/>
  <c r="Q63" i="1"/>
  <c r="R63" i="1"/>
  <c r="O64" i="1"/>
  <c r="P64" i="1"/>
  <c r="Q64" i="1"/>
  <c r="R64" i="1"/>
  <c r="O65" i="1"/>
  <c r="P65" i="1"/>
  <c r="Q65" i="1"/>
  <c r="R65" i="1"/>
  <c r="O66" i="1"/>
  <c r="P66" i="1"/>
  <c r="Q66" i="1"/>
  <c r="R66" i="1"/>
  <c r="O67" i="1"/>
  <c r="P67" i="1"/>
  <c r="Q67" i="1"/>
  <c r="R67" i="1"/>
  <c r="O68" i="1"/>
  <c r="P68" i="1"/>
  <c r="Q68" i="1"/>
  <c r="R68" i="1"/>
  <c r="O69" i="1"/>
  <c r="P69" i="1"/>
  <c r="Q69" i="1"/>
  <c r="R69" i="1"/>
  <c r="O70" i="1"/>
  <c r="P70" i="1"/>
  <c r="Q70" i="1"/>
  <c r="R70" i="1"/>
  <c r="O71" i="1"/>
  <c r="P71" i="1"/>
  <c r="Q71" i="1"/>
  <c r="R71" i="1"/>
  <c r="O72" i="1"/>
  <c r="P72" i="1"/>
  <c r="Q72" i="1"/>
  <c r="R72" i="1"/>
  <c r="O73" i="1"/>
  <c r="P73" i="1"/>
  <c r="Q73" i="1"/>
  <c r="R73" i="1"/>
  <c r="O74" i="1"/>
  <c r="P74" i="1"/>
  <c r="Q74" i="1"/>
  <c r="R74" i="1"/>
  <c r="O75" i="1"/>
  <c r="P75" i="1"/>
  <c r="Q75" i="1"/>
  <c r="R75" i="1"/>
  <c r="O76" i="1"/>
  <c r="P76" i="1"/>
  <c r="Q76" i="1"/>
  <c r="R76" i="1"/>
  <c r="O77" i="1"/>
  <c r="P77" i="1"/>
  <c r="Q77" i="1"/>
  <c r="R77" i="1"/>
  <c r="O78" i="1"/>
  <c r="P78" i="1"/>
  <c r="Q78" i="1"/>
  <c r="R78" i="1"/>
  <c r="O79" i="1"/>
  <c r="P79" i="1"/>
  <c r="Q79" i="1"/>
  <c r="R79" i="1"/>
  <c r="O80" i="1"/>
  <c r="P80" i="1"/>
  <c r="Q80" i="1"/>
  <c r="R80" i="1"/>
  <c r="O81" i="1"/>
  <c r="P81" i="1"/>
  <c r="Q81" i="1"/>
  <c r="R81" i="1"/>
  <c r="O82" i="1"/>
  <c r="P82" i="1"/>
  <c r="Q82" i="1"/>
  <c r="R82" i="1"/>
  <c r="O83" i="1"/>
  <c r="P83" i="1"/>
  <c r="Q83" i="1"/>
  <c r="R83" i="1"/>
  <c r="O84" i="1"/>
  <c r="P84" i="1"/>
  <c r="Q84" i="1"/>
  <c r="R84" i="1"/>
  <c r="O85" i="1"/>
  <c r="P85" i="1"/>
  <c r="Q85" i="1"/>
  <c r="R85" i="1"/>
  <c r="O86" i="1"/>
  <c r="P86" i="1"/>
  <c r="Q86" i="1"/>
  <c r="R86" i="1"/>
  <c r="O87" i="1"/>
  <c r="P87" i="1"/>
  <c r="Q87" i="1"/>
  <c r="R87" i="1"/>
  <c r="O88" i="1"/>
  <c r="P88" i="1"/>
  <c r="Q88" i="1"/>
  <c r="R88" i="1"/>
  <c r="O89" i="1"/>
  <c r="P89" i="1"/>
  <c r="Q89" i="1"/>
  <c r="R89" i="1"/>
  <c r="O90" i="1"/>
  <c r="P90" i="1"/>
  <c r="Q90" i="1"/>
  <c r="R90" i="1"/>
  <c r="O91" i="1"/>
  <c r="P91" i="1"/>
  <c r="Q91" i="1"/>
  <c r="R91" i="1"/>
  <c r="O92" i="1"/>
  <c r="P92" i="1"/>
  <c r="Q92" i="1"/>
  <c r="R92" i="1"/>
  <c r="O93" i="1"/>
  <c r="P93" i="1"/>
  <c r="Q93" i="1"/>
  <c r="R93" i="1"/>
  <c r="O94" i="1"/>
  <c r="P94" i="1"/>
  <c r="Q94" i="1"/>
  <c r="R94" i="1"/>
  <c r="O95" i="1"/>
  <c r="P95" i="1"/>
  <c r="Q95" i="1"/>
  <c r="R95" i="1"/>
  <c r="O96" i="1"/>
  <c r="P96" i="1"/>
  <c r="Q96" i="1"/>
  <c r="R96" i="1"/>
  <c r="O97" i="1"/>
  <c r="P97" i="1"/>
  <c r="Q97" i="1"/>
  <c r="R97" i="1"/>
  <c r="O98" i="1"/>
  <c r="P98" i="1"/>
  <c r="Q98" i="1"/>
  <c r="R98" i="1"/>
  <c r="O99" i="1"/>
  <c r="P99" i="1"/>
  <c r="Q99" i="1"/>
  <c r="R99" i="1"/>
  <c r="O100" i="1"/>
  <c r="P100" i="1"/>
  <c r="Q100" i="1"/>
  <c r="R100" i="1"/>
  <c r="O101" i="1"/>
  <c r="P101" i="1"/>
  <c r="Q101" i="1"/>
  <c r="R101" i="1"/>
  <c r="O102" i="1"/>
  <c r="P102" i="1"/>
  <c r="Q102" i="1"/>
  <c r="R102" i="1"/>
  <c r="O103" i="1"/>
  <c r="P103" i="1"/>
  <c r="Q103" i="1"/>
  <c r="R103" i="1"/>
  <c r="O104" i="1"/>
  <c r="P104" i="1"/>
  <c r="Q104" i="1"/>
  <c r="R104" i="1"/>
  <c r="O105" i="1"/>
  <c r="P105" i="1"/>
  <c r="Q105" i="1"/>
  <c r="R105" i="1"/>
  <c r="O106" i="1"/>
  <c r="P106" i="1"/>
  <c r="Q106" i="1"/>
  <c r="R106" i="1"/>
  <c r="O107" i="1"/>
  <c r="P107" i="1"/>
  <c r="Q107" i="1"/>
  <c r="R107" i="1"/>
  <c r="O108" i="1"/>
  <c r="P108" i="1"/>
  <c r="Q108" i="1"/>
  <c r="R108" i="1"/>
  <c r="O109" i="1"/>
  <c r="P109" i="1"/>
  <c r="Q109" i="1"/>
  <c r="R109" i="1"/>
  <c r="O110" i="1"/>
  <c r="P110" i="1"/>
  <c r="Q110" i="1"/>
  <c r="R110" i="1"/>
  <c r="O111" i="1"/>
  <c r="P111" i="1"/>
  <c r="Q111" i="1"/>
  <c r="R111" i="1"/>
  <c r="O112" i="1"/>
  <c r="P112" i="1"/>
  <c r="Q112" i="1"/>
  <c r="R112" i="1"/>
  <c r="O113" i="1"/>
  <c r="P113" i="1"/>
  <c r="Q113" i="1"/>
  <c r="R113" i="1"/>
  <c r="O114" i="1"/>
  <c r="P114" i="1"/>
  <c r="Q114" i="1"/>
  <c r="R114" i="1"/>
  <c r="O115" i="1"/>
  <c r="P115" i="1"/>
  <c r="Q115" i="1"/>
  <c r="R115" i="1"/>
  <c r="O116" i="1"/>
  <c r="P116" i="1"/>
  <c r="Q116" i="1"/>
  <c r="R116" i="1"/>
  <c r="O117" i="1"/>
  <c r="P117" i="1"/>
  <c r="Q117" i="1"/>
  <c r="R117" i="1"/>
  <c r="O118" i="1"/>
  <c r="P118" i="1"/>
  <c r="Q118" i="1"/>
  <c r="R118" i="1"/>
  <c r="O119" i="1"/>
  <c r="P119" i="1"/>
  <c r="Q119" i="1"/>
  <c r="R119" i="1"/>
  <c r="O120" i="1"/>
  <c r="P120" i="1"/>
  <c r="Q120" i="1"/>
  <c r="R120" i="1"/>
  <c r="O121" i="1"/>
  <c r="P121" i="1"/>
  <c r="Q121" i="1"/>
  <c r="R121" i="1"/>
  <c r="O122" i="1"/>
  <c r="P122" i="1"/>
  <c r="Q122" i="1"/>
  <c r="R122" i="1"/>
  <c r="O123" i="1"/>
  <c r="P123" i="1"/>
  <c r="Q123" i="1"/>
  <c r="R123" i="1"/>
  <c r="O124" i="1"/>
  <c r="P124" i="1"/>
  <c r="Q124" i="1"/>
  <c r="R124" i="1"/>
  <c r="O125" i="1"/>
  <c r="P125" i="1"/>
  <c r="Q125" i="1"/>
  <c r="R125" i="1"/>
  <c r="O126" i="1"/>
  <c r="P126" i="1"/>
  <c r="Q126" i="1"/>
  <c r="R126" i="1"/>
  <c r="O127" i="1"/>
  <c r="P127" i="1"/>
  <c r="Q127" i="1"/>
  <c r="R127" i="1"/>
  <c r="O128" i="1"/>
  <c r="P128" i="1"/>
  <c r="Q128" i="1"/>
  <c r="R128" i="1"/>
  <c r="O129" i="1"/>
  <c r="P129" i="1"/>
  <c r="Q129" i="1"/>
  <c r="R129" i="1"/>
  <c r="O130" i="1"/>
  <c r="P130" i="1"/>
  <c r="Q130" i="1"/>
  <c r="R130" i="1"/>
  <c r="O131" i="1"/>
  <c r="P131" i="1"/>
  <c r="Q131" i="1"/>
  <c r="R131" i="1"/>
  <c r="O132" i="1"/>
  <c r="P132" i="1"/>
  <c r="Q132" i="1"/>
  <c r="R132" i="1"/>
  <c r="O133" i="1"/>
  <c r="P133" i="1"/>
  <c r="Q133" i="1"/>
  <c r="R133" i="1"/>
  <c r="O134" i="1"/>
  <c r="P134" i="1"/>
  <c r="Q134" i="1"/>
  <c r="R134" i="1"/>
  <c r="O135" i="1"/>
  <c r="P135" i="1"/>
  <c r="Q135" i="1"/>
  <c r="R135" i="1"/>
  <c r="O136" i="1"/>
  <c r="P136" i="1"/>
  <c r="Q136" i="1"/>
  <c r="R136" i="1"/>
  <c r="O137" i="1"/>
  <c r="P137" i="1"/>
  <c r="Q137" i="1"/>
  <c r="R137" i="1"/>
  <c r="O138" i="1"/>
  <c r="P138" i="1"/>
  <c r="Q138" i="1"/>
  <c r="R138" i="1"/>
  <c r="O139" i="1"/>
  <c r="P139" i="1"/>
  <c r="Q139" i="1"/>
  <c r="R139" i="1"/>
  <c r="O140" i="1"/>
  <c r="P140" i="1"/>
  <c r="Q140" i="1"/>
  <c r="R140" i="1"/>
  <c r="O141" i="1"/>
  <c r="P141" i="1"/>
  <c r="Q141" i="1"/>
  <c r="R141" i="1"/>
  <c r="O142" i="1"/>
  <c r="P142" i="1"/>
  <c r="Q142" i="1"/>
  <c r="R142" i="1"/>
  <c r="O143" i="1"/>
  <c r="P143" i="1"/>
  <c r="Q143" i="1"/>
  <c r="R143" i="1"/>
  <c r="O144" i="1"/>
  <c r="P144" i="1"/>
  <c r="Q144" i="1"/>
  <c r="R144" i="1"/>
  <c r="O145" i="1"/>
  <c r="P145" i="1"/>
  <c r="Q145" i="1"/>
  <c r="R145" i="1"/>
  <c r="O146" i="1"/>
  <c r="P146" i="1"/>
  <c r="Q146" i="1"/>
  <c r="R146" i="1"/>
  <c r="O147" i="1"/>
  <c r="P147" i="1"/>
  <c r="Q147" i="1"/>
  <c r="R147" i="1"/>
  <c r="O148" i="1"/>
  <c r="P148" i="1"/>
  <c r="Q148" i="1"/>
  <c r="R148" i="1"/>
  <c r="O149" i="1"/>
  <c r="P149" i="1"/>
  <c r="Q149" i="1"/>
  <c r="R149" i="1"/>
  <c r="O150" i="1"/>
  <c r="P150" i="1"/>
  <c r="Q150" i="1"/>
  <c r="R150" i="1"/>
  <c r="O151" i="1"/>
  <c r="P151" i="1"/>
  <c r="Q151" i="1"/>
  <c r="R151" i="1"/>
  <c r="O152" i="1"/>
  <c r="P152" i="1"/>
  <c r="Q152" i="1"/>
  <c r="R152" i="1"/>
  <c r="O153" i="1"/>
  <c r="P153" i="1"/>
  <c r="Q153" i="1"/>
  <c r="R153" i="1"/>
  <c r="O154" i="1"/>
  <c r="P154" i="1"/>
  <c r="Q154" i="1"/>
  <c r="R154" i="1"/>
  <c r="O155" i="1"/>
  <c r="P155" i="1"/>
  <c r="Q155" i="1"/>
  <c r="R155" i="1"/>
  <c r="O156" i="1"/>
  <c r="P156" i="1"/>
  <c r="Q156" i="1"/>
  <c r="R156" i="1"/>
  <c r="O157" i="1"/>
  <c r="P157" i="1"/>
  <c r="Q157" i="1"/>
  <c r="R157" i="1"/>
  <c r="O158" i="1"/>
  <c r="P158" i="1"/>
  <c r="Q158" i="1"/>
  <c r="R158" i="1"/>
  <c r="O159" i="1"/>
  <c r="P159" i="1"/>
  <c r="Q159" i="1"/>
  <c r="R159" i="1"/>
  <c r="O160" i="1"/>
  <c r="P160" i="1"/>
  <c r="Q160" i="1"/>
  <c r="R160" i="1"/>
  <c r="O161" i="1"/>
  <c r="P161" i="1"/>
  <c r="Q161" i="1"/>
  <c r="R161" i="1"/>
  <c r="O162" i="1"/>
  <c r="P162" i="1"/>
  <c r="Q162" i="1"/>
  <c r="R162" i="1"/>
  <c r="O163" i="1"/>
  <c r="P163" i="1"/>
  <c r="Q163" i="1"/>
  <c r="R163" i="1"/>
  <c r="O164" i="1"/>
  <c r="P164" i="1"/>
  <c r="Q164" i="1"/>
  <c r="R164" i="1"/>
  <c r="O165" i="1"/>
  <c r="P165" i="1"/>
  <c r="Q165" i="1"/>
  <c r="R165" i="1"/>
  <c r="O166" i="1"/>
  <c r="P166" i="1"/>
  <c r="Q166" i="1"/>
  <c r="R166" i="1"/>
  <c r="O167" i="1"/>
  <c r="P167" i="1"/>
  <c r="Q167" i="1"/>
  <c r="R167" i="1"/>
  <c r="O168" i="1"/>
  <c r="P168" i="1"/>
  <c r="Q168" i="1"/>
  <c r="R168" i="1"/>
  <c r="O169" i="1"/>
  <c r="P169" i="1"/>
  <c r="Q169" i="1"/>
  <c r="R169" i="1"/>
  <c r="O170" i="1"/>
  <c r="P170" i="1"/>
  <c r="Q170" i="1"/>
  <c r="R170" i="1"/>
  <c r="O171" i="1"/>
  <c r="P171" i="1"/>
  <c r="Q171" i="1"/>
  <c r="R171" i="1"/>
  <c r="O172" i="1"/>
  <c r="P172" i="1"/>
  <c r="Q172" i="1"/>
  <c r="R172" i="1"/>
  <c r="O173" i="1"/>
  <c r="P173" i="1"/>
  <c r="Q173" i="1"/>
  <c r="R173" i="1"/>
  <c r="O174" i="1"/>
  <c r="P174" i="1"/>
  <c r="Q174" i="1"/>
  <c r="R174" i="1"/>
  <c r="O175" i="1"/>
  <c r="P175" i="1"/>
  <c r="Q175" i="1"/>
  <c r="R175" i="1"/>
  <c r="O176" i="1"/>
  <c r="P176" i="1"/>
  <c r="Q176" i="1"/>
  <c r="R176" i="1"/>
  <c r="O177" i="1"/>
  <c r="P177" i="1"/>
  <c r="Q177" i="1"/>
  <c r="R177" i="1"/>
  <c r="O178" i="1"/>
  <c r="P178" i="1"/>
  <c r="Q178" i="1"/>
  <c r="R178" i="1"/>
  <c r="O179" i="1"/>
  <c r="P179" i="1"/>
  <c r="Q179" i="1"/>
  <c r="R179" i="1"/>
  <c r="O180" i="1"/>
  <c r="P180" i="1"/>
  <c r="Q180" i="1"/>
  <c r="R180" i="1"/>
  <c r="O181" i="1"/>
  <c r="P181" i="1"/>
  <c r="Q181" i="1"/>
  <c r="R181" i="1"/>
  <c r="O182" i="1"/>
  <c r="P182" i="1"/>
  <c r="Q182" i="1"/>
  <c r="R182" i="1"/>
  <c r="O183" i="1"/>
  <c r="P183" i="1"/>
  <c r="Q183" i="1"/>
  <c r="R183" i="1"/>
  <c r="O184" i="1"/>
  <c r="P184" i="1"/>
  <c r="Q184" i="1"/>
  <c r="R184" i="1"/>
  <c r="O185" i="1"/>
  <c r="P185" i="1"/>
  <c r="Q185" i="1"/>
  <c r="R185" i="1"/>
  <c r="O186" i="1"/>
  <c r="P186" i="1"/>
  <c r="Q186" i="1"/>
  <c r="R186" i="1"/>
  <c r="O187" i="1"/>
  <c r="P187" i="1"/>
  <c r="Q187" i="1"/>
  <c r="R187" i="1"/>
  <c r="O188" i="1"/>
  <c r="P188" i="1"/>
  <c r="Q188" i="1"/>
  <c r="R188" i="1"/>
  <c r="O189" i="1"/>
  <c r="P189" i="1"/>
  <c r="Q189" i="1"/>
  <c r="R189" i="1"/>
  <c r="O190" i="1"/>
  <c r="P190" i="1"/>
  <c r="Q190" i="1"/>
  <c r="R190" i="1"/>
  <c r="O191" i="1"/>
  <c r="P191" i="1"/>
  <c r="Q191" i="1"/>
  <c r="R191" i="1"/>
  <c r="O192" i="1"/>
  <c r="P192" i="1"/>
  <c r="Q192" i="1"/>
  <c r="R192" i="1"/>
  <c r="O193" i="1"/>
  <c r="P193" i="1"/>
  <c r="Q193" i="1"/>
  <c r="R193" i="1"/>
  <c r="O194" i="1"/>
  <c r="P194" i="1"/>
  <c r="Q194" i="1"/>
  <c r="R194" i="1"/>
  <c r="O195" i="1"/>
  <c r="P195" i="1"/>
  <c r="Q195" i="1"/>
  <c r="R195" i="1"/>
  <c r="R2" i="1"/>
  <c r="Q2" i="1"/>
  <c r="P2" i="1"/>
  <c r="O2" i="1"/>
  <c r="L1" i="1"/>
  <c r="K1" i="1"/>
  <c r="J1" i="1"/>
  <c r="I1" i="1"/>
  <c r="H1" i="1"/>
</calcChain>
</file>

<file path=xl/sharedStrings.xml><?xml version="1.0" encoding="utf-8"?>
<sst xmlns="http://schemas.openxmlformats.org/spreadsheetml/2006/main" count="13" uniqueCount="13">
  <si>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</si>
  <si>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</si>
  <si>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</si>
  <si>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</si>
  <si>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</si>
  <si>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</si>
  <si>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</si>
  <si>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</si>
  <si>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</si>
  <si>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</si>
  <si>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</si>
  <si>
    <t>a</t>
    <phoneticPr fontId="18" type="noConversion"/>
  </si>
  <si>
    <t>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</si>
</sst>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'v5.0_65_1_100_0.001_200_100_201'!$Q$1</c:f>
              <c:strCache>
                <c:ptCount val="1"/>
                <c:pt idx="0">
                  <c:v>실재지수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'v5.0_65_1_100_0.001_200_100_201'!$N$2:$N$194</c:f>
              <c:numCache>
                <c:formatCode>m/d/yyyy</c:formatCode>
                <c:ptCount val="193"/>
                <c:pt idx="0">
                  <c:v>43017</c:v>
                </c:pt>
                <c:pt idx="1">
                  <c:v>43018</c:v>
                </c:pt>
                <c:pt idx="2">
                  <c:v>43019</c:v>
                </c:pt>
                <c:pt idx="3">
                  <c:v>43020</c:v>
                </c:pt>
                <c:pt idx="4">
                  <c:v>43021</c:v>
                </c:pt>
                <c:pt idx="5">
                  <c:v>43024</c:v>
                </c:pt>
                <c:pt idx="6">
                  <c:v>43025</c:v>
                </c:pt>
                <c:pt idx="7">
                  <c:v>43026</c:v>
                </c:pt>
                <c:pt idx="8">
                  <c:v>43027</c:v>
                </c:pt>
                <c:pt idx="9">
                  <c:v>43028</c:v>
                </c:pt>
                <c:pt idx="10">
                  <c:v>43031</c:v>
                </c:pt>
                <c:pt idx="11">
                  <c:v>43032</c:v>
                </c:pt>
                <c:pt idx="12">
                  <c:v>43033</c:v>
                </c:pt>
                <c:pt idx="13">
                  <c:v>43034</c:v>
                </c:pt>
                <c:pt idx="14">
                  <c:v>43035</c:v>
                </c:pt>
                <c:pt idx="15">
                  <c:v>43038</c:v>
                </c:pt>
                <c:pt idx="16">
                  <c:v>43039</c:v>
                </c:pt>
                <c:pt idx="17">
                  <c:v>43040</c:v>
                </c:pt>
                <c:pt idx="18">
                  <c:v>43041</c:v>
                </c:pt>
                <c:pt idx="19">
                  <c:v>43042</c:v>
                </c:pt>
                <c:pt idx="20">
                  <c:v>43045</c:v>
                </c:pt>
                <c:pt idx="21">
                  <c:v>43046</c:v>
                </c:pt>
                <c:pt idx="22">
                  <c:v>43047</c:v>
                </c:pt>
                <c:pt idx="23">
                  <c:v>43048</c:v>
                </c:pt>
                <c:pt idx="24">
                  <c:v>43049</c:v>
                </c:pt>
                <c:pt idx="25">
                  <c:v>43052</c:v>
                </c:pt>
                <c:pt idx="26">
                  <c:v>43053</c:v>
                </c:pt>
                <c:pt idx="27">
                  <c:v>43054</c:v>
                </c:pt>
                <c:pt idx="28">
                  <c:v>43055</c:v>
                </c:pt>
                <c:pt idx="29">
                  <c:v>43056</c:v>
                </c:pt>
                <c:pt idx="30">
                  <c:v>43059</c:v>
                </c:pt>
                <c:pt idx="31">
                  <c:v>43060</c:v>
                </c:pt>
                <c:pt idx="32">
                  <c:v>43061</c:v>
                </c:pt>
                <c:pt idx="33">
                  <c:v>43062</c:v>
                </c:pt>
                <c:pt idx="34">
                  <c:v>43063</c:v>
                </c:pt>
                <c:pt idx="35">
                  <c:v>43066</c:v>
                </c:pt>
                <c:pt idx="36">
                  <c:v>43067</c:v>
                </c:pt>
                <c:pt idx="37">
                  <c:v>43068</c:v>
                </c:pt>
                <c:pt idx="38">
                  <c:v>43069</c:v>
                </c:pt>
                <c:pt idx="39">
                  <c:v>43070</c:v>
                </c:pt>
                <c:pt idx="40">
                  <c:v>43073</c:v>
                </c:pt>
                <c:pt idx="41">
                  <c:v>43074</c:v>
                </c:pt>
                <c:pt idx="42">
                  <c:v>43075</c:v>
                </c:pt>
                <c:pt idx="43">
                  <c:v>43076</c:v>
                </c:pt>
                <c:pt idx="44">
                  <c:v>43077</c:v>
                </c:pt>
                <c:pt idx="45">
                  <c:v>43080</c:v>
                </c:pt>
                <c:pt idx="46">
                  <c:v>43081</c:v>
                </c:pt>
                <c:pt idx="47">
                  <c:v>43082</c:v>
                </c:pt>
                <c:pt idx="48">
                  <c:v>43083</c:v>
                </c:pt>
                <c:pt idx="49">
                  <c:v>43084</c:v>
                </c:pt>
                <c:pt idx="50">
                  <c:v>43087</c:v>
                </c:pt>
                <c:pt idx="51">
                  <c:v>43088</c:v>
                </c:pt>
                <c:pt idx="52">
                  <c:v>43089</c:v>
                </c:pt>
                <c:pt idx="53">
                  <c:v>43090</c:v>
                </c:pt>
                <c:pt idx="54">
                  <c:v>43091</c:v>
                </c:pt>
                <c:pt idx="55">
                  <c:v>43094</c:v>
                </c:pt>
                <c:pt idx="56">
                  <c:v>43095</c:v>
                </c:pt>
                <c:pt idx="57">
                  <c:v>43096</c:v>
                </c:pt>
                <c:pt idx="58">
                  <c:v>43097</c:v>
                </c:pt>
                <c:pt idx="59">
                  <c:v>43098</c:v>
                </c:pt>
                <c:pt idx="60">
                  <c:v>43101</c:v>
                </c:pt>
                <c:pt idx="61">
                  <c:v>43102</c:v>
                </c:pt>
                <c:pt idx="62">
                  <c:v>43103</c:v>
                </c:pt>
                <c:pt idx="63">
                  <c:v>43104</c:v>
                </c:pt>
                <c:pt idx="64">
                  <c:v>43105</c:v>
                </c:pt>
                <c:pt idx="65">
                  <c:v>43108</c:v>
                </c:pt>
                <c:pt idx="66">
                  <c:v>43109</c:v>
                </c:pt>
                <c:pt idx="67">
                  <c:v>43110</c:v>
                </c:pt>
                <c:pt idx="68">
                  <c:v>43111</c:v>
                </c:pt>
                <c:pt idx="69">
                  <c:v>43112</c:v>
                </c:pt>
                <c:pt idx="70">
                  <c:v>43115</c:v>
                </c:pt>
                <c:pt idx="71">
                  <c:v>43116</c:v>
                </c:pt>
                <c:pt idx="72">
                  <c:v>43117</c:v>
                </c:pt>
                <c:pt idx="73">
                  <c:v>43118</c:v>
                </c:pt>
                <c:pt idx="74">
                  <c:v>43119</c:v>
                </c:pt>
                <c:pt idx="75">
                  <c:v>43122</c:v>
                </c:pt>
                <c:pt idx="76">
                  <c:v>43123</c:v>
                </c:pt>
                <c:pt idx="77">
                  <c:v>43124</c:v>
                </c:pt>
                <c:pt idx="78">
                  <c:v>43125</c:v>
                </c:pt>
                <c:pt idx="79">
                  <c:v>43126</c:v>
                </c:pt>
                <c:pt idx="80">
                  <c:v>43129</c:v>
                </c:pt>
                <c:pt idx="81">
                  <c:v>43130</c:v>
                </c:pt>
                <c:pt idx="82">
                  <c:v>43131</c:v>
                </c:pt>
                <c:pt idx="83">
                  <c:v>43132</c:v>
                </c:pt>
                <c:pt idx="84">
                  <c:v>43133</c:v>
                </c:pt>
                <c:pt idx="85">
                  <c:v>43136</c:v>
                </c:pt>
                <c:pt idx="86">
                  <c:v>43137</c:v>
                </c:pt>
                <c:pt idx="87">
                  <c:v>43138</c:v>
                </c:pt>
                <c:pt idx="88">
                  <c:v>43139</c:v>
                </c:pt>
                <c:pt idx="89">
                  <c:v>43140</c:v>
                </c:pt>
                <c:pt idx="90">
                  <c:v>43143</c:v>
                </c:pt>
                <c:pt idx="91">
                  <c:v>43144</c:v>
                </c:pt>
                <c:pt idx="92">
                  <c:v>43145</c:v>
                </c:pt>
                <c:pt idx="93">
                  <c:v>43146</c:v>
                </c:pt>
                <c:pt idx="94">
                  <c:v>43147</c:v>
                </c:pt>
                <c:pt idx="95">
                  <c:v>43150</c:v>
                </c:pt>
                <c:pt idx="96">
                  <c:v>43151</c:v>
                </c:pt>
                <c:pt idx="97">
                  <c:v>43152</c:v>
                </c:pt>
                <c:pt idx="98">
                  <c:v>43153</c:v>
                </c:pt>
                <c:pt idx="99">
                  <c:v>43154</c:v>
                </c:pt>
                <c:pt idx="100">
                  <c:v>43157</c:v>
                </c:pt>
                <c:pt idx="101">
                  <c:v>43158</c:v>
                </c:pt>
                <c:pt idx="102">
                  <c:v>43159</c:v>
                </c:pt>
                <c:pt idx="103">
                  <c:v>43160</c:v>
                </c:pt>
                <c:pt idx="104">
                  <c:v>43161</c:v>
                </c:pt>
                <c:pt idx="105">
                  <c:v>43164</c:v>
                </c:pt>
                <c:pt idx="106">
                  <c:v>43165</c:v>
                </c:pt>
                <c:pt idx="107">
                  <c:v>43166</c:v>
                </c:pt>
                <c:pt idx="108">
                  <c:v>43167</c:v>
                </c:pt>
                <c:pt idx="109">
                  <c:v>43168</c:v>
                </c:pt>
                <c:pt idx="110">
                  <c:v>43171</c:v>
                </c:pt>
                <c:pt idx="111">
                  <c:v>43172</c:v>
                </c:pt>
                <c:pt idx="112">
                  <c:v>43173</c:v>
                </c:pt>
                <c:pt idx="113">
                  <c:v>43174</c:v>
                </c:pt>
                <c:pt idx="114">
                  <c:v>43175</c:v>
                </c:pt>
                <c:pt idx="115">
                  <c:v>43178</c:v>
                </c:pt>
                <c:pt idx="116">
                  <c:v>43179</c:v>
                </c:pt>
                <c:pt idx="117">
                  <c:v>43180</c:v>
                </c:pt>
                <c:pt idx="118">
                  <c:v>43181</c:v>
                </c:pt>
                <c:pt idx="119">
                  <c:v>43182</c:v>
                </c:pt>
                <c:pt idx="120">
                  <c:v>43185</c:v>
                </c:pt>
                <c:pt idx="121">
                  <c:v>43186</c:v>
                </c:pt>
                <c:pt idx="122">
                  <c:v>43187</c:v>
                </c:pt>
                <c:pt idx="123">
                  <c:v>43188</c:v>
                </c:pt>
                <c:pt idx="124">
                  <c:v>43189</c:v>
                </c:pt>
                <c:pt idx="125">
                  <c:v>43192</c:v>
                </c:pt>
                <c:pt idx="126">
                  <c:v>43193</c:v>
                </c:pt>
                <c:pt idx="127">
                  <c:v>43194</c:v>
                </c:pt>
                <c:pt idx="128">
                  <c:v>43195</c:v>
                </c:pt>
                <c:pt idx="129">
                  <c:v>43196</c:v>
                </c:pt>
                <c:pt idx="130">
                  <c:v>43199</c:v>
                </c:pt>
                <c:pt idx="131">
                  <c:v>43200</c:v>
                </c:pt>
                <c:pt idx="132">
                  <c:v>43201</c:v>
                </c:pt>
                <c:pt idx="133">
                  <c:v>43202</c:v>
                </c:pt>
                <c:pt idx="134">
                  <c:v>43203</c:v>
                </c:pt>
                <c:pt idx="135">
                  <c:v>43206</c:v>
                </c:pt>
                <c:pt idx="136">
                  <c:v>43207</c:v>
                </c:pt>
                <c:pt idx="137">
                  <c:v>43208</c:v>
                </c:pt>
                <c:pt idx="138">
                  <c:v>43209</c:v>
                </c:pt>
                <c:pt idx="139">
                  <c:v>43210</c:v>
                </c:pt>
                <c:pt idx="140">
                  <c:v>43213</c:v>
                </c:pt>
                <c:pt idx="141">
                  <c:v>43214</c:v>
                </c:pt>
                <c:pt idx="142">
                  <c:v>43215</c:v>
                </c:pt>
                <c:pt idx="143">
                  <c:v>43216</c:v>
                </c:pt>
                <c:pt idx="144">
                  <c:v>43217</c:v>
                </c:pt>
                <c:pt idx="145">
                  <c:v>43220</c:v>
                </c:pt>
                <c:pt idx="146">
                  <c:v>43221</c:v>
                </c:pt>
                <c:pt idx="147">
                  <c:v>43222</c:v>
                </c:pt>
                <c:pt idx="148">
                  <c:v>43223</c:v>
                </c:pt>
                <c:pt idx="149">
                  <c:v>43224</c:v>
                </c:pt>
                <c:pt idx="150">
                  <c:v>43227</c:v>
                </c:pt>
                <c:pt idx="151">
                  <c:v>43228</c:v>
                </c:pt>
                <c:pt idx="152">
                  <c:v>43229</c:v>
                </c:pt>
                <c:pt idx="153">
                  <c:v>43230</c:v>
                </c:pt>
                <c:pt idx="154">
                  <c:v>43231</c:v>
                </c:pt>
                <c:pt idx="155">
                  <c:v>43234</c:v>
                </c:pt>
                <c:pt idx="156">
                  <c:v>43235</c:v>
                </c:pt>
                <c:pt idx="157">
                  <c:v>43236</c:v>
                </c:pt>
                <c:pt idx="158">
                  <c:v>43237</c:v>
                </c:pt>
                <c:pt idx="159">
                  <c:v>43238</c:v>
                </c:pt>
                <c:pt idx="160">
                  <c:v>43241</c:v>
                </c:pt>
                <c:pt idx="161">
                  <c:v>43242</c:v>
                </c:pt>
                <c:pt idx="162">
                  <c:v>43243</c:v>
                </c:pt>
                <c:pt idx="163">
                  <c:v>43244</c:v>
                </c:pt>
                <c:pt idx="164">
                  <c:v>43245</c:v>
                </c:pt>
                <c:pt idx="165">
                  <c:v>43248</c:v>
                </c:pt>
                <c:pt idx="166">
                  <c:v>43249</c:v>
                </c:pt>
                <c:pt idx="167">
                  <c:v>43250</c:v>
                </c:pt>
                <c:pt idx="168">
                  <c:v>43251</c:v>
                </c:pt>
                <c:pt idx="169">
                  <c:v>43252</c:v>
                </c:pt>
                <c:pt idx="170">
                  <c:v>43255</c:v>
                </c:pt>
                <c:pt idx="171">
                  <c:v>43256</c:v>
                </c:pt>
                <c:pt idx="172">
                  <c:v>43257</c:v>
                </c:pt>
                <c:pt idx="173">
                  <c:v>43258</c:v>
                </c:pt>
                <c:pt idx="174">
                  <c:v>43259</c:v>
                </c:pt>
                <c:pt idx="175">
                  <c:v>43262</c:v>
                </c:pt>
                <c:pt idx="176">
                  <c:v>43263</c:v>
                </c:pt>
                <c:pt idx="177">
                  <c:v>43264</c:v>
                </c:pt>
                <c:pt idx="178">
                  <c:v>43265</c:v>
                </c:pt>
                <c:pt idx="179">
                  <c:v>43266</c:v>
                </c:pt>
                <c:pt idx="180">
                  <c:v>43269</c:v>
                </c:pt>
                <c:pt idx="181">
                  <c:v>43270</c:v>
                </c:pt>
                <c:pt idx="182">
                  <c:v>43271</c:v>
                </c:pt>
                <c:pt idx="183">
                  <c:v>43272</c:v>
                </c:pt>
                <c:pt idx="184">
                  <c:v>43273</c:v>
                </c:pt>
                <c:pt idx="185">
                  <c:v>43276</c:v>
                </c:pt>
                <c:pt idx="186">
                  <c:v>43277</c:v>
                </c:pt>
                <c:pt idx="187">
                  <c:v>43278</c:v>
                </c:pt>
                <c:pt idx="188">
                  <c:v>43279</c:v>
                </c:pt>
                <c:pt idx="189">
                  <c:v>43280</c:v>
                </c:pt>
                <c:pt idx="190">
                  <c:v>43283</c:v>
                </c:pt>
                <c:pt idx="191">
                  <c:v>43284</c:v>
                </c:pt>
                <c:pt idx="192">
                  <c:v>43285</c:v>
                </c:pt>
              </c:numCache>
            </c:numRef>
          </c:cat>
          <c:val>
            <c:numRef>
              <c:f>'v5.0_65_1_100_0.001_200_100_201'!$Q$2:$Q$194</c:f>
              <c:numCache>
                <c:formatCode>General</c:formatCode>
                <c:ptCount val="193"/>
                <c:pt idx="0">
                  <c:v>314.30000013685202</c:v>
                </c:pt>
                <c:pt idx="1">
                  <c:v>320.14999975562</c:v>
                </c:pt>
                <c:pt idx="2">
                  <c:v>323.249999735355</c:v>
                </c:pt>
                <c:pt idx="3">
                  <c:v>325.64999967300798</c:v>
                </c:pt>
                <c:pt idx="4">
                  <c:v>325.300000194549</c:v>
                </c:pt>
                <c:pt idx="5">
                  <c:v>325.499999970197</c:v>
                </c:pt>
                <c:pt idx="6">
                  <c:v>325.79999975681301</c:v>
                </c:pt>
                <c:pt idx="7">
                  <c:v>325.85000028896297</c:v>
                </c:pt>
                <c:pt idx="8">
                  <c:v>324.099999979019</c:v>
                </c:pt>
                <c:pt idx="9">
                  <c:v>326.24999988520102</c:v>
                </c:pt>
                <c:pt idx="10">
                  <c:v>327.04999996274699</c:v>
                </c:pt>
                <c:pt idx="11">
                  <c:v>326.550000250697</c:v>
                </c:pt>
                <c:pt idx="12">
                  <c:v>326.75000024640502</c:v>
                </c:pt>
                <c:pt idx="13">
                  <c:v>323.75000016492601</c:v>
                </c:pt>
                <c:pt idx="14">
                  <c:v>326.84999948310798</c:v>
                </c:pt>
                <c:pt idx="15">
                  <c:v>327.45000070214201</c:v>
                </c:pt>
                <c:pt idx="16">
                  <c:v>331.05000031661899</c:v>
                </c:pt>
                <c:pt idx="17">
                  <c:v>336.549999285936</c:v>
                </c:pt>
                <c:pt idx="18">
                  <c:v>335.049999816894</c:v>
                </c:pt>
                <c:pt idx="19">
                  <c:v>336.35000037670102</c:v>
                </c:pt>
                <c:pt idx="20">
                  <c:v>334.14999951696302</c:v>
                </c:pt>
                <c:pt idx="21">
                  <c:v>333.74999954152099</c:v>
                </c:pt>
                <c:pt idx="22">
                  <c:v>335.24999870109502</c:v>
                </c:pt>
                <c:pt idx="23">
                  <c:v>333.65000125408102</c:v>
                </c:pt>
                <c:pt idx="24">
                  <c:v>332.89999999523098</c:v>
                </c:pt>
                <c:pt idx="25">
                  <c:v>331.54999870109498</c:v>
                </c:pt>
                <c:pt idx="26">
                  <c:v>331.300000793457</c:v>
                </c:pt>
                <c:pt idx="27">
                  <c:v>329.149999886751</c:v>
                </c:pt>
                <c:pt idx="28">
                  <c:v>331.30000036096499</c:v>
                </c:pt>
                <c:pt idx="29">
                  <c:v>330.95000031232797</c:v>
                </c:pt>
                <c:pt idx="30">
                  <c:v>329.45000051593701</c:v>
                </c:pt>
                <c:pt idx="31">
                  <c:v>330.84999985885599</c:v>
                </c:pt>
                <c:pt idx="32">
                  <c:v>332.55000061225797</c:v>
                </c:pt>
                <c:pt idx="33">
                  <c:v>331.44999977636297</c:v>
                </c:pt>
                <c:pt idx="34">
                  <c:v>332.24999935746098</c:v>
                </c:pt>
                <c:pt idx="35">
                  <c:v>325.89999957466102</c:v>
                </c:pt>
                <c:pt idx="36">
                  <c:v>327.70000043201401</c:v>
                </c:pt>
                <c:pt idx="37">
                  <c:v>327.69999941825802</c:v>
                </c:pt>
                <c:pt idx="38">
                  <c:v>322.25000019860198</c:v>
                </c:pt>
                <c:pt idx="39">
                  <c:v>321.84999993038099</c:v>
                </c:pt>
                <c:pt idx="40">
                  <c:v>324.99999967098199</c:v>
                </c:pt>
                <c:pt idx="41">
                  <c:v>326.59999948596902</c:v>
                </c:pt>
                <c:pt idx="42">
                  <c:v>321.64999963998798</c:v>
                </c:pt>
                <c:pt idx="43">
                  <c:v>320.69999982261601</c:v>
                </c:pt>
                <c:pt idx="44">
                  <c:v>321.40000066161099</c:v>
                </c:pt>
                <c:pt idx="45">
                  <c:v>321.49999993681899</c:v>
                </c:pt>
                <c:pt idx="46">
                  <c:v>320.45000012493102</c:v>
                </c:pt>
                <c:pt idx="47">
                  <c:v>322.84999995017</c:v>
                </c:pt>
                <c:pt idx="48">
                  <c:v>324.299999922513</c:v>
                </c:pt>
                <c:pt idx="49">
                  <c:v>322.75000006484902</c:v>
                </c:pt>
                <c:pt idx="50">
                  <c:v>324.149999659299</c:v>
                </c:pt>
                <c:pt idx="51">
                  <c:v>323.85000001323198</c:v>
                </c:pt>
                <c:pt idx="52">
                  <c:v>323.55000002956302</c:v>
                </c:pt>
                <c:pt idx="53">
                  <c:v>316.849999998942</c:v>
                </c:pt>
                <c:pt idx="54">
                  <c:v>318.50000014156097</c:v>
                </c:pt>
                <c:pt idx="55">
                  <c:v>318.49999986433897</c:v>
                </c:pt>
                <c:pt idx="56">
                  <c:v>317.45000010180399</c:v>
                </c:pt>
                <c:pt idx="57">
                  <c:v>321.20000026559802</c:v>
                </c:pt>
                <c:pt idx="58">
                  <c:v>325.65000036430303</c:v>
                </c:pt>
                <c:pt idx="59">
                  <c:v>325.64999964809402</c:v>
                </c:pt>
                <c:pt idx="60">
                  <c:v>325.64999964809402</c:v>
                </c:pt>
                <c:pt idx="61">
                  <c:v>326.49999963164299</c:v>
                </c:pt>
                <c:pt idx="62">
                  <c:v>327.69999982881501</c:v>
                </c:pt>
                <c:pt idx="63">
                  <c:v>325.000000321865</c:v>
                </c:pt>
                <c:pt idx="64">
                  <c:v>328.95000037765499</c:v>
                </c:pt>
                <c:pt idx="65">
                  <c:v>331.25000006866401</c:v>
                </c:pt>
                <c:pt idx="66">
                  <c:v>330.45000027096199</c:v>
                </c:pt>
                <c:pt idx="67">
                  <c:v>327.85000002533098</c:v>
                </c:pt>
                <c:pt idx="68">
                  <c:v>326.49999999931401</c:v>
                </c:pt>
                <c:pt idx="69">
                  <c:v>326.85000003054699</c:v>
                </c:pt>
                <c:pt idx="70">
                  <c:v>327.299999974071</c:v>
                </c:pt>
                <c:pt idx="71">
                  <c:v>330.50000015974001</c:v>
                </c:pt>
                <c:pt idx="72">
                  <c:v>329.20000019001901</c:v>
                </c:pt>
                <c:pt idx="73">
                  <c:v>329.400000089645</c:v>
                </c:pt>
                <c:pt idx="74">
                  <c:v>329.600000068545</c:v>
                </c:pt>
                <c:pt idx="75">
                  <c:v>326.249999984346</c:v>
                </c:pt>
                <c:pt idx="76">
                  <c:v>331.25000009036</c:v>
                </c:pt>
                <c:pt idx="77">
                  <c:v>331.60000016480598</c:v>
                </c:pt>
                <c:pt idx="78">
                  <c:v>334.29999999701897</c:v>
                </c:pt>
                <c:pt idx="79">
                  <c:v>335.95000013387198</c:v>
                </c:pt>
                <c:pt idx="80">
                  <c:v>338.50000022828499</c:v>
                </c:pt>
                <c:pt idx="81">
                  <c:v>333.899999928385</c:v>
                </c:pt>
                <c:pt idx="82">
                  <c:v>334.44999997186602</c:v>
                </c:pt>
                <c:pt idx="83">
                  <c:v>333.65000000663099</c:v>
                </c:pt>
                <c:pt idx="84">
                  <c:v>327.39999991011598</c:v>
                </c:pt>
                <c:pt idx="85">
                  <c:v>322.99999961686098</c:v>
                </c:pt>
                <c:pt idx="86">
                  <c:v>317.65000065565101</c:v>
                </c:pt>
                <c:pt idx="87">
                  <c:v>309.49999983429899</c:v>
                </c:pt>
                <c:pt idx="88">
                  <c:v>312.50000052451998</c:v>
                </c:pt>
                <c:pt idx="89">
                  <c:v>303.85000046253202</c:v>
                </c:pt>
                <c:pt idx="90">
                  <c:v>308.09999985218002</c:v>
                </c:pt>
                <c:pt idx="91">
                  <c:v>311.40000024127897</c:v>
                </c:pt>
                <c:pt idx="92">
                  <c:v>314.299999483823</c:v>
                </c:pt>
                <c:pt idx="93">
                  <c:v>314.30000003147097</c:v>
                </c:pt>
                <c:pt idx="94">
                  <c:v>314.299999731063</c:v>
                </c:pt>
                <c:pt idx="95">
                  <c:v>316.25000055599202</c:v>
                </c:pt>
                <c:pt idx="96">
                  <c:v>312.00000034093802</c:v>
                </c:pt>
                <c:pt idx="97">
                  <c:v>314.050000212192</c:v>
                </c:pt>
                <c:pt idx="98">
                  <c:v>311.850000355482</c:v>
                </c:pt>
                <c:pt idx="99">
                  <c:v>316.94999992132102</c:v>
                </c:pt>
                <c:pt idx="100">
                  <c:v>317.09999976205802</c:v>
                </c:pt>
                <c:pt idx="101">
                  <c:v>315.75000036191898</c:v>
                </c:pt>
                <c:pt idx="102">
                  <c:v>312.450000520706</c:v>
                </c:pt>
                <c:pt idx="103">
                  <c:v>312.44999985098798</c:v>
                </c:pt>
                <c:pt idx="104">
                  <c:v>308.14999969291603</c:v>
                </c:pt>
                <c:pt idx="105">
                  <c:v>303.849999904632</c:v>
                </c:pt>
                <c:pt idx="106">
                  <c:v>310.29999923610598</c:v>
                </c:pt>
                <c:pt idx="107">
                  <c:v>310.45000016522403</c:v>
                </c:pt>
                <c:pt idx="108">
                  <c:v>313.60000024008701</c:v>
                </c:pt>
                <c:pt idx="109">
                  <c:v>317.09999999117798</c:v>
                </c:pt>
                <c:pt idx="110">
                  <c:v>320.10000002443701</c:v>
                </c:pt>
                <c:pt idx="111">
                  <c:v>321.50000001315698</c:v>
                </c:pt>
                <c:pt idx="112">
                  <c:v>321.550000027149</c:v>
                </c:pt>
                <c:pt idx="113">
                  <c:v>322.84999995294203</c:v>
                </c:pt>
                <c:pt idx="114">
                  <c:v>321.99999998569399</c:v>
                </c:pt>
                <c:pt idx="115">
                  <c:v>319.85000013166598</c:v>
                </c:pt>
                <c:pt idx="116">
                  <c:v>321.30000005775599</c:v>
                </c:pt>
                <c:pt idx="117">
                  <c:v>321.60000003629898</c:v>
                </c:pt>
                <c:pt idx="118">
                  <c:v>322.09999998414497</c:v>
                </c:pt>
                <c:pt idx="119">
                  <c:v>311.49999965786901</c:v>
                </c:pt>
                <c:pt idx="120">
                  <c:v>314.50000018417802</c:v>
                </c:pt>
                <c:pt idx="121">
                  <c:v>315.15000000858299</c:v>
                </c:pt>
                <c:pt idx="122">
                  <c:v>310.65000028419399</c:v>
                </c:pt>
                <c:pt idx="123">
                  <c:v>314.45000010037398</c:v>
                </c:pt>
                <c:pt idx="124">
                  <c:v>314.55000016880001</c:v>
                </c:pt>
                <c:pt idx="125">
                  <c:v>313.450000192522</c:v>
                </c:pt>
                <c:pt idx="126">
                  <c:v>312.80000051498399</c:v>
                </c:pt>
                <c:pt idx="127">
                  <c:v>307.54999990415502</c:v>
                </c:pt>
                <c:pt idx="128">
                  <c:v>312.94999974965998</c:v>
                </c:pt>
                <c:pt idx="129">
                  <c:v>311.19999947118703</c:v>
                </c:pt>
                <c:pt idx="130">
                  <c:v>312.94999933242798</c:v>
                </c:pt>
                <c:pt idx="131">
                  <c:v>313.45000048112797</c:v>
                </c:pt>
                <c:pt idx="132">
                  <c:v>312.45000057864098</c:v>
                </c:pt>
                <c:pt idx="133">
                  <c:v>311.74999999761502</c:v>
                </c:pt>
                <c:pt idx="134">
                  <c:v>314.45000016868102</c:v>
                </c:pt>
                <c:pt idx="135">
                  <c:v>314.30000021767597</c:v>
                </c:pt>
                <c:pt idx="136">
                  <c:v>314.39999975919699</c:v>
                </c:pt>
                <c:pt idx="137">
                  <c:v>317.60000001049002</c:v>
                </c:pt>
                <c:pt idx="138">
                  <c:v>318.99999989032699</c:v>
                </c:pt>
                <c:pt idx="139">
                  <c:v>316.899999885559</c:v>
                </c:pt>
                <c:pt idx="140">
                  <c:v>317.10000027716097</c:v>
                </c:pt>
                <c:pt idx="141">
                  <c:v>315.34999936819003</c:v>
                </c:pt>
                <c:pt idx="142">
                  <c:v>312.94999986457799</c:v>
                </c:pt>
                <c:pt idx="143">
                  <c:v>317.45000009202897</c:v>
                </c:pt>
                <c:pt idx="144">
                  <c:v>320.15000054240198</c:v>
                </c:pt>
                <c:pt idx="145">
                  <c:v>321.65000048160499</c:v>
                </c:pt>
                <c:pt idx="146">
                  <c:v>321.64999980640403</c:v>
                </c:pt>
                <c:pt idx="147">
                  <c:v>319.75000077986698</c:v>
                </c:pt>
                <c:pt idx="148">
                  <c:v>317.99999951553298</c:v>
                </c:pt>
                <c:pt idx="149">
                  <c:v>316.44999984788802</c:v>
                </c:pt>
                <c:pt idx="150">
                  <c:v>316.45000011682498</c:v>
                </c:pt>
                <c:pt idx="151">
                  <c:v>314.050000014722</c:v>
                </c:pt>
                <c:pt idx="152">
                  <c:v>314.04999985575603</c:v>
                </c:pt>
                <c:pt idx="153">
                  <c:v>315.85000008344599</c:v>
                </c:pt>
                <c:pt idx="154">
                  <c:v>317.65000001955002</c:v>
                </c:pt>
                <c:pt idx="155">
                  <c:v>316.850000068903</c:v>
                </c:pt>
                <c:pt idx="156">
                  <c:v>313.74999995005101</c:v>
                </c:pt>
                <c:pt idx="157">
                  <c:v>314.90000000491699</c:v>
                </c:pt>
                <c:pt idx="158">
                  <c:v>313.40000003945801</c:v>
                </c:pt>
                <c:pt idx="159">
                  <c:v>314.74999998026999</c:v>
                </c:pt>
                <c:pt idx="160">
                  <c:v>315.09999996572702</c:v>
                </c:pt>
                <c:pt idx="161">
                  <c:v>315.10000004768301</c:v>
                </c:pt>
                <c:pt idx="162">
                  <c:v>317.14999992060598</c:v>
                </c:pt>
                <c:pt idx="163">
                  <c:v>316.54999985879601</c:v>
                </c:pt>
                <c:pt idx="164">
                  <c:v>317.30000000473098</c:v>
                </c:pt>
                <c:pt idx="165">
                  <c:v>318.09999997544202</c:v>
                </c:pt>
                <c:pt idx="166">
                  <c:v>314.89999997377299</c:v>
                </c:pt>
                <c:pt idx="167">
                  <c:v>307.55000007998899</c:v>
                </c:pt>
                <c:pt idx="168">
                  <c:v>309.14999985623302</c:v>
                </c:pt>
                <c:pt idx="169">
                  <c:v>311.40000006204798</c:v>
                </c:pt>
                <c:pt idx="170">
                  <c:v>313.14999979269498</c:v>
                </c:pt>
                <c:pt idx="171">
                  <c:v>313.74999997007802</c:v>
                </c:pt>
                <c:pt idx="172">
                  <c:v>313.75000011831497</c:v>
                </c:pt>
                <c:pt idx="173">
                  <c:v>316.84999999236999</c:v>
                </c:pt>
                <c:pt idx="174">
                  <c:v>313.30000016891898</c:v>
                </c:pt>
                <c:pt idx="175">
                  <c:v>316.150000065207</c:v>
                </c:pt>
                <c:pt idx="176">
                  <c:v>315.64999984204701</c:v>
                </c:pt>
                <c:pt idx="177">
                  <c:v>315.65000010901599</c:v>
                </c:pt>
                <c:pt idx="178">
                  <c:v>310.39999973452001</c:v>
                </c:pt>
                <c:pt idx="179">
                  <c:v>309.19999976158101</c:v>
                </c:pt>
                <c:pt idx="180">
                  <c:v>305.84999972081101</c:v>
                </c:pt>
                <c:pt idx="181">
                  <c:v>301.350000040054</c:v>
                </c:pt>
                <c:pt idx="182">
                  <c:v>304.20000052642803</c:v>
                </c:pt>
                <c:pt idx="183">
                  <c:v>300.749999345302</c:v>
                </c:pt>
                <c:pt idx="184">
                  <c:v>303.650000280141</c:v>
                </c:pt>
                <c:pt idx="185">
                  <c:v>303.25000013351399</c:v>
                </c:pt>
                <c:pt idx="186">
                  <c:v>302.400000263214</c:v>
                </c:pt>
                <c:pt idx="187">
                  <c:v>301.54999971985802</c:v>
                </c:pt>
                <c:pt idx="188">
                  <c:v>299.09999953031502</c:v>
                </c:pt>
                <c:pt idx="189">
                  <c:v>300.00000014948802</c:v>
                </c:pt>
                <c:pt idx="190">
                  <c:v>292.90000054693201</c:v>
                </c:pt>
                <c:pt idx="191">
                  <c:v>293.75000073623602</c:v>
                </c:pt>
                <c:pt idx="192">
                  <c:v>292.54999942850998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'v5.0_65_1_100_0.001_200_100_201'!$R$1</c:f>
              <c:strCache>
                <c:ptCount val="1"/>
                <c:pt idx="0">
                  <c:v>예측지수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'v5.0_65_1_100_0.001_200_100_201'!$N$2:$N$194</c:f>
              <c:numCache>
                <c:formatCode>m/d/yyyy</c:formatCode>
                <c:ptCount val="193"/>
                <c:pt idx="0">
                  <c:v>43017</c:v>
                </c:pt>
                <c:pt idx="1">
                  <c:v>43018</c:v>
                </c:pt>
                <c:pt idx="2">
                  <c:v>43019</c:v>
                </c:pt>
                <c:pt idx="3">
                  <c:v>43020</c:v>
                </c:pt>
                <c:pt idx="4">
                  <c:v>43021</c:v>
                </c:pt>
                <c:pt idx="5">
                  <c:v>43024</c:v>
                </c:pt>
                <c:pt idx="6">
                  <c:v>43025</c:v>
                </c:pt>
                <c:pt idx="7">
                  <c:v>43026</c:v>
                </c:pt>
                <c:pt idx="8">
                  <c:v>43027</c:v>
                </c:pt>
                <c:pt idx="9">
                  <c:v>43028</c:v>
                </c:pt>
                <c:pt idx="10">
                  <c:v>43031</c:v>
                </c:pt>
                <c:pt idx="11">
                  <c:v>43032</c:v>
                </c:pt>
                <c:pt idx="12">
                  <c:v>43033</c:v>
                </c:pt>
                <c:pt idx="13">
                  <c:v>43034</c:v>
                </c:pt>
                <c:pt idx="14">
                  <c:v>43035</c:v>
                </c:pt>
                <c:pt idx="15">
                  <c:v>43038</c:v>
                </c:pt>
                <c:pt idx="16">
                  <c:v>43039</c:v>
                </c:pt>
                <c:pt idx="17">
                  <c:v>43040</c:v>
                </c:pt>
                <c:pt idx="18">
                  <c:v>43041</c:v>
                </c:pt>
                <c:pt idx="19">
                  <c:v>43042</c:v>
                </c:pt>
                <c:pt idx="20">
                  <c:v>43045</c:v>
                </c:pt>
                <c:pt idx="21">
                  <c:v>43046</c:v>
                </c:pt>
                <c:pt idx="22">
                  <c:v>43047</c:v>
                </c:pt>
                <c:pt idx="23">
                  <c:v>43048</c:v>
                </c:pt>
                <c:pt idx="24">
                  <c:v>43049</c:v>
                </c:pt>
                <c:pt idx="25">
                  <c:v>43052</c:v>
                </c:pt>
                <c:pt idx="26">
                  <c:v>43053</c:v>
                </c:pt>
                <c:pt idx="27">
                  <c:v>43054</c:v>
                </c:pt>
                <c:pt idx="28">
                  <c:v>43055</c:v>
                </c:pt>
                <c:pt idx="29">
                  <c:v>43056</c:v>
                </c:pt>
                <c:pt idx="30">
                  <c:v>43059</c:v>
                </c:pt>
                <c:pt idx="31">
                  <c:v>43060</c:v>
                </c:pt>
                <c:pt idx="32">
                  <c:v>43061</c:v>
                </c:pt>
                <c:pt idx="33">
                  <c:v>43062</c:v>
                </c:pt>
                <c:pt idx="34">
                  <c:v>43063</c:v>
                </c:pt>
                <c:pt idx="35">
                  <c:v>43066</c:v>
                </c:pt>
                <c:pt idx="36">
                  <c:v>43067</c:v>
                </c:pt>
                <c:pt idx="37">
                  <c:v>43068</c:v>
                </c:pt>
                <c:pt idx="38">
                  <c:v>43069</c:v>
                </c:pt>
                <c:pt idx="39">
                  <c:v>43070</c:v>
                </c:pt>
                <c:pt idx="40">
                  <c:v>43073</c:v>
                </c:pt>
                <c:pt idx="41">
                  <c:v>43074</c:v>
                </c:pt>
                <c:pt idx="42">
                  <c:v>43075</c:v>
                </c:pt>
                <c:pt idx="43">
                  <c:v>43076</c:v>
                </c:pt>
                <c:pt idx="44">
                  <c:v>43077</c:v>
                </c:pt>
                <c:pt idx="45">
                  <c:v>43080</c:v>
                </c:pt>
                <c:pt idx="46">
                  <c:v>43081</c:v>
                </c:pt>
                <c:pt idx="47">
                  <c:v>43082</c:v>
                </c:pt>
                <c:pt idx="48">
                  <c:v>43083</c:v>
                </c:pt>
                <c:pt idx="49">
                  <c:v>43084</c:v>
                </c:pt>
                <c:pt idx="50">
                  <c:v>43087</c:v>
                </c:pt>
                <c:pt idx="51">
                  <c:v>43088</c:v>
                </c:pt>
                <c:pt idx="52">
                  <c:v>43089</c:v>
                </c:pt>
                <c:pt idx="53">
                  <c:v>43090</c:v>
                </c:pt>
                <c:pt idx="54">
                  <c:v>43091</c:v>
                </c:pt>
                <c:pt idx="55">
                  <c:v>43094</c:v>
                </c:pt>
                <c:pt idx="56">
                  <c:v>43095</c:v>
                </c:pt>
                <c:pt idx="57">
                  <c:v>43096</c:v>
                </c:pt>
                <c:pt idx="58">
                  <c:v>43097</c:v>
                </c:pt>
                <c:pt idx="59">
                  <c:v>43098</c:v>
                </c:pt>
                <c:pt idx="60">
                  <c:v>43101</c:v>
                </c:pt>
                <c:pt idx="61">
                  <c:v>43102</c:v>
                </c:pt>
                <c:pt idx="62">
                  <c:v>43103</c:v>
                </c:pt>
                <c:pt idx="63">
                  <c:v>43104</c:v>
                </c:pt>
                <c:pt idx="64">
                  <c:v>43105</c:v>
                </c:pt>
                <c:pt idx="65">
                  <c:v>43108</c:v>
                </c:pt>
                <c:pt idx="66">
                  <c:v>43109</c:v>
                </c:pt>
                <c:pt idx="67">
                  <c:v>43110</c:v>
                </c:pt>
                <c:pt idx="68">
                  <c:v>43111</c:v>
                </c:pt>
                <c:pt idx="69">
                  <c:v>43112</c:v>
                </c:pt>
                <c:pt idx="70">
                  <c:v>43115</c:v>
                </c:pt>
                <c:pt idx="71">
                  <c:v>43116</c:v>
                </c:pt>
                <c:pt idx="72">
                  <c:v>43117</c:v>
                </c:pt>
                <c:pt idx="73">
                  <c:v>43118</c:v>
                </c:pt>
                <c:pt idx="74">
                  <c:v>43119</c:v>
                </c:pt>
                <c:pt idx="75">
                  <c:v>43122</c:v>
                </c:pt>
                <c:pt idx="76">
                  <c:v>43123</c:v>
                </c:pt>
                <c:pt idx="77">
                  <c:v>43124</c:v>
                </c:pt>
                <c:pt idx="78">
                  <c:v>43125</c:v>
                </c:pt>
                <c:pt idx="79">
                  <c:v>43126</c:v>
                </c:pt>
                <c:pt idx="80">
                  <c:v>43129</c:v>
                </c:pt>
                <c:pt idx="81">
                  <c:v>43130</c:v>
                </c:pt>
                <c:pt idx="82">
                  <c:v>43131</c:v>
                </c:pt>
                <c:pt idx="83">
                  <c:v>43132</c:v>
                </c:pt>
                <c:pt idx="84">
                  <c:v>43133</c:v>
                </c:pt>
                <c:pt idx="85">
                  <c:v>43136</c:v>
                </c:pt>
                <c:pt idx="86">
                  <c:v>43137</c:v>
                </c:pt>
                <c:pt idx="87">
                  <c:v>43138</c:v>
                </c:pt>
                <c:pt idx="88">
                  <c:v>43139</c:v>
                </c:pt>
                <c:pt idx="89">
                  <c:v>43140</c:v>
                </c:pt>
                <c:pt idx="90">
                  <c:v>43143</c:v>
                </c:pt>
                <c:pt idx="91">
                  <c:v>43144</c:v>
                </c:pt>
                <c:pt idx="92">
                  <c:v>43145</c:v>
                </c:pt>
                <c:pt idx="93">
                  <c:v>43146</c:v>
                </c:pt>
                <c:pt idx="94">
                  <c:v>43147</c:v>
                </c:pt>
                <c:pt idx="95">
                  <c:v>43150</c:v>
                </c:pt>
                <c:pt idx="96">
                  <c:v>43151</c:v>
                </c:pt>
                <c:pt idx="97">
                  <c:v>43152</c:v>
                </c:pt>
                <c:pt idx="98">
                  <c:v>43153</c:v>
                </c:pt>
                <c:pt idx="99">
                  <c:v>43154</c:v>
                </c:pt>
                <c:pt idx="100">
                  <c:v>43157</c:v>
                </c:pt>
                <c:pt idx="101">
                  <c:v>43158</c:v>
                </c:pt>
                <c:pt idx="102">
                  <c:v>43159</c:v>
                </c:pt>
                <c:pt idx="103">
                  <c:v>43160</c:v>
                </c:pt>
                <c:pt idx="104">
                  <c:v>43161</c:v>
                </c:pt>
                <c:pt idx="105">
                  <c:v>43164</c:v>
                </c:pt>
                <c:pt idx="106">
                  <c:v>43165</c:v>
                </c:pt>
                <c:pt idx="107">
                  <c:v>43166</c:v>
                </c:pt>
                <c:pt idx="108">
                  <c:v>43167</c:v>
                </c:pt>
                <c:pt idx="109">
                  <c:v>43168</c:v>
                </c:pt>
                <c:pt idx="110">
                  <c:v>43171</c:v>
                </c:pt>
                <c:pt idx="111">
                  <c:v>43172</c:v>
                </c:pt>
                <c:pt idx="112">
                  <c:v>43173</c:v>
                </c:pt>
                <c:pt idx="113">
                  <c:v>43174</c:v>
                </c:pt>
                <c:pt idx="114">
                  <c:v>43175</c:v>
                </c:pt>
                <c:pt idx="115">
                  <c:v>43178</c:v>
                </c:pt>
                <c:pt idx="116">
                  <c:v>43179</c:v>
                </c:pt>
                <c:pt idx="117">
                  <c:v>43180</c:v>
                </c:pt>
                <c:pt idx="118">
                  <c:v>43181</c:v>
                </c:pt>
                <c:pt idx="119">
                  <c:v>43182</c:v>
                </c:pt>
                <c:pt idx="120">
                  <c:v>43185</c:v>
                </c:pt>
                <c:pt idx="121">
                  <c:v>43186</c:v>
                </c:pt>
                <c:pt idx="122">
                  <c:v>43187</c:v>
                </c:pt>
                <c:pt idx="123">
                  <c:v>43188</c:v>
                </c:pt>
                <c:pt idx="124">
                  <c:v>43189</c:v>
                </c:pt>
                <c:pt idx="125">
                  <c:v>43192</c:v>
                </c:pt>
                <c:pt idx="126">
                  <c:v>43193</c:v>
                </c:pt>
                <c:pt idx="127">
                  <c:v>43194</c:v>
                </c:pt>
                <c:pt idx="128">
                  <c:v>43195</c:v>
                </c:pt>
                <c:pt idx="129">
                  <c:v>43196</c:v>
                </c:pt>
                <c:pt idx="130">
                  <c:v>43199</c:v>
                </c:pt>
                <c:pt idx="131">
                  <c:v>43200</c:v>
                </c:pt>
                <c:pt idx="132">
                  <c:v>43201</c:v>
                </c:pt>
                <c:pt idx="133">
                  <c:v>43202</c:v>
                </c:pt>
                <c:pt idx="134">
                  <c:v>43203</c:v>
                </c:pt>
                <c:pt idx="135">
                  <c:v>43206</c:v>
                </c:pt>
                <c:pt idx="136">
                  <c:v>43207</c:v>
                </c:pt>
                <c:pt idx="137">
                  <c:v>43208</c:v>
                </c:pt>
                <c:pt idx="138">
                  <c:v>43209</c:v>
                </c:pt>
                <c:pt idx="139">
                  <c:v>43210</c:v>
                </c:pt>
                <c:pt idx="140">
                  <c:v>43213</c:v>
                </c:pt>
                <c:pt idx="141">
                  <c:v>43214</c:v>
                </c:pt>
                <c:pt idx="142">
                  <c:v>43215</c:v>
                </c:pt>
                <c:pt idx="143">
                  <c:v>43216</c:v>
                </c:pt>
                <c:pt idx="144">
                  <c:v>43217</c:v>
                </c:pt>
                <c:pt idx="145">
                  <c:v>43220</c:v>
                </c:pt>
                <c:pt idx="146">
                  <c:v>43221</c:v>
                </c:pt>
                <c:pt idx="147">
                  <c:v>43222</c:v>
                </c:pt>
                <c:pt idx="148">
                  <c:v>43223</c:v>
                </c:pt>
                <c:pt idx="149">
                  <c:v>43224</c:v>
                </c:pt>
                <c:pt idx="150">
                  <c:v>43227</c:v>
                </c:pt>
                <c:pt idx="151">
                  <c:v>43228</c:v>
                </c:pt>
                <c:pt idx="152">
                  <c:v>43229</c:v>
                </c:pt>
                <c:pt idx="153">
                  <c:v>43230</c:v>
                </c:pt>
                <c:pt idx="154">
                  <c:v>43231</c:v>
                </c:pt>
                <c:pt idx="155">
                  <c:v>43234</c:v>
                </c:pt>
                <c:pt idx="156">
                  <c:v>43235</c:v>
                </c:pt>
                <c:pt idx="157">
                  <c:v>43236</c:v>
                </c:pt>
                <c:pt idx="158">
                  <c:v>43237</c:v>
                </c:pt>
                <c:pt idx="159">
                  <c:v>43238</c:v>
                </c:pt>
                <c:pt idx="160">
                  <c:v>43241</c:v>
                </c:pt>
                <c:pt idx="161">
                  <c:v>43242</c:v>
                </c:pt>
                <c:pt idx="162">
                  <c:v>43243</c:v>
                </c:pt>
                <c:pt idx="163">
                  <c:v>43244</c:v>
                </c:pt>
                <c:pt idx="164">
                  <c:v>43245</c:v>
                </c:pt>
                <c:pt idx="165">
                  <c:v>43248</c:v>
                </c:pt>
                <c:pt idx="166">
                  <c:v>43249</c:v>
                </c:pt>
                <c:pt idx="167">
                  <c:v>43250</c:v>
                </c:pt>
                <c:pt idx="168">
                  <c:v>43251</c:v>
                </c:pt>
                <c:pt idx="169">
                  <c:v>43252</c:v>
                </c:pt>
                <c:pt idx="170">
                  <c:v>43255</c:v>
                </c:pt>
                <c:pt idx="171">
                  <c:v>43256</c:v>
                </c:pt>
                <c:pt idx="172">
                  <c:v>43257</c:v>
                </c:pt>
                <c:pt idx="173">
                  <c:v>43258</c:v>
                </c:pt>
                <c:pt idx="174">
                  <c:v>43259</c:v>
                </c:pt>
                <c:pt idx="175">
                  <c:v>43262</c:v>
                </c:pt>
                <c:pt idx="176">
                  <c:v>43263</c:v>
                </c:pt>
                <c:pt idx="177">
                  <c:v>43264</c:v>
                </c:pt>
                <c:pt idx="178">
                  <c:v>43265</c:v>
                </c:pt>
                <c:pt idx="179">
                  <c:v>43266</c:v>
                </c:pt>
                <c:pt idx="180">
                  <c:v>43269</c:v>
                </c:pt>
                <c:pt idx="181">
                  <c:v>43270</c:v>
                </c:pt>
                <c:pt idx="182">
                  <c:v>43271</c:v>
                </c:pt>
                <c:pt idx="183">
                  <c:v>43272</c:v>
                </c:pt>
                <c:pt idx="184">
                  <c:v>43273</c:v>
                </c:pt>
                <c:pt idx="185">
                  <c:v>43276</c:v>
                </c:pt>
                <c:pt idx="186">
                  <c:v>43277</c:v>
                </c:pt>
                <c:pt idx="187">
                  <c:v>43278</c:v>
                </c:pt>
                <c:pt idx="188">
                  <c:v>43279</c:v>
                </c:pt>
                <c:pt idx="189">
                  <c:v>43280</c:v>
                </c:pt>
                <c:pt idx="190">
                  <c:v>43283</c:v>
                </c:pt>
                <c:pt idx="191">
                  <c:v>43284</c:v>
                </c:pt>
                <c:pt idx="192">
                  <c:v>43285</c:v>
                </c:pt>
              </c:numCache>
            </c:numRef>
          </c:cat>
          <c:val>
            <c:numRef>
              <c:f>'v5.0_65_1_100_0.001_200_100_201'!$R$2:$R$194</c:f>
              <c:numCache>
                <c:formatCode>General</c:formatCode>
                <c:ptCount val="193"/>
                <c:pt idx="0">
                  <c:v>316.20954801750179</c:v>
                </c:pt>
                <c:pt idx="1">
                  <c:v>317.2767884081602</c:v>
                </c:pt>
                <c:pt idx="2">
                  <c:v>328.51897231292725</c:v>
                </c:pt>
                <c:pt idx="3">
                  <c:v>330.45237700724601</c:v>
                </c:pt>
                <c:pt idx="4">
                  <c:v>343.0410003528595</c:v>
                </c:pt>
                <c:pt idx="5">
                  <c:v>333.71477001905441</c:v>
                </c:pt>
                <c:pt idx="6">
                  <c:v>330.72389330565926</c:v>
                </c:pt>
                <c:pt idx="7">
                  <c:v>320.04898025494811</c:v>
                </c:pt>
                <c:pt idx="8">
                  <c:v>326.79182675457002</c:v>
                </c:pt>
                <c:pt idx="9">
                  <c:v>337.11740171623228</c:v>
                </c:pt>
                <c:pt idx="10">
                  <c:v>341.4140596568584</c:v>
                </c:pt>
                <c:pt idx="11">
                  <c:v>337.87103098154063</c:v>
                </c:pt>
                <c:pt idx="12">
                  <c:v>333.42064800643919</c:v>
                </c:pt>
                <c:pt idx="13">
                  <c:v>342.02625161838529</c:v>
                </c:pt>
                <c:pt idx="14">
                  <c:v>336.58180298566816</c:v>
                </c:pt>
                <c:pt idx="15">
                  <c:v>329.57278218960761</c:v>
                </c:pt>
                <c:pt idx="16">
                  <c:v>331.46936017632487</c:v>
                </c:pt>
                <c:pt idx="17">
                  <c:v>320.55869119489188</c:v>
                </c:pt>
                <c:pt idx="18">
                  <c:v>324.4329163100719</c:v>
                </c:pt>
                <c:pt idx="19">
                  <c:v>315.51808926135305</c:v>
                </c:pt>
                <c:pt idx="20">
                  <c:v>315.12683029228447</c:v>
                </c:pt>
                <c:pt idx="21">
                  <c:v>318.65536021155117</c:v>
                </c:pt>
                <c:pt idx="22">
                  <c:v>317.15394365262983</c:v>
                </c:pt>
                <c:pt idx="23">
                  <c:v>324.3893721652031</c:v>
                </c:pt>
                <c:pt idx="24">
                  <c:v>320.74444709300991</c:v>
                </c:pt>
                <c:pt idx="25">
                  <c:v>320.2916134777069</c:v>
                </c:pt>
                <c:pt idx="26">
                  <c:v>321.43212635231021</c:v>
                </c:pt>
                <c:pt idx="27">
                  <c:v>318.86320632696152</c:v>
                </c:pt>
                <c:pt idx="28">
                  <c:v>326.23607461500166</c:v>
                </c:pt>
                <c:pt idx="29">
                  <c:v>328.72630011916158</c:v>
                </c:pt>
                <c:pt idx="30">
                  <c:v>328.40711350250245</c:v>
                </c:pt>
                <c:pt idx="31">
                  <c:v>333.26537504768368</c:v>
                </c:pt>
                <c:pt idx="32">
                  <c:v>327.39156262207035</c:v>
                </c:pt>
                <c:pt idx="33">
                  <c:v>325.67797542190556</c:v>
                </c:pt>
                <c:pt idx="34">
                  <c:v>327.16142192959785</c:v>
                </c:pt>
                <c:pt idx="35">
                  <c:v>324.25034674167631</c:v>
                </c:pt>
                <c:pt idx="36">
                  <c:v>319.06544020509716</c:v>
                </c:pt>
                <c:pt idx="37">
                  <c:v>323.38516622543335</c:v>
                </c:pt>
                <c:pt idx="38">
                  <c:v>323.86043061733244</c:v>
                </c:pt>
                <c:pt idx="39">
                  <c:v>319.34563048124312</c:v>
                </c:pt>
                <c:pt idx="40">
                  <c:v>313.60214159488675</c:v>
                </c:pt>
                <c:pt idx="41">
                  <c:v>314.78367894458768</c:v>
                </c:pt>
                <c:pt idx="42">
                  <c:v>316.40288156652451</c:v>
                </c:pt>
                <c:pt idx="43">
                  <c:v>310.62608126258846</c:v>
                </c:pt>
                <c:pt idx="44">
                  <c:v>321.20666387677193</c:v>
                </c:pt>
                <c:pt idx="45">
                  <c:v>312.8897974359989</c:v>
                </c:pt>
                <c:pt idx="46">
                  <c:v>315.31529571199417</c:v>
                </c:pt>
                <c:pt idx="47">
                  <c:v>305.41202197963003</c:v>
                </c:pt>
                <c:pt idx="48">
                  <c:v>300.58817638993264</c:v>
                </c:pt>
                <c:pt idx="49">
                  <c:v>303.49816905021669</c:v>
                </c:pt>
                <c:pt idx="50">
                  <c:v>304.18973295545578</c:v>
                </c:pt>
                <c:pt idx="51">
                  <c:v>301.66105889511113</c:v>
                </c:pt>
                <c:pt idx="52">
                  <c:v>300.15982321357728</c:v>
                </c:pt>
                <c:pt idx="53">
                  <c:v>315.85675428817797</c:v>
                </c:pt>
                <c:pt idx="54">
                  <c:v>314.68700744472443</c:v>
                </c:pt>
                <c:pt idx="55">
                  <c:v>319.71185603284835</c:v>
                </c:pt>
                <c:pt idx="56">
                  <c:v>328.11447433662414</c:v>
                </c:pt>
                <c:pt idx="57">
                  <c:v>324.05801668739315</c:v>
                </c:pt>
                <c:pt idx="58">
                  <c:v>322.9616169652939</c:v>
                </c:pt>
                <c:pt idx="59">
                  <c:v>320.8857713103294</c:v>
                </c:pt>
                <c:pt idx="60">
                  <c:v>326.95670048332215</c:v>
                </c:pt>
                <c:pt idx="61">
                  <c:v>325.82616574287414</c:v>
                </c:pt>
                <c:pt idx="62">
                  <c:v>326.89126427936554</c:v>
                </c:pt>
                <c:pt idx="63">
                  <c:v>327.35455715942385</c:v>
                </c:pt>
                <c:pt idx="64">
                  <c:v>327.14928932380678</c:v>
                </c:pt>
                <c:pt idx="65">
                  <c:v>327.79781093263625</c:v>
                </c:pt>
                <c:pt idx="66">
                  <c:v>329.15668572616573</c:v>
                </c:pt>
                <c:pt idx="67">
                  <c:v>331.5098808485269</c:v>
                </c:pt>
                <c:pt idx="68">
                  <c:v>341.85989012718198</c:v>
                </c:pt>
                <c:pt idx="69">
                  <c:v>336.10993601226807</c:v>
                </c:pt>
                <c:pt idx="70">
                  <c:v>331.30655344247816</c:v>
                </c:pt>
                <c:pt idx="71">
                  <c:v>330.67716612052919</c:v>
                </c:pt>
                <c:pt idx="72">
                  <c:v>329.99096043694021</c:v>
                </c:pt>
                <c:pt idx="73">
                  <c:v>329.06454535746576</c:v>
                </c:pt>
                <c:pt idx="74">
                  <c:v>341.51461023688313</c:v>
                </c:pt>
                <c:pt idx="75">
                  <c:v>337.41886072492599</c:v>
                </c:pt>
                <c:pt idx="76">
                  <c:v>338.6782483599186</c:v>
                </c:pt>
                <c:pt idx="77">
                  <c:v>339.43136005818843</c:v>
                </c:pt>
                <c:pt idx="78">
                  <c:v>346.04779897928233</c:v>
                </c:pt>
                <c:pt idx="79">
                  <c:v>341.8157523508072</c:v>
                </c:pt>
                <c:pt idx="80">
                  <c:v>332.91291286468504</c:v>
                </c:pt>
                <c:pt idx="81">
                  <c:v>340.19816413271428</c:v>
                </c:pt>
                <c:pt idx="82">
                  <c:v>334.27826439094542</c:v>
                </c:pt>
                <c:pt idx="83">
                  <c:v>332.63559591975809</c:v>
                </c:pt>
                <c:pt idx="84">
                  <c:v>325.01424676775935</c:v>
                </c:pt>
                <c:pt idx="85">
                  <c:v>331.0373494713902</c:v>
                </c:pt>
                <c:pt idx="86">
                  <c:v>334.57850779350849</c:v>
                </c:pt>
                <c:pt idx="87">
                  <c:v>337.67196992352604</c:v>
                </c:pt>
                <c:pt idx="88">
                  <c:v>332.75376165264845</c:v>
                </c:pt>
                <c:pt idx="89">
                  <c:v>326.27786749422546</c:v>
                </c:pt>
                <c:pt idx="90">
                  <c:v>318.23336382460593</c:v>
                </c:pt>
                <c:pt idx="91">
                  <c:v>320.38435984230046</c:v>
                </c:pt>
                <c:pt idx="92">
                  <c:v>315.75026236629486</c:v>
                </c:pt>
                <c:pt idx="93">
                  <c:v>316.12399266529087</c:v>
                </c:pt>
                <c:pt idx="94">
                  <c:v>324.23744593787194</c:v>
                </c:pt>
                <c:pt idx="95">
                  <c:v>326.38990329828857</c:v>
                </c:pt>
                <c:pt idx="96">
                  <c:v>328.63809971341493</c:v>
                </c:pt>
                <c:pt idx="97">
                  <c:v>331.59958207672838</c:v>
                </c:pt>
                <c:pt idx="98">
                  <c:v>335.02743759679794</c:v>
                </c:pt>
                <c:pt idx="99">
                  <c:v>337.30964508622884</c:v>
                </c:pt>
                <c:pt idx="100">
                  <c:v>332.0635577669143</c:v>
                </c:pt>
                <c:pt idx="101">
                  <c:v>339.17754502224921</c:v>
                </c:pt>
                <c:pt idx="102">
                  <c:v>339.69217408704753</c:v>
                </c:pt>
                <c:pt idx="103">
                  <c:v>318.36840130448343</c:v>
                </c:pt>
                <c:pt idx="104">
                  <c:v>317.47799731463198</c:v>
                </c:pt>
                <c:pt idx="105">
                  <c:v>318.26280128955841</c:v>
                </c:pt>
                <c:pt idx="106">
                  <c:v>324.08271691834926</c:v>
                </c:pt>
                <c:pt idx="107">
                  <c:v>319.97406460696459</c:v>
                </c:pt>
                <c:pt idx="108">
                  <c:v>319.25760719168187</c:v>
                </c:pt>
                <c:pt idx="109">
                  <c:v>314.7963270945549</c:v>
                </c:pt>
                <c:pt idx="110">
                  <c:v>318.07970409154893</c:v>
                </c:pt>
                <c:pt idx="111">
                  <c:v>318.83178978228568</c:v>
                </c:pt>
                <c:pt idx="112">
                  <c:v>317.47090023678544</c:v>
                </c:pt>
                <c:pt idx="113">
                  <c:v>324.42155724580584</c:v>
                </c:pt>
                <c:pt idx="114">
                  <c:v>333.12206995725631</c:v>
                </c:pt>
                <c:pt idx="115">
                  <c:v>335.30975906252854</c:v>
                </c:pt>
                <c:pt idx="116">
                  <c:v>336.74381490182878</c:v>
                </c:pt>
                <c:pt idx="117">
                  <c:v>341.22619161272047</c:v>
                </c:pt>
                <c:pt idx="118">
                  <c:v>334.70947952580457</c:v>
                </c:pt>
                <c:pt idx="119">
                  <c:v>337.80934498310086</c:v>
                </c:pt>
                <c:pt idx="120">
                  <c:v>337.12950232028959</c:v>
                </c:pt>
                <c:pt idx="121">
                  <c:v>333.70488221144677</c:v>
                </c:pt>
                <c:pt idx="122">
                  <c:v>351.23539614486691</c:v>
                </c:pt>
                <c:pt idx="123">
                  <c:v>353.27265900421139</c:v>
                </c:pt>
                <c:pt idx="124">
                  <c:v>354.14085941505425</c:v>
                </c:pt>
                <c:pt idx="125">
                  <c:v>335.13993956708902</c:v>
                </c:pt>
                <c:pt idx="126">
                  <c:v>335.58526660203933</c:v>
                </c:pt>
                <c:pt idx="127">
                  <c:v>332.25103205287456</c:v>
                </c:pt>
                <c:pt idx="128">
                  <c:v>321.97209919989109</c:v>
                </c:pt>
                <c:pt idx="129">
                  <c:v>323.17669066375493</c:v>
                </c:pt>
                <c:pt idx="130">
                  <c:v>312.5736495256424</c:v>
                </c:pt>
                <c:pt idx="131">
                  <c:v>310.07236870336533</c:v>
                </c:pt>
                <c:pt idx="132">
                  <c:v>314.70305791854861</c:v>
                </c:pt>
                <c:pt idx="133">
                  <c:v>319.58780939579009</c:v>
                </c:pt>
                <c:pt idx="134">
                  <c:v>307.62549042463309</c:v>
                </c:pt>
                <c:pt idx="135">
                  <c:v>311.42584418535233</c:v>
                </c:pt>
                <c:pt idx="136">
                  <c:v>318.40484385371207</c:v>
                </c:pt>
                <c:pt idx="137">
                  <c:v>315.52866660690307</c:v>
                </c:pt>
                <c:pt idx="138">
                  <c:v>319.37266926383973</c:v>
                </c:pt>
                <c:pt idx="139">
                  <c:v>325.44192665100098</c:v>
                </c:pt>
                <c:pt idx="140">
                  <c:v>319.74564933478831</c:v>
                </c:pt>
                <c:pt idx="141">
                  <c:v>324.51310737431049</c:v>
                </c:pt>
                <c:pt idx="142">
                  <c:v>327.31109769105916</c:v>
                </c:pt>
                <c:pt idx="143">
                  <c:v>331.78706077623366</c:v>
                </c:pt>
                <c:pt idx="144">
                  <c:v>337.9178060451448</c:v>
                </c:pt>
                <c:pt idx="145">
                  <c:v>347.01403720736499</c:v>
                </c:pt>
                <c:pt idx="146">
                  <c:v>356.66729484844205</c:v>
                </c:pt>
                <c:pt idx="147">
                  <c:v>359.84715015506742</c:v>
                </c:pt>
                <c:pt idx="148">
                  <c:v>352.54638651251787</c:v>
                </c:pt>
                <c:pt idx="149">
                  <c:v>342.62708525943754</c:v>
                </c:pt>
                <c:pt idx="150">
                  <c:v>335.31293800830838</c:v>
                </c:pt>
                <c:pt idx="151">
                  <c:v>336.46642053771018</c:v>
                </c:pt>
                <c:pt idx="152">
                  <c:v>321.3566442120075</c:v>
                </c:pt>
                <c:pt idx="153">
                  <c:v>321.03749439120293</c:v>
                </c:pt>
                <c:pt idx="154">
                  <c:v>314.80190540516378</c:v>
                </c:pt>
                <c:pt idx="155">
                  <c:v>314.5660757446289</c:v>
                </c:pt>
                <c:pt idx="156">
                  <c:v>319.12663195180892</c:v>
                </c:pt>
                <c:pt idx="157">
                  <c:v>321.1783563580513</c:v>
                </c:pt>
                <c:pt idx="158">
                  <c:v>315.43778507244588</c:v>
                </c:pt>
                <c:pt idx="159">
                  <c:v>312.0160626175404</c:v>
                </c:pt>
                <c:pt idx="160">
                  <c:v>309.15472618043424</c:v>
                </c:pt>
                <c:pt idx="161">
                  <c:v>304.26483982086182</c:v>
                </c:pt>
                <c:pt idx="162">
                  <c:v>308.38066201436521</c:v>
                </c:pt>
                <c:pt idx="163">
                  <c:v>308.43484686434272</c:v>
                </c:pt>
                <c:pt idx="164">
                  <c:v>321.22545290851588</c:v>
                </c:pt>
                <c:pt idx="165">
                  <c:v>323.53032341337206</c:v>
                </c:pt>
                <c:pt idx="166">
                  <c:v>319.49455030471086</c:v>
                </c:pt>
                <c:pt idx="167">
                  <c:v>302.55956532847881</c:v>
                </c:pt>
                <c:pt idx="168">
                  <c:v>297.22303571176531</c:v>
                </c:pt>
                <c:pt idx="169">
                  <c:v>302.5778300231695</c:v>
                </c:pt>
                <c:pt idx="170">
                  <c:v>301.6968906936944</c:v>
                </c:pt>
                <c:pt idx="171">
                  <c:v>308.57040429753067</c:v>
                </c:pt>
                <c:pt idx="172">
                  <c:v>299.41169109559058</c:v>
                </c:pt>
                <c:pt idx="173">
                  <c:v>300.24594183349615</c:v>
                </c:pt>
                <c:pt idx="174">
                  <c:v>317.48841003705564</c:v>
                </c:pt>
                <c:pt idx="175">
                  <c:v>326.65588565969472</c:v>
                </c:pt>
                <c:pt idx="176">
                  <c:v>323.13416784882543</c:v>
                </c:pt>
                <c:pt idx="177">
                  <c:v>320.63764021441341</c:v>
                </c:pt>
                <c:pt idx="178">
                  <c:v>323.64345307411253</c:v>
                </c:pt>
                <c:pt idx="179">
                  <c:v>321.94166369371118</c:v>
                </c:pt>
                <c:pt idx="180">
                  <c:v>320.16071930277349</c:v>
                </c:pt>
                <c:pt idx="181">
                  <c:v>330.62461993575096</c:v>
                </c:pt>
                <c:pt idx="182">
                  <c:v>323.01705406379699</c:v>
                </c:pt>
                <c:pt idx="183">
                  <c:v>329.48311428141591</c:v>
                </c:pt>
                <c:pt idx="184">
                  <c:v>336.73385397911073</c:v>
                </c:pt>
                <c:pt idx="185">
                  <c:v>367.47881254196153</c:v>
                </c:pt>
                <c:pt idx="186">
                  <c:v>346.49042225933073</c:v>
                </c:pt>
                <c:pt idx="187">
                  <c:v>336.36304694366453</c:v>
                </c:pt>
                <c:pt idx="188">
                  <c:v>321.37017851018902</c:v>
                </c:pt>
                <c:pt idx="189">
                  <c:v>315.53567380392553</c:v>
                </c:pt>
                <c:pt idx="190">
                  <c:v>303.55890684306621</c:v>
                </c:pt>
                <c:pt idx="191">
                  <c:v>296.48946178817755</c:v>
                </c:pt>
                <c:pt idx="192">
                  <c:v>291.54317834663391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55287040"/>
        <c:axId val="-792348816"/>
      </c:lineChart>
      <c:dateAx>
        <c:axId val="-1155287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92348816"/>
        <c:crosses val="autoZero"/>
        <c:auto val="1"/>
        <c:lblOffset val="100"/>
        <c:baseTimeUnit val="days"/>
      </c:dateAx>
      <c:valAx>
        <c:axId val="-792348816"/>
        <c:scaling>
          <c:orientation val="minMax"/>
          <c:max val="360"/>
          <c:min val="2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1552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'v5.0_65_1_100_0.001_200_100_201'!$T$1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'v5.0_65_1_100_0.001_200_100_201'!$T$2:$T$195</c:f>
              <c:numCache>
                <c:formatCode>General</c:formatCode>
                <c:ptCount val="194"/>
                <c:pt idx="0">
                  <c:v>3.5000001368522899</c:v>
                </c:pt>
                <c:pt idx="1">
                  <c:v>7.4499997556209703</c:v>
                </c:pt>
                <c:pt idx="2">
                  <c:v>10.6499997353553</c:v>
                </c:pt>
                <c:pt idx="3">
                  <c:v>9.0999996730089308</c:v>
                </c:pt>
                <c:pt idx="4">
                  <c:v>0</c:v>
                </c:pt>
                <c:pt idx="5">
                  <c:v>7.9999999701976696</c:v>
                </c:pt>
                <c:pt idx="6">
                  <c:v>7.7499997568130503</c:v>
                </c:pt>
                <c:pt idx="7">
                  <c:v>7.1500002889633203</c:v>
                </c:pt>
                <c:pt idx="8">
                  <c:v>4.4999999790191501</c:v>
                </c:pt>
                <c:pt idx="9">
                  <c:v>5.1499998852014501</c:v>
                </c:pt>
                <c:pt idx="10">
                  <c:v>0</c:v>
                </c:pt>
                <c:pt idx="11">
                  <c:v>6.9000002506971301</c:v>
                </c:pt>
                <c:pt idx="12">
                  <c:v>7.8000002464055997</c:v>
                </c:pt>
                <c:pt idx="13">
                  <c:v>0</c:v>
                </c:pt>
                <c:pt idx="14">
                  <c:v>14.2999994831085</c:v>
                </c:pt>
                <c:pt idx="15">
                  <c:v>13.9000007021427</c:v>
                </c:pt>
                <c:pt idx="16">
                  <c:v>14.500000316619801</c:v>
                </c:pt>
                <c:pt idx="17">
                  <c:v>19.3999992859363</c:v>
                </c:pt>
                <c:pt idx="18">
                  <c:v>23.3999998168945</c:v>
                </c:pt>
                <c:pt idx="19">
                  <c:v>0</c:v>
                </c:pt>
                <c:pt idx="20">
                  <c:v>0</c:v>
                </c:pt>
                <c:pt idx="21">
                  <c:v>20.899999541521002</c:v>
                </c:pt>
                <c:pt idx="22">
                  <c:v>26.599998701095501</c:v>
                </c:pt>
                <c:pt idx="23">
                  <c:v>26.400001254081701</c:v>
                </c:pt>
                <c:pt idx="24">
                  <c:v>31.3999999952316</c:v>
                </c:pt>
                <c:pt idx="25">
                  <c:v>26.949998701095499</c:v>
                </c:pt>
                <c:pt idx="26">
                  <c:v>26.700000793457001</c:v>
                </c:pt>
                <c:pt idx="27">
                  <c:v>22.8999998867511</c:v>
                </c:pt>
                <c:pt idx="28">
                  <c:v>23.400000360965699</c:v>
                </c:pt>
                <c:pt idx="29">
                  <c:v>23.200000312328299</c:v>
                </c:pt>
                <c:pt idx="30">
                  <c:v>22.400000515937698</c:v>
                </c:pt>
                <c:pt idx="31">
                  <c:v>22.149999858856098</c:v>
                </c:pt>
                <c:pt idx="32">
                  <c:v>23.950000612258901</c:v>
                </c:pt>
                <c:pt idx="33">
                  <c:v>21.349999776363301</c:v>
                </c:pt>
                <c:pt idx="34">
                  <c:v>21.999999357461899</c:v>
                </c:pt>
                <c:pt idx="35">
                  <c:v>17.699999574661199</c:v>
                </c:pt>
                <c:pt idx="36">
                  <c:v>20.5500004320144</c:v>
                </c:pt>
                <c:pt idx="37">
                  <c:v>18.699999418258599</c:v>
                </c:pt>
                <c:pt idx="38">
                  <c:v>15.600000198602601</c:v>
                </c:pt>
                <c:pt idx="39">
                  <c:v>15.5499999303817</c:v>
                </c:pt>
                <c:pt idx="40">
                  <c:v>21.499999670982302</c:v>
                </c:pt>
                <c:pt idx="41">
                  <c:v>23.899999485969499</c:v>
                </c:pt>
                <c:pt idx="42">
                  <c:v>19.3499996399879</c:v>
                </c:pt>
                <c:pt idx="43">
                  <c:v>14.4999998226165</c:v>
                </c:pt>
                <c:pt idx="44">
                  <c:v>15.1500006616115</c:v>
                </c:pt>
                <c:pt idx="45">
                  <c:v>12.249999936819</c:v>
                </c:pt>
                <c:pt idx="46">
                  <c:v>11.250000124931301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4.7500001415610296</c:v>
                </c:pt>
                <c:pt idx="55">
                  <c:v>4.6999998643398104</c:v>
                </c:pt>
                <c:pt idx="56">
                  <c:v>5.6500001018047197</c:v>
                </c:pt>
                <c:pt idx="57">
                  <c:v>9.8000002655982694</c:v>
                </c:pt>
                <c:pt idx="58">
                  <c:v>14.0500003643035</c:v>
                </c:pt>
                <c:pt idx="59">
                  <c:v>11.3499996480941</c:v>
                </c:pt>
                <c:pt idx="60">
                  <c:v>11.3499996480941</c:v>
                </c:pt>
                <c:pt idx="61">
                  <c:v>12.199999631643299</c:v>
                </c:pt>
                <c:pt idx="62">
                  <c:v>13.3999998288154</c:v>
                </c:pt>
                <c:pt idx="63">
                  <c:v>10.700000321865099</c:v>
                </c:pt>
                <c:pt idx="64">
                  <c:v>14.650000377654999</c:v>
                </c:pt>
                <c:pt idx="65">
                  <c:v>16.950000068664501</c:v>
                </c:pt>
                <c:pt idx="66">
                  <c:v>10.300000270962601</c:v>
                </c:pt>
                <c:pt idx="67">
                  <c:v>4.6000000253319504</c:v>
                </c:pt>
                <c:pt idx="68">
                  <c:v>0</c:v>
                </c:pt>
                <c:pt idx="69">
                  <c:v>1.55000003054738</c:v>
                </c:pt>
                <c:pt idx="70">
                  <c:v>1.7999999740719601</c:v>
                </c:pt>
                <c:pt idx="71">
                  <c:v>4.7000001597404504</c:v>
                </c:pt>
                <c:pt idx="72">
                  <c:v>3.3500001900196099</c:v>
                </c:pt>
                <c:pt idx="73">
                  <c:v>5.3000000896453798</c:v>
                </c:pt>
                <c:pt idx="74">
                  <c:v>0</c:v>
                </c:pt>
                <c:pt idx="75">
                  <c:v>0</c:v>
                </c:pt>
                <c:pt idx="76">
                  <c:v>4.7000000903606098</c:v>
                </c:pt>
                <c:pt idx="77">
                  <c:v>4.8500001648068203</c:v>
                </c:pt>
                <c:pt idx="78">
                  <c:v>0</c:v>
                </c:pt>
                <c:pt idx="79">
                  <c:v>9.10000013387201</c:v>
                </c:pt>
                <c:pt idx="80">
                  <c:v>11.0500002282857</c:v>
                </c:pt>
                <c:pt idx="81">
                  <c:v>2.8499999283850399</c:v>
                </c:pt>
                <c:pt idx="82">
                  <c:v>2.1000000281333602</c:v>
                </c:pt>
                <c:pt idx="83">
                  <c:v>1.39999999336896</c:v>
                </c:pt>
                <c:pt idx="84">
                  <c:v>8.9500000898838099</c:v>
                </c:pt>
                <c:pt idx="85">
                  <c:v>11.1500003831386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23.450000147819502</c:v>
                </c:pt>
                <c:pt idx="91">
                  <c:v>19.899999758720401</c:v>
                </c:pt>
                <c:pt idx="92">
                  <c:v>14.8500005161762</c:v>
                </c:pt>
                <c:pt idx="93">
                  <c:v>16.999999968528702</c:v>
                </c:pt>
                <c:pt idx="94">
                  <c:v>16.6500002689361</c:v>
                </c:pt>
                <c:pt idx="95">
                  <c:v>13.199999444007799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9.8000001490116198</c:v>
                </c:pt>
                <c:pt idx="104">
                  <c:v>13.7000003070831</c:v>
                </c:pt>
                <c:pt idx="105">
                  <c:v>21.1500000953674</c:v>
                </c:pt>
                <c:pt idx="106">
                  <c:v>16.300000763893099</c:v>
                </c:pt>
                <c:pt idx="107">
                  <c:v>11.1999998347759</c:v>
                </c:pt>
                <c:pt idx="108">
                  <c:v>7.0999997599124596</c:v>
                </c:pt>
                <c:pt idx="109">
                  <c:v>4.3000000088214803</c:v>
                </c:pt>
                <c:pt idx="110">
                  <c:v>1.39999997556208</c:v>
                </c:pt>
                <c:pt idx="111">
                  <c:v>0</c:v>
                </c:pt>
                <c:pt idx="112">
                  <c:v>1.29999997285005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5.2499999841451697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12.050000250339499</c:v>
                </c:pt>
                <c:pt idx="129">
                  <c:v>17.750000528812301</c:v>
                </c:pt>
                <c:pt idx="130">
                  <c:v>18.300000667572</c:v>
                </c:pt>
                <c:pt idx="131">
                  <c:v>16.999999518871299</c:v>
                </c:pt>
                <c:pt idx="132">
                  <c:v>15.3999994213581</c:v>
                </c:pt>
                <c:pt idx="133">
                  <c:v>14.7500000023841</c:v>
                </c:pt>
                <c:pt idx="134">
                  <c:v>12.3999998313188</c:v>
                </c:pt>
                <c:pt idx="135">
                  <c:v>12.999999782323799</c:v>
                </c:pt>
                <c:pt idx="136">
                  <c:v>16.1000002408027</c:v>
                </c:pt>
                <c:pt idx="137">
                  <c:v>11.599999989509501</c:v>
                </c:pt>
                <c:pt idx="138">
                  <c:v>10.400000109672501</c:v>
                </c:pt>
                <c:pt idx="139">
                  <c:v>12.7000001144409</c:v>
                </c:pt>
                <c:pt idx="140">
                  <c:v>9.1499997228384</c:v>
                </c:pt>
                <c:pt idx="141">
                  <c:v>15.900000631809201</c:v>
                </c:pt>
                <c:pt idx="142">
                  <c:v>18.650000135421699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4.5499998557567602</c:v>
                </c:pt>
                <c:pt idx="153">
                  <c:v>3.3500000834465</c:v>
                </c:pt>
                <c:pt idx="154">
                  <c:v>13.8000000195503</c:v>
                </c:pt>
                <c:pt idx="155">
                  <c:v>8.7500000689029704</c:v>
                </c:pt>
                <c:pt idx="156">
                  <c:v>2.34999995005131</c:v>
                </c:pt>
                <c:pt idx="157">
                  <c:v>0.60000000491737604</c:v>
                </c:pt>
                <c:pt idx="158">
                  <c:v>0</c:v>
                </c:pt>
                <c:pt idx="159">
                  <c:v>0</c:v>
                </c:pt>
                <c:pt idx="160">
                  <c:v>1.1500000342726899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0.35000000473109999</c:v>
                </c:pt>
                <c:pt idx="165">
                  <c:v>0.99999997544290398</c:v>
                </c:pt>
                <c:pt idx="166">
                  <c:v>0</c:v>
                </c:pt>
                <c:pt idx="167">
                  <c:v>4.89999992001054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5.8999998909831097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20.549999453067699</c:v>
                </c:pt>
                <c:pt idx="191">
                  <c:v>19.0499992637634</c:v>
                </c:pt>
                <c:pt idx="192">
                  <c:v>15.0000005714893</c:v>
                </c:pt>
                <c:pt idx="193">
                  <c:v>20.9500004217624</c:v>
                </c:pt>
              </c:numCache>
            </c:numRef>
          </c:val>
        </c:ser>
        <c:ser>
          <c:idx val="1"/>
          <c:order val="1"/>
          <c:tx>
            <c:strRef>
              <c:f>'v5.0_65_1_100_0.001_200_100_201'!$U$1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'v5.0_65_1_100_0.001_200_100_201'!$U$2:$U$195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8.6000001945495796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5.7999999627471004</c:v>
                </c:pt>
                <c:pt idx="11">
                  <c:v>0</c:v>
                </c:pt>
                <c:pt idx="12">
                  <c:v>0</c:v>
                </c:pt>
                <c:pt idx="13">
                  <c:v>3.9000001649260398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23.500000376701301</c:v>
                </c:pt>
                <c:pt idx="20">
                  <c:v>21.2499995169639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-14.2999999501705</c:v>
                </c:pt>
                <c:pt idx="48">
                  <c:v>-14.0499999225139</c:v>
                </c:pt>
                <c:pt idx="49">
                  <c:v>-11.550000064849799</c:v>
                </c:pt>
                <c:pt idx="50">
                  <c:v>-7.4499996592998601</c:v>
                </c:pt>
                <c:pt idx="51">
                  <c:v>-7.8000000132322498</c:v>
                </c:pt>
                <c:pt idx="52">
                  <c:v>-7.7500000295639202</c:v>
                </c:pt>
                <c:pt idx="53">
                  <c:v>-0.79999999894204099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0.84999999931454795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3.3500000685453402</c:v>
                </c:pt>
                <c:pt idx="75">
                  <c:v>-0.80000001565366496</c:v>
                </c:pt>
                <c:pt idx="76">
                  <c:v>0</c:v>
                </c:pt>
                <c:pt idx="77">
                  <c:v>0</c:v>
                </c:pt>
                <c:pt idx="78">
                  <c:v>10.5499999970197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-16.099999344348898</c:v>
                </c:pt>
                <c:pt idx="87">
                  <c:v>-25.750000165700801</c:v>
                </c:pt>
                <c:pt idx="88">
                  <c:v>21.149999475479099</c:v>
                </c:pt>
                <c:pt idx="89">
                  <c:v>29.049999537467901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18.8499996590614</c:v>
                </c:pt>
                <c:pt idx="97">
                  <c:v>18.499999787807401</c:v>
                </c:pt>
                <c:pt idx="98">
                  <c:v>-19.599999644517801</c:v>
                </c:pt>
                <c:pt idx="99">
                  <c:v>-15.300000078678099</c:v>
                </c:pt>
                <c:pt idx="100">
                  <c:v>-8.8000002379417293</c:v>
                </c:pt>
                <c:pt idx="101">
                  <c:v>-11.9499996380806</c:v>
                </c:pt>
                <c:pt idx="102">
                  <c:v>-15.2499994792938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-1.0500000131577201</c:v>
                </c:pt>
                <c:pt idx="112">
                  <c:v>0</c:v>
                </c:pt>
                <c:pt idx="113">
                  <c:v>-1.45000004705786</c:v>
                </c:pt>
                <c:pt idx="114">
                  <c:v>-0.75000001430510099</c:v>
                </c:pt>
                <c:pt idx="115">
                  <c:v>-4.2999998683333098</c:v>
                </c:pt>
                <c:pt idx="116">
                  <c:v>-2.5499999422431099</c:v>
                </c:pt>
                <c:pt idx="117">
                  <c:v>-1.9499999637007399</c:v>
                </c:pt>
                <c:pt idx="118">
                  <c:v>0</c:v>
                </c:pt>
                <c:pt idx="119">
                  <c:v>-7.0000003421306403</c:v>
                </c:pt>
                <c:pt idx="120">
                  <c:v>-3.9999998158216301</c:v>
                </c:pt>
                <c:pt idx="121">
                  <c:v>-2.29999999141693</c:v>
                </c:pt>
                <c:pt idx="122">
                  <c:v>-10.549999715805001</c:v>
                </c:pt>
                <c:pt idx="123">
                  <c:v>-11.1999998996257</c:v>
                </c:pt>
                <c:pt idx="124">
                  <c:v>-11.0999998311996</c:v>
                </c:pt>
                <c:pt idx="125">
                  <c:v>-12.199999807477001</c:v>
                </c:pt>
                <c:pt idx="126">
                  <c:v>-13.6999994850158</c:v>
                </c:pt>
                <c:pt idx="127">
                  <c:v>-20.150000095844199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16.8499999079704</c:v>
                </c:pt>
                <c:pt idx="144">
                  <c:v>-15.7999994575977</c:v>
                </c:pt>
                <c:pt idx="145">
                  <c:v>-16.849999518394402</c:v>
                </c:pt>
                <c:pt idx="146">
                  <c:v>-12.250000193595801</c:v>
                </c:pt>
                <c:pt idx="147">
                  <c:v>-14.699999220132799</c:v>
                </c:pt>
                <c:pt idx="148">
                  <c:v>-15.650000484466499</c:v>
                </c:pt>
                <c:pt idx="149">
                  <c:v>-10.950000152111</c:v>
                </c:pt>
                <c:pt idx="150">
                  <c:v>-6.5499998831749</c:v>
                </c:pt>
                <c:pt idx="151">
                  <c:v>-3.5999999852776301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-0.89999996054172005</c:v>
                </c:pt>
                <c:pt idx="159">
                  <c:v>-0.449999980270888</c:v>
                </c:pt>
                <c:pt idx="160">
                  <c:v>0</c:v>
                </c:pt>
                <c:pt idx="161">
                  <c:v>-3.10000004768369</c:v>
                </c:pt>
                <c:pt idx="162">
                  <c:v>-3.09999992060659</c:v>
                </c:pt>
                <c:pt idx="163">
                  <c:v>-4.6999998587966099</c:v>
                </c:pt>
                <c:pt idx="164">
                  <c:v>0</c:v>
                </c:pt>
                <c:pt idx="165">
                  <c:v>0</c:v>
                </c:pt>
                <c:pt idx="166">
                  <c:v>-0.85000002622604098</c:v>
                </c:pt>
                <c:pt idx="167">
                  <c:v>0</c:v>
                </c:pt>
                <c:pt idx="168">
                  <c:v>3.3000001437663902</c:v>
                </c:pt>
                <c:pt idx="169">
                  <c:v>-3.2500000620484499</c:v>
                </c:pt>
                <c:pt idx="170">
                  <c:v>-9.2999997926950098</c:v>
                </c:pt>
                <c:pt idx="171">
                  <c:v>-3.4499999700784598</c:v>
                </c:pt>
                <c:pt idx="172">
                  <c:v>-3.3000001183152099</c:v>
                </c:pt>
                <c:pt idx="173">
                  <c:v>-3.24999999237059</c:v>
                </c:pt>
                <c:pt idx="174">
                  <c:v>-3.79999983108041</c:v>
                </c:pt>
                <c:pt idx="175">
                  <c:v>-3.9499999347925101</c:v>
                </c:pt>
                <c:pt idx="176">
                  <c:v>-5.8500001579522998</c:v>
                </c:pt>
                <c:pt idx="177">
                  <c:v>0</c:v>
                </c:pt>
                <c:pt idx="178">
                  <c:v>-12.450000265479099</c:v>
                </c:pt>
                <c:pt idx="179">
                  <c:v>12.8000002384185</c:v>
                </c:pt>
                <c:pt idx="180">
                  <c:v>-14.0000002791881</c:v>
                </c:pt>
                <c:pt idx="181">
                  <c:v>-19.9499999599456</c:v>
                </c:pt>
                <c:pt idx="182">
                  <c:v>-17.3999994735717</c:v>
                </c:pt>
                <c:pt idx="183">
                  <c:v>-21.3500006546973</c:v>
                </c:pt>
                <c:pt idx="184">
                  <c:v>-7.8499997198581397</c:v>
                </c:pt>
                <c:pt idx="185">
                  <c:v>-11.2499998664856</c:v>
                </c:pt>
                <c:pt idx="186">
                  <c:v>-12.749999736785799</c:v>
                </c:pt>
                <c:pt idx="187">
                  <c:v>-9.10000028014184</c:v>
                </c:pt>
                <c:pt idx="188">
                  <c:v>-15.350000469684501</c:v>
                </c:pt>
                <c:pt idx="189">
                  <c:v>-14.549999850511499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685470416"/>
        <c:axId val="-685473136"/>
      </c:barChart>
      <c:catAx>
        <c:axId val="-68547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685473136"/>
        <c:crosses val="autoZero"/>
        <c:auto val="1"/>
        <c:lblAlgn val="ctr"/>
        <c:lblOffset val="100"/>
        <c:noMultiLvlLbl val="0"/>
      </c:catAx>
      <c:valAx>
        <c:axId val="-6854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68547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0</xdr:row>
      <xdr:rowOff>114300</xdr:rowOff>
    </xdr:from>
    <xdr:to>
      <xdr:col>11</xdr:col>
      <xdr:colOff>95250</xdr:colOff>
      <xdr:row>12</xdr:row>
      <xdr:rowOff>171450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490537</xdr:colOff>
      <xdr:row>0</xdr:row>
      <xdr:rowOff>76200</xdr:rowOff>
    </xdr:from>
    <xdr:to>
      <xdr:col>18</xdr:col>
      <xdr:colOff>138112</xdr:colOff>
      <xdr:row>13</xdr:row>
      <xdr:rowOff>95250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6"/>
  <sheetViews>
    <sheetView tabSelected="1" topLeftCell="B1" workbookViewId="0">
      <selection activeCell="K23" sqref="K23"/>
    </sheetView>
  </sheetViews>
  <sheetFormatPr defaultRowHeight="16.5" x14ac:dyDescent="0.3"/>
  <cols>
    <col min="1" max="1" width="12.375" customWidth="1"/>
    <col min="5" max="5" width="11.25" customWidth="1"/>
    <col min="14" max="14" width="10.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COUNTIF(D2:D195, "&gt;0")/194</f>
        <v>0.67525773195876293</v>
      </c>
      <c r="I1">
        <f>AVERAGEIF(D2:D195, "&gt;0")</f>
        <v>12.666412216351484</v>
      </c>
      <c r="J1">
        <f>AVERAGEIF(D2:D195, "&lt;0")</f>
        <v>-9.2555554949282595</v>
      </c>
      <c r="K1">
        <f>MAX(D2:D195)</f>
        <v>31.3999999952316</v>
      </c>
      <c r="L1">
        <f>MIN(D2:D195)</f>
        <v>-25.750000165700801</v>
      </c>
      <c r="O1" t="s">
        <v>7</v>
      </c>
      <c r="P1" t="s">
        <v>8</v>
      </c>
      <c r="Q1" t="s">
        <v>9</v>
      </c>
      <c r="R1" t="s">
        <v>10</v>
      </c>
      <c r="T1" t="s">
        <v>11</v>
      </c>
      <c r="U1" t="s">
        <v>12</v>
      </c>
    </row>
    <row r="2" spans="1:21" x14ac:dyDescent="0.3">
      <c r="A2" s="1">
        <v>42926</v>
      </c>
      <c r="B2">
        <v>310.8</v>
      </c>
      <c r="C2">
        <v>314.30000013685202</v>
      </c>
      <c r="D2">
        <v>3.5000001368522899</v>
      </c>
      <c r="E2" s="1">
        <v>43017</v>
      </c>
      <c r="F2">
        <v>1.74052381515502</v>
      </c>
      <c r="G2">
        <v>1.12612617015838</v>
      </c>
      <c r="M2">
        <v>4.9176856560315514</v>
      </c>
      <c r="N2" s="1">
        <v>43017</v>
      </c>
      <c r="O2">
        <f>C2+2*M2</f>
        <v>324.13537144891512</v>
      </c>
      <c r="P2">
        <f>C2-2*M2</f>
        <v>304.46462882478892</v>
      </c>
      <c r="Q2">
        <f>C2</f>
        <v>314.30000013685202</v>
      </c>
      <c r="R2">
        <f>B2*F2/100+B2</f>
        <v>316.20954801750179</v>
      </c>
      <c r="S2">
        <f>IF(AND(D2&gt;0, AND(R2&lt;O2, R2&gt;P2)), 1, 0)</f>
        <v>1</v>
      </c>
      <c r="T2">
        <f>IF(S2=1, D2, "")</f>
        <v>3.5000001368522899</v>
      </c>
      <c r="U2" t="str">
        <f>IF(S2=0, D2, "")</f>
        <v/>
      </c>
    </row>
    <row r="3" spans="1:21" x14ac:dyDescent="0.3">
      <c r="A3" s="1">
        <v>42927</v>
      </c>
      <c r="B3">
        <v>312.7</v>
      </c>
      <c r="C3">
        <v>320.14999975562</v>
      </c>
      <c r="D3">
        <v>7.4499997556209703</v>
      </c>
      <c r="E3" s="1">
        <v>43018</v>
      </c>
      <c r="F3">
        <v>1.4636355638503999</v>
      </c>
      <c r="G3">
        <v>2.38247513771057</v>
      </c>
      <c r="M3">
        <v>5.0235034128048062</v>
      </c>
      <c r="N3" s="1">
        <v>43018</v>
      </c>
      <c r="O3">
        <f t="shared" ref="O3:O66" si="0">C3+2*M3</f>
        <v>330.19700658122963</v>
      </c>
      <c r="P3">
        <f t="shared" ref="P3:P66" si="1">C3-2*M3</f>
        <v>310.10299293001037</v>
      </c>
      <c r="Q3">
        <f t="shared" ref="Q3:Q66" si="2">C3</f>
        <v>320.14999975562</v>
      </c>
      <c r="R3">
        <f t="shared" ref="R3:R66" si="3">B3*F3/100+B3</f>
        <v>317.2767884081602</v>
      </c>
      <c r="S3">
        <f t="shared" ref="S3:S66" si="4">IF(AND(D3&gt;0, AND(R3&lt;O3, R3&gt;P3)), 1, 0)</f>
        <v>1</v>
      </c>
      <c r="T3">
        <f t="shared" ref="T3:T66" si="5">IF(S3=1, D3, "")</f>
        <v>7.4499997556209703</v>
      </c>
      <c r="U3" t="str">
        <f t="shared" ref="U3:U66" si="6">IF(S3=0, D3, "")</f>
        <v/>
      </c>
    </row>
    <row r="4" spans="1:21" x14ac:dyDescent="0.3">
      <c r="A4" s="1">
        <v>42928</v>
      </c>
      <c r="B4">
        <v>312.60000000000002</v>
      </c>
      <c r="C4">
        <v>323.249999735355</v>
      </c>
      <c r="D4">
        <v>10.6499997353553</v>
      </c>
      <c r="E4" s="1">
        <v>43019</v>
      </c>
      <c r="F4">
        <v>5.0924415588378897</v>
      </c>
      <c r="G4">
        <v>3.40690970420837</v>
      </c>
      <c r="M4">
        <v>5.2146206025794584</v>
      </c>
      <c r="N4" s="1">
        <v>43019</v>
      </c>
      <c r="O4">
        <f t="shared" si="0"/>
        <v>333.67924094051392</v>
      </c>
      <c r="P4">
        <f t="shared" si="1"/>
        <v>312.82075853019609</v>
      </c>
      <c r="Q4">
        <f t="shared" si="2"/>
        <v>323.249999735355</v>
      </c>
      <c r="R4">
        <f t="shared" si="3"/>
        <v>328.51897231292725</v>
      </c>
      <c r="S4">
        <f t="shared" si="4"/>
        <v>1</v>
      </c>
      <c r="T4">
        <f t="shared" si="5"/>
        <v>10.6499997353553</v>
      </c>
      <c r="U4" t="str">
        <f t="shared" si="6"/>
        <v/>
      </c>
    </row>
    <row r="5" spans="1:21" x14ac:dyDescent="0.3">
      <c r="A5" s="1">
        <v>42929</v>
      </c>
      <c r="B5">
        <v>316.55</v>
      </c>
      <c r="C5">
        <v>325.64999967300798</v>
      </c>
      <c r="D5">
        <v>9.0999996730089308</v>
      </c>
      <c r="E5" s="1">
        <v>43020</v>
      </c>
      <c r="F5">
        <v>4.3918423652648899</v>
      </c>
      <c r="G5">
        <v>2.8747432231903001</v>
      </c>
      <c r="M5">
        <v>5.4519594439839869</v>
      </c>
      <c r="N5" s="1">
        <v>43020</v>
      </c>
      <c r="O5">
        <f t="shared" si="0"/>
        <v>336.55391856097594</v>
      </c>
      <c r="P5">
        <f t="shared" si="1"/>
        <v>314.74608078504002</v>
      </c>
      <c r="Q5">
        <f t="shared" si="2"/>
        <v>325.64999967300798</v>
      </c>
      <c r="R5">
        <f t="shared" si="3"/>
        <v>330.45237700724601</v>
      </c>
      <c r="S5">
        <f t="shared" si="4"/>
        <v>1</v>
      </c>
      <c r="T5">
        <f t="shared" si="5"/>
        <v>9.0999996730089308</v>
      </c>
      <c r="U5" t="str">
        <f t="shared" si="6"/>
        <v/>
      </c>
    </row>
    <row r="6" spans="1:21" x14ac:dyDescent="0.3">
      <c r="A6" s="1">
        <v>42930</v>
      </c>
      <c r="B6">
        <v>316.7</v>
      </c>
      <c r="C6">
        <v>325.300000194549</v>
      </c>
      <c r="D6">
        <v>8.6000001945495796</v>
      </c>
      <c r="E6" s="1">
        <v>43021</v>
      </c>
      <c r="F6">
        <v>8.3173351287841797</v>
      </c>
      <c r="G6">
        <v>2.71550369262695</v>
      </c>
      <c r="M6">
        <v>5.6615272343246765</v>
      </c>
      <c r="N6" s="1">
        <v>43021</v>
      </c>
      <c r="O6">
        <f t="shared" si="0"/>
        <v>336.62305466319833</v>
      </c>
      <c r="P6">
        <f t="shared" si="1"/>
        <v>313.97694572589967</v>
      </c>
      <c r="Q6">
        <f t="shared" si="2"/>
        <v>325.300000194549</v>
      </c>
      <c r="R6">
        <f t="shared" si="3"/>
        <v>343.0410003528595</v>
      </c>
      <c r="S6">
        <f t="shared" si="4"/>
        <v>0</v>
      </c>
      <c r="T6" t="str">
        <f t="shared" si="5"/>
        <v/>
      </c>
      <c r="U6">
        <f t="shared" si="6"/>
        <v>8.6000001945495796</v>
      </c>
    </row>
    <row r="7" spans="1:21" x14ac:dyDescent="0.3">
      <c r="A7" s="1">
        <v>42933</v>
      </c>
      <c r="B7">
        <v>317.5</v>
      </c>
      <c r="C7">
        <v>325.499999970197</v>
      </c>
      <c r="D7">
        <v>7.9999999701976696</v>
      </c>
      <c r="E7" s="1">
        <v>43024</v>
      </c>
      <c r="F7">
        <v>5.1070141792297301</v>
      </c>
      <c r="G7">
        <v>2.5196850299835201</v>
      </c>
      <c r="M7">
        <v>5.8576877698982379</v>
      </c>
      <c r="N7" s="1">
        <v>43024</v>
      </c>
      <c r="O7">
        <f t="shared" si="0"/>
        <v>337.21537550999346</v>
      </c>
      <c r="P7">
        <f t="shared" si="1"/>
        <v>313.78462443040053</v>
      </c>
      <c r="Q7">
        <f t="shared" si="2"/>
        <v>325.499999970197</v>
      </c>
      <c r="R7">
        <f t="shared" si="3"/>
        <v>333.71477001905441</v>
      </c>
      <c r="S7">
        <f t="shared" si="4"/>
        <v>1</v>
      </c>
      <c r="T7">
        <f t="shared" si="5"/>
        <v>7.9999999701976696</v>
      </c>
      <c r="U7" t="str">
        <f t="shared" si="6"/>
        <v/>
      </c>
    </row>
    <row r="8" spans="1:21" x14ac:dyDescent="0.3">
      <c r="A8" s="1">
        <v>42934</v>
      </c>
      <c r="B8">
        <v>318.05</v>
      </c>
      <c r="C8">
        <v>325.79999975681301</v>
      </c>
      <c r="D8">
        <v>7.7499997568130503</v>
      </c>
      <c r="E8" s="1">
        <v>43025</v>
      </c>
      <c r="F8">
        <v>3.9848744869232098</v>
      </c>
      <c r="G8">
        <v>2.43672370910644</v>
      </c>
      <c r="M8">
        <v>6.0477347952639402</v>
      </c>
      <c r="N8" s="1">
        <v>43025</v>
      </c>
      <c r="O8">
        <f t="shared" si="0"/>
        <v>337.89546934734091</v>
      </c>
      <c r="P8">
        <f t="shared" si="1"/>
        <v>313.70453016628511</v>
      </c>
      <c r="Q8">
        <f t="shared" si="2"/>
        <v>325.79999975681301</v>
      </c>
      <c r="R8">
        <f t="shared" si="3"/>
        <v>330.72389330565926</v>
      </c>
      <c r="S8">
        <f t="shared" si="4"/>
        <v>1</v>
      </c>
      <c r="T8">
        <f t="shared" si="5"/>
        <v>7.7499997568130503</v>
      </c>
      <c r="U8" t="str">
        <f t="shared" si="6"/>
        <v/>
      </c>
    </row>
    <row r="9" spans="1:21" x14ac:dyDescent="0.3">
      <c r="A9" s="1">
        <v>42935</v>
      </c>
      <c r="B9">
        <v>318.7</v>
      </c>
      <c r="C9">
        <v>325.85000028896297</v>
      </c>
      <c r="D9">
        <v>7.1500002889633203</v>
      </c>
      <c r="E9" s="1">
        <v>43026</v>
      </c>
      <c r="F9">
        <v>0.42327588796615601</v>
      </c>
      <c r="G9">
        <v>2.2434892654418901</v>
      </c>
      <c r="M9">
        <v>6.2221468785979468</v>
      </c>
      <c r="N9" s="1">
        <v>43026</v>
      </c>
      <c r="O9">
        <f t="shared" si="0"/>
        <v>338.29429404615888</v>
      </c>
      <c r="P9">
        <f t="shared" si="1"/>
        <v>313.40570653176707</v>
      </c>
      <c r="Q9">
        <f t="shared" si="2"/>
        <v>325.85000028896297</v>
      </c>
      <c r="R9">
        <f t="shared" si="3"/>
        <v>320.04898025494811</v>
      </c>
      <c r="S9">
        <f t="shared" si="4"/>
        <v>1</v>
      </c>
      <c r="T9">
        <f t="shared" si="5"/>
        <v>7.1500002889633203</v>
      </c>
      <c r="U9" t="str">
        <f t="shared" si="6"/>
        <v/>
      </c>
    </row>
    <row r="10" spans="1:21" x14ac:dyDescent="0.3">
      <c r="A10" s="1">
        <v>42936</v>
      </c>
      <c r="B10">
        <v>319.60000000000002</v>
      </c>
      <c r="C10">
        <v>324.099999979019</v>
      </c>
      <c r="D10">
        <v>4.4999999790191501</v>
      </c>
      <c r="E10" s="1">
        <v>43027</v>
      </c>
      <c r="F10">
        <v>2.2502586841583199</v>
      </c>
      <c r="G10">
        <v>1.40801000595092</v>
      </c>
      <c r="M10">
        <v>6.3237336258854135</v>
      </c>
      <c r="N10" s="1">
        <v>43027</v>
      </c>
      <c r="O10">
        <f t="shared" si="0"/>
        <v>336.74746723078982</v>
      </c>
      <c r="P10">
        <f t="shared" si="1"/>
        <v>311.45253272724818</v>
      </c>
      <c r="Q10">
        <f t="shared" si="2"/>
        <v>324.099999979019</v>
      </c>
      <c r="R10">
        <f t="shared" si="3"/>
        <v>326.79182675457002</v>
      </c>
      <c r="S10">
        <f t="shared" si="4"/>
        <v>1</v>
      </c>
      <c r="T10">
        <f t="shared" si="5"/>
        <v>4.4999999790191501</v>
      </c>
      <c r="U10" t="str">
        <f t="shared" si="6"/>
        <v/>
      </c>
    </row>
    <row r="11" spans="1:21" x14ac:dyDescent="0.3">
      <c r="A11" s="1">
        <v>42937</v>
      </c>
      <c r="B11">
        <v>321.10000000000002</v>
      </c>
      <c r="C11">
        <v>326.24999988520102</v>
      </c>
      <c r="D11">
        <v>5.1499998852014501</v>
      </c>
      <c r="E11" s="1">
        <v>43028</v>
      </c>
      <c r="F11">
        <v>4.9882907867431596</v>
      </c>
      <c r="G11">
        <v>1.6038616895675599</v>
      </c>
      <c r="M11">
        <v>6.4598730898167398</v>
      </c>
      <c r="N11" s="1">
        <v>43028</v>
      </c>
      <c r="O11">
        <f t="shared" si="0"/>
        <v>339.1697460648345</v>
      </c>
      <c r="P11">
        <f t="shared" si="1"/>
        <v>313.33025370556754</v>
      </c>
      <c r="Q11">
        <f t="shared" si="2"/>
        <v>326.24999988520102</v>
      </c>
      <c r="R11">
        <f t="shared" si="3"/>
        <v>337.11740171623228</v>
      </c>
      <c r="S11">
        <f t="shared" si="4"/>
        <v>1</v>
      </c>
      <c r="T11">
        <f t="shared" si="5"/>
        <v>5.1499998852014501</v>
      </c>
      <c r="U11" t="str">
        <f t="shared" si="6"/>
        <v/>
      </c>
    </row>
    <row r="12" spans="1:21" x14ac:dyDescent="0.3">
      <c r="A12" s="1">
        <v>42940</v>
      </c>
      <c r="B12">
        <v>321.25</v>
      </c>
      <c r="C12">
        <v>327.04999996274699</v>
      </c>
      <c r="D12">
        <v>5.7999999627471004</v>
      </c>
      <c r="E12" s="1">
        <v>43031</v>
      </c>
      <c r="F12">
        <v>6.27675008773803</v>
      </c>
      <c r="G12">
        <v>1.80544745922088</v>
      </c>
      <c r="M12">
        <v>6.6151943943470046</v>
      </c>
      <c r="N12" s="1">
        <v>43031</v>
      </c>
      <c r="O12">
        <f t="shared" si="0"/>
        <v>340.28038875144102</v>
      </c>
      <c r="P12">
        <f t="shared" si="1"/>
        <v>313.81961117405297</v>
      </c>
      <c r="Q12">
        <f t="shared" si="2"/>
        <v>327.04999996274699</v>
      </c>
      <c r="R12">
        <f t="shared" si="3"/>
        <v>341.4140596568584</v>
      </c>
      <c r="S12">
        <f t="shared" si="4"/>
        <v>0</v>
      </c>
      <c r="T12" t="str">
        <f t="shared" si="5"/>
        <v/>
      </c>
      <c r="U12">
        <f t="shared" si="6"/>
        <v>5.7999999627471004</v>
      </c>
    </row>
    <row r="13" spans="1:21" x14ac:dyDescent="0.3">
      <c r="A13" s="1">
        <v>42941</v>
      </c>
      <c r="B13">
        <v>319.64999999999998</v>
      </c>
      <c r="C13">
        <v>326.550000250697</v>
      </c>
      <c r="D13">
        <v>6.9000002506971301</v>
      </c>
      <c r="E13" s="1">
        <v>43032</v>
      </c>
      <c r="F13">
        <v>5.7003068923950098</v>
      </c>
      <c r="G13">
        <v>2.1586110591888401</v>
      </c>
      <c r="M13">
        <v>6.7771174486990837</v>
      </c>
      <c r="N13" s="1">
        <v>43032</v>
      </c>
      <c r="O13">
        <f t="shared" si="0"/>
        <v>340.10423514809514</v>
      </c>
      <c r="P13">
        <f t="shared" si="1"/>
        <v>312.99576535329885</v>
      </c>
      <c r="Q13">
        <f t="shared" si="2"/>
        <v>326.550000250697</v>
      </c>
      <c r="R13">
        <f t="shared" si="3"/>
        <v>337.87103098154063</v>
      </c>
      <c r="S13">
        <f t="shared" si="4"/>
        <v>1</v>
      </c>
      <c r="T13">
        <f t="shared" si="5"/>
        <v>6.9000002506971301</v>
      </c>
      <c r="U13" t="str">
        <f t="shared" si="6"/>
        <v/>
      </c>
    </row>
    <row r="14" spans="1:21" x14ac:dyDescent="0.3">
      <c r="A14" s="1">
        <v>42942</v>
      </c>
      <c r="B14">
        <v>318.95</v>
      </c>
      <c r="C14">
        <v>326.75000024640502</v>
      </c>
      <c r="D14">
        <v>7.8000002464055997</v>
      </c>
      <c r="E14" s="1">
        <v>43033</v>
      </c>
      <c r="F14">
        <v>4.5369644165039</v>
      </c>
      <c r="G14">
        <v>2.44552445411682</v>
      </c>
      <c r="M14">
        <v>6.949258659271619</v>
      </c>
      <c r="N14" s="1">
        <v>43033</v>
      </c>
      <c r="O14">
        <f t="shared" si="0"/>
        <v>340.64851756494824</v>
      </c>
      <c r="P14">
        <f t="shared" si="1"/>
        <v>312.85148292786181</v>
      </c>
      <c r="Q14">
        <f t="shared" si="2"/>
        <v>326.75000024640502</v>
      </c>
      <c r="R14">
        <f t="shared" si="3"/>
        <v>333.42064800643919</v>
      </c>
      <c r="S14">
        <f t="shared" si="4"/>
        <v>1</v>
      </c>
      <c r="T14">
        <f t="shared" si="5"/>
        <v>7.8000002464055997</v>
      </c>
      <c r="U14" t="str">
        <f t="shared" si="6"/>
        <v/>
      </c>
    </row>
    <row r="15" spans="1:21" x14ac:dyDescent="0.3">
      <c r="A15" s="1">
        <v>42943</v>
      </c>
      <c r="B15">
        <v>319.85000000000002</v>
      </c>
      <c r="C15">
        <v>323.75000016492601</v>
      </c>
      <c r="D15">
        <v>3.9000001649260398</v>
      </c>
      <c r="E15" s="1">
        <v>43034</v>
      </c>
      <c r="F15">
        <v>6.9333286285400302</v>
      </c>
      <c r="G15">
        <v>1.21932160854339</v>
      </c>
      <c r="M15">
        <v>7.0238661656855017</v>
      </c>
      <c r="N15" s="1">
        <v>43034</v>
      </c>
      <c r="O15">
        <f t="shared" si="0"/>
        <v>337.79773249629699</v>
      </c>
      <c r="P15">
        <f t="shared" si="1"/>
        <v>309.70226783355503</v>
      </c>
      <c r="Q15">
        <f t="shared" si="2"/>
        <v>323.75000016492601</v>
      </c>
      <c r="R15">
        <f t="shared" si="3"/>
        <v>342.02625161838529</v>
      </c>
      <c r="S15">
        <f t="shared" si="4"/>
        <v>0</v>
      </c>
      <c r="T15" t="str">
        <f t="shared" si="5"/>
        <v/>
      </c>
      <c r="U15">
        <f t="shared" si="6"/>
        <v>3.9000001649260398</v>
      </c>
    </row>
    <row r="16" spans="1:21" x14ac:dyDescent="0.3">
      <c r="A16" s="1">
        <v>42944</v>
      </c>
      <c r="B16">
        <v>312.55</v>
      </c>
      <c r="C16">
        <v>326.84999948310798</v>
      </c>
      <c r="D16">
        <v>14.2999994831085</v>
      </c>
      <c r="E16" s="1">
        <v>43035</v>
      </c>
      <c r="F16">
        <v>7.6889467239379803</v>
      </c>
      <c r="G16">
        <v>4.5752677917480398</v>
      </c>
      <c r="M16">
        <v>7.2219246682211793</v>
      </c>
      <c r="N16" s="1">
        <v>43035</v>
      </c>
      <c r="O16">
        <f t="shared" si="0"/>
        <v>341.29384881955036</v>
      </c>
      <c r="P16">
        <f t="shared" si="1"/>
        <v>312.4061501466656</v>
      </c>
      <c r="Q16">
        <f t="shared" si="2"/>
        <v>326.84999948310798</v>
      </c>
      <c r="R16">
        <f t="shared" si="3"/>
        <v>336.58180298566816</v>
      </c>
      <c r="S16">
        <f t="shared" si="4"/>
        <v>1</v>
      </c>
      <c r="T16">
        <f t="shared" si="5"/>
        <v>14.2999994831085</v>
      </c>
      <c r="U16" t="str">
        <f t="shared" si="6"/>
        <v/>
      </c>
    </row>
    <row r="17" spans="1:21" x14ac:dyDescent="0.3">
      <c r="A17" s="1">
        <v>42947</v>
      </c>
      <c r="B17">
        <v>313.55</v>
      </c>
      <c r="C17">
        <v>327.45000070214201</v>
      </c>
      <c r="D17">
        <v>13.9000007021427</v>
      </c>
      <c r="E17" s="1">
        <v>43038</v>
      </c>
      <c r="F17">
        <v>5.1101202964782697</v>
      </c>
      <c r="G17">
        <v>4.43310499191284</v>
      </c>
      <c r="M17">
        <v>7.4264424104008251</v>
      </c>
      <c r="N17" s="1">
        <v>43038</v>
      </c>
      <c r="O17">
        <f t="shared" si="0"/>
        <v>342.30288552294365</v>
      </c>
      <c r="P17">
        <f t="shared" si="1"/>
        <v>312.59711588134036</v>
      </c>
      <c r="Q17">
        <f t="shared" si="2"/>
        <v>327.45000070214201</v>
      </c>
      <c r="R17">
        <f t="shared" si="3"/>
        <v>329.57278218960761</v>
      </c>
      <c r="S17">
        <f t="shared" si="4"/>
        <v>1</v>
      </c>
      <c r="T17">
        <f t="shared" si="5"/>
        <v>13.9000007021427</v>
      </c>
      <c r="U17" t="str">
        <f t="shared" si="6"/>
        <v/>
      </c>
    </row>
    <row r="18" spans="1:21" x14ac:dyDescent="0.3">
      <c r="A18" s="1">
        <v>42948</v>
      </c>
      <c r="B18">
        <v>316.55</v>
      </c>
      <c r="C18">
        <v>331.05000031661899</v>
      </c>
      <c r="D18">
        <v>14.500000316619801</v>
      </c>
      <c r="E18" s="1">
        <v>43039</v>
      </c>
      <c r="F18">
        <v>4.71311330795288</v>
      </c>
      <c r="G18">
        <v>4.5806350708007804</v>
      </c>
      <c r="M18">
        <v>7.7248648699906335</v>
      </c>
      <c r="N18" s="1">
        <v>43039</v>
      </c>
      <c r="O18">
        <f t="shared" si="0"/>
        <v>346.49973005660024</v>
      </c>
      <c r="P18">
        <f t="shared" si="1"/>
        <v>315.60027057663774</v>
      </c>
      <c r="Q18">
        <f t="shared" si="2"/>
        <v>331.05000031661899</v>
      </c>
      <c r="R18">
        <f t="shared" si="3"/>
        <v>331.46936017632487</v>
      </c>
      <c r="S18">
        <f t="shared" si="4"/>
        <v>1</v>
      </c>
      <c r="T18">
        <f t="shared" si="5"/>
        <v>14.500000316619801</v>
      </c>
      <c r="U18" t="str">
        <f t="shared" si="6"/>
        <v/>
      </c>
    </row>
    <row r="19" spans="1:21" x14ac:dyDescent="0.3">
      <c r="A19" s="1">
        <v>42949</v>
      </c>
      <c r="B19">
        <v>317.14999999999998</v>
      </c>
      <c r="C19">
        <v>336.549999285936</v>
      </c>
      <c r="D19">
        <v>19.3999992859363</v>
      </c>
      <c r="E19" s="1">
        <v>43040</v>
      </c>
      <c r="F19">
        <v>1.0747883319854701</v>
      </c>
      <c r="G19">
        <v>6.1169791221618599</v>
      </c>
      <c r="M19">
        <v>8.2105999001993695</v>
      </c>
      <c r="N19" s="1">
        <v>43040</v>
      </c>
      <c r="O19">
        <f t="shared" si="0"/>
        <v>352.97119908633476</v>
      </c>
      <c r="P19">
        <f t="shared" si="1"/>
        <v>320.12879948553723</v>
      </c>
      <c r="Q19">
        <f t="shared" si="2"/>
        <v>336.549999285936</v>
      </c>
      <c r="R19">
        <f t="shared" si="3"/>
        <v>320.55869119489188</v>
      </c>
      <c r="S19">
        <f t="shared" si="4"/>
        <v>1</v>
      </c>
      <c r="T19">
        <f t="shared" si="5"/>
        <v>19.3999992859363</v>
      </c>
      <c r="U19" t="str">
        <f t="shared" si="6"/>
        <v/>
      </c>
    </row>
    <row r="20" spans="1:21" x14ac:dyDescent="0.3">
      <c r="A20" s="1">
        <v>42950</v>
      </c>
      <c r="B20">
        <v>311.64999999999998</v>
      </c>
      <c r="C20">
        <v>335.049999816894</v>
      </c>
      <c r="D20">
        <v>23.3999998168945</v>
      </c>
      <c r="E20" s="1">
        <v>43041</v>
      </c>
      <c r="F20">
        <v>4.1016898155212402</v>
      </c>
      <c r="G20">
        <v>7.5084228515625</v>
      </c>
      <c r="M20">
        <v>8.599430255613095</v>
      </c>
      <c r="N20" s="1">
        <v>43041</v>
      </c>
      <c r="O20">
        <f t="shared" si="0"/>
        <v>352.2488603281202</v>
      </c>
      <c r="P20">
        <f t="shared" si="1"/>
        <v>317.8511393056678</v>
      </c>
      <c r="Q20">
        <f t="shared" si="2"/>
        <v>335.049999816894</v>
      </c>
      <c r="R20">
        <f t="shared" si="3"/>
        <v>324.4329163100719</v>
      </c>
      <c r="S20">
        <f t="shared" si="4"/>
        <v>1</v>
      </c>
      <c r="T20">
        <f t="shared" si="5"/>
        <v>23.3999998168945</v>
      </c>
      <c r="U20" t="str">
        <f t="shared" si="6"/>
        <v/>
      </c>
    </row>
    <row r="21" spans="1:21" x14ac:dyDescent="0.3">
      <c r="A21" s="1">
        <v>42951</v>
      </c>
      <c r="B21">
        <v>312.85000000000002</v>
      </c>
      <c r="C21">
        <v>336.35000037670102</v>
      </c>
      <c r="D21">
        <v>23.500000376701301</v>
      </c>
      <c r="E21" s="1">
        <v>43042</v>
      </c>
      <c r="F21">
        <v>0.85283339023589999</v>
      </c>
      <c r="G21">
        <v>7.5115871429443297</v>
      </c>
      <c r="M21">
        <v>9.0092958803457783</v>
      </c>
      <c r="N21" s="1">
        <v>43042</v>
      </c>
      <c r="O21">
        <f t="shared" si="0"/>
        <v>354.36859213739257</v>
      </c>
      <c r="P21">
        <f t="shared" si="1"/>
        <v>318.33140861600947</v>
      </c>
      <c r="Q21">
        <f t="shared" si="2"/>
        <v>336.35000037670102</v>
      </c>
      <c r="R21">
        <f t="shared" si="3"/>
        <v>315.51808926135305</v>
      </c>
      <c r="S21">
        <f t="shared" si="4"/>
        <v>0</v>
      </c>
      <c r="T21" t="str">
        <f t="shared" si="5"/>
        <v/>
      </c>
      <c r="U21">
        <f t="shared" si="6"/>
        <v>23.500000376701301</v>
      </c>
    </row>
    <row r="22" spans="1:21" x14ac:dyDescent="0.3">
      <c r="A22" s="1">
        <v>42954</v>
      </c>
      <c r="B22">
        <v>312.89999999999998</v>
      </c>
      <c r="C22">
        <v>334.14999951696302</v>
      </c>
      <c r="D22">
        <v>21.2499995169639</v>
      </c>
      <c r="E22" s="1">
        <v>43045</v>
      </c>
      <c r="F22">
        <v>0.71167474985122603</v>
      </c>
      <c r="G22">
        <v>6.7913069725036603</v>
      </c>
      <c r="M22">
        <v>9.3140300756439487</v>
      </c>
      <c r="N22" s="1">
        <v>43045</v>
      </c>
      <c r="O22">
        <f t="shared" si="0"/>
        <v>352.77805966825093</v>
      </c>
      <c r="P22">
        <f t="shared" si="1"/>
        <v>315.52193936567511</v>
      </c>
      <c r="Q22">
        <f t="shared" si="2"/>
        <v>334.14999951696302</v>
      </c>
      <c r="R22">
        <f t="shared" si="3"/>
        <v>315.12683029228447</v>
      </c>
      <c r="S22">
        <f t="shared" si="4"/>
        <v>0</v>
      </c>
      <c r="T22" t="str">
        <f t="shared" si="5"/>
        <v/>
      </c>
      <c r="U22">
        <f t="shared" si="6"/>
        <v>21.2499995169639</v>
      </c>
    </row>
    <row r="23" spans="1:21" x14ac:dyDescent="0.3">
      <c r="A23" s="1">
        <v>42955</v>
      </c>
      <c r="B23">
        <v>312.85000000000002</v>
      </c>
      <c r="C23">
        <v>333.74999954152099</v>
      </c>
      <c r="D23">
        <v>20.899999541521002</v>
      </c>
      <c r="E23" s="1">
        <v>43046</v>
      </c>
      <c r="F23">
        <v>1.8556369543075499</v>
      </c>
      <c r="G23">
        <v>6.6805176734924299</v>
      </c>
      <c r="M23">
        <v>9.5856255062543454</v>
      </c>
      <c r="N23" s="1">
        <v>43046</v>
      </c>
      <c r="O23">
        <f t="shared" si="0"/>
        <v>352.92125055402971</v>
      </c>
      <c r="P23">
        <f t="shared" si="1"/>
        <v>314.57874852901227</v>
      </c>
      <c r="Q23">
        <f t="shared" si="2"/>
        <v>333.74999954152099</v>
      </c>
      <c r="R23">
        <f t="shared" si="3"/>
        <v>318.65536021155117</v>
      </c>
      <c r="S23">
        <f t="shared" si="4"/>
        <v>1</v>
      </c>
      <c r="T23">
        <f t="shared" si="5"/>
        <v>20.899999541521002</v>
      </c>
      <c r="U23" t="str">
        <f t="shared" si="6"/>
        <v/>
      </c>
    </row>
    <row r="24" spans="1:21" x14ac:dyDescent="0.3">
      <c r="A24" s="1">
        <v>42956</v>
      </c>
      <c r="B24">
        <v>308.64999999999998</v>
      </c>
      <c r="C24">
        <v>335.24999870109502</v>
      </c>
      <c r="D24">
        <v>26.599998701095501</v>
      </c>
      <c r="E24" s="1">
        <v>43047</v>
      </c>
      <c r="F24">
        <v>2.7552061080932599</v>
      </c>
      <c r="G24">
        <v>8.6181755065917898</v>
      </c>
      <c r="M24">
        <v>9.8484155305073564</v>
      </c>
      <c r="N24" s="1">
        <v>43047</v>
      </c>
      <c r="O24">
        <f t="shared" si="0"/>
        <v>354.94682976210976</v>
      </c>
      <c r="P24">
        <f t="shared" si="1"/>
        <v>315.55316764008029</v>
      </c>
      <c r="Q24">
        <f t="shared" si="2"/>
        <v>335.24999870109502</v>
      </c>
      <c r="R24">
        <f t="shared" si="3"/>
        <v>317.15394365262983</v>
      </c>
      <c r="S24">
        <f t="shared" si="4"/>
        <v>1</v>
      </c>
      <c r="T24">
        <f t="shared" si="5"/>
        <v>26.599998701095501</v>
      </c>
      <c r="U24" t="str">
        <f t="shared" si="6"/>
        <v/>
      </c>
    </row>
    <row r="25" spans="1:21" x14ac:dyDescent="0.3">
      <c r="A25" s="1">
        <v>42957</v>
      </c>
      <c r="B25">
        <v>307.25</v>
      </c>
      <c r="C25">
        <v>333.65000125408102</v>
      </c>
      <c r="D25">
        <v>26.400001254081701</v>
      </c>
      <c r="E25" s="1">
        <v>43048</v>
      </c>
      <c r="F25">
        <v>5.5783147811889604</v>
      </c>
      <c r="G25">
        <v>8.5923519134521396</v>
      </c>
      <c r="M25">
        <v>10.024276302288131</v>
      </c>
      <c r="N25" s="1">
        <v>43048</v>
      </c>
      <c r="O25">
        <f t="shared" si="0"/>
        <v>353.69855385865731</v>
      </c>
      <c r="P25">
        <f t="shared" si="1"/>
        <v>313.60144864950473</v>
      </c>
      <c r="Q25">
        <f t="shared" si="2"/>
        <v>333.65000125408102</v>
      </c>
      <c r="R25">
        <f t="shared" si="3"/>
        <v>324.3893721652031</v>
      </c>
      <c r="S25">
        <f t="shared" si="4"/>
        <v>1</v>
      </c>
      <c r="T25">
        <f t="shared" si="5"/>
        <v>26.400001254081701</v>
      </c>
      <c r="U25" t="str">
        <f t="shared" si="6"/>
        <v/>
      </c>
    </row>
    <row r="26" spans="1:21" x14ac:dyDescent="0.3">
      <c r="A26" s="1">
        <v>42958</v>
      </c>
      <c r="B26">
        <v>301.5</v>
      </c>
      <c r="C26">
        <v>332.89999999523098</v>
      </c>
      <c r="D26">
        <v>31.3999999952316</v>
      </c>
      <c r="E26" s="1">
        <v>43049</v>
      </c>
      <c r="F26">
        <v>6.3829011917114196</v>
      </c>
      <c r="G26">
        <v>10.414593696594199</v>
      </c>
      <c r="M26">
        <v>10.050746240951467</v>
      </c>
      <c r="N26" s="1">
        <v>43049</v>
      </c>
      <c r="O26">
        <f t="shared" si="0"/>
        <v>353.00149247713392</v>
      </c>
      <c r="P26">
        <f t="shared" si="1"/>
        <v>312.79850751332805</v>
      </c>
      <c r="Q26">
        <f t="shared" si="2"/>
        <v>332.89999999523098</v>
      </c>
      <c r="R26">
        <f t="shared" si="3"/>
        <v>320.74444709300991</v>
      </c>
      <c r="S26">
        <f t="shared" si="4"/>
        <v>1</v>
      </c>
      <c r="T26">
        <f t="shared" si="5"/>
        <v>31.3999999952316</v>
      </c>
      <c r="U26" t="str">
        <f t="shared" si="6"/>
        <v/>
      </c>
    </row>
    <row r="27" spans="1:21" x14ac:dyDescent="0.3">
      <c r="A27" s="1">
        <v>42961</v>
      </c>
      <c r="B27">
        <v>304.60000000000002</v>
      </c>
      <c r="C27">
        <v>331.54999870109498</v>
      </c>
      <c r="D27">
        <v>26.949998701095499</v>
      </c>
      <c r="E27" s="1">
        <v>43052</v>
      </c>
      <c r="F27">
        <v>5.1515474319457999</v>
      </c>
      <c r="G27">
        <v>8.8476686477661097</v>
      </c>
      <c r="M27">
        <v>10.091207973547302</v>
      </c>
      <c r="N27" s="1">
        <v>43052</v>
      </c>
      <c r="O27">
        <f t="shared" si="0"/>
        <v>351.7324146481896</v>
      </c>
      <c r="P27">
        <f t="shared" si="1"/>
        <v>311.36758275400035</v>
      </c>
      <c r="Q27">
        <f t="shared" si="2"/>
        <v>331.54999870109498</v>
      </c>
      <c r="R27">
        <f t="shared" si="3"/>
        <v>320.2916134777069</v>
      </c>
      <c r="S27">
        <f t="shared" si="4"/>
        <v>1</v>
      </c>
      <c r="T27">
        <f t="shared" si="5"/>
        <v>26.949998701095499</v>
      </c>
      <c r="U27" t="str">
        <f t="shared" si="6"/>
        <v/>
      </c>
    </row>
    <row r="28" spans="1:21" x14ac:dyDescent="0.3">
      <c r="A28" s="1">
        <v>42962</v>
      </c>
      <c r="B28">
        <v>304.60000000000002</v>
      </c>
      <c r="C28">
        <v>331.300000793457</v>
      </c>
      <c r="D28">
        <v>26.700000793457001</v>
      </c>
      <c r="E28" s="1">
        <v>43053</v>
      </c>
      <c r="F28">
        <v>5.5259771347045898</v>
      </c>
      <c r="G28">
        <v>8.7655944824218697</v>
      </c>
      <c r="M28">
        <v>10.108969265725595</v>
      </c>
      <c r="N28" s="1">
        <v>43053</v>
      </c>
      <c r="O28">
        <f t="shared" si="0"/>
        <v>351.51793932490818</v>
      </c>
      <c r="P28">
        <f t="shared" si="1"/>
        <v>311.08206226200582</v>
      </c>
      <c r="Q28">
        <f t="shared" si="2"/>
        <v>331.300000793457</v>
      </c>
      <c r="R28">
        <f t="shared" si="3"/>
        <v>321.43212635231021</v>
      </c>
      <c r="S28">
        <f t="shared" si="4"/>
        <v>1</v>
      </c>
      <c r="T28">
        <f t="shared" si="5"/>
        <v>26.700000793457001</v>
      </c>
      <c r="U28" t="str">
        <f t="shared" si="6"/>
        <v/>
      </c>
    </row>
    <row r="29" spans="1:21" x14ac:dyDescent="0.3">
      <c r="A29" s="1">
        <v>42963</v>
      </c>
      <c r="B29">
        <v>306.25</v>
      </c>
      <c r="C29">
        <v>329.149999886751</v>
      </c>
      <c r="D29">
        <v>22.8999998867511</v>
      </c>
      <c r="E29" s="1">
        <v>43054</v>
      </c>
      <c r="F29">
        <v>4.1185979843139604</v>
      </c>
      <c r="G29">
        <v>7.4775509834289497</v>
      </c>
      <c r="M29">
        <v>10.101833182835984</v>
      </c>
      <c r="N29" s="1">
        <v>43054</v>
      </c>
      <c r="O29">
        <f t="shared" si="0"/>
        <v>349.35366625242295</v>
      </c>
      <c r="P29">
        <f t="shared" si="1"/>
        <v>308.94633352107905</v>
      </c>
      <c r="Q29">
        <f t="shared" si="2"/>
        <v>329.149999886751</v>
      </c>
      <c r="R29">
        <f t="shared" si="3"/>
        <v>318.86320632696152</v>
      </c>
      <c r="S29">
        <f t="shared" si="4"/>
        <v>1</v>
      </c>
      <c r="T29">
        <f t="shared" si="5"/>
        <v>22.8999998867511</v>
      </c>
      <c r="U29" t="str">
        <f t="shared" si="6"/>
        <v/>
      </c>
    </row>
    <row r="30" spans="1:21" x14ac:dyDescent="0.3">
      <c r="A30" s="1">
        <v>42964</v>
      </c>
      <c r="B30">
        <v>307.89999999999998</v>
      </c>
      <c r="C30">
        <v>331.30000036096499</v>
      </c>
      <c r="D30">
        <v>23.400000360965699</v>
      </c>
      <c r="E30" s="1">
        <v>43055</v>
      </c>
      <c r="F30">
        <v>5.9552044868469203</v>
      </c>
      <c r="G30">
        <v>7.59987020492553</v>
      </c>
      <c r="M30">
        <v>10.150300298702801</v>
      </c>
      <c r="N30" s="1">
        <v>43055</v>
      </c>
      <c r="O30">
        <f t="shared" si="0"/>
        <v>351.60060095837059</v>
      </c>
      <c r="P30">
        <f t="shared" si="1"/>
        <v>310.99939976355938</v>
      </c>
      <c r="Q30">
        <f t="shared" si="2"/>
        <v>331.30000036096499</v>
      </c>
      <c r="R30">
        <f t="shared" si="3"/>
        <v>326.23607461500166</v>
      </c>
      <c r="S30">
        <f t="shared" si="4"/>
        <v>1</v>
      </c>
      <c r="T30">
        <f t="shared" si="5"/>
        <v>23.400000360965699</v>
      </c>
      <c r="U30" t="str">
        <f t="shared" si="6"/>
        <v/>
      </c>
    </row>
    <row r="31" spans="1:21" x14ac:dyDescent="0.3">
      <c r="A31" s="1">
        <v>42965</v>
      </c>
      <c r="B31">
        <v>307.75</v>
      </c>
      <c r="C31">
        <v>330.95000031232797</v>
      </c>
      <c r="D31">
        <v>23.200000312328299</v>
      </c>
      <c r="E31" s="1">
        <v>43056</v>
      </c>
      <c r="F31">
        <v>6.8160195350646902</v>
      </c>
      <c r="G31">
        <v>7.5385866165161097</v>
      </c>
      <c r="M31">
        <v>10.176474567127096</v>
      </c>
      <c r="N31" s="1">
        <v>43056</v>
      </c>
      <c r="O31">
        <f t="shared" si="0"/>
        <v>351.30294944658215</v>
      </c>
      <c r="P31">
        <f t="shared" si="1"/>
        <v>310.5970511780738</v>
      </c>
      <c r="Q31">
        <f t="shared" si="2"/>
        <v>330.95000031232797</v>
      </c>
      <c r="R31">
        <f t="shared" si="3"/>
        <v>328.72630011916158</v>
      </c>
      <c r="S31">
        <f t="shared" si="4"/>
        <v>1</v>
      </c>
      <c r="T31">
        <f t="shared" si="5"/>
        <v>23.200000312328299</v>
      </c>
      <c r="U31" t="str">
        <f t="shared" si="6"/>
        <v/>
      </c>
    </row>
    <row r="32" spans="1:21" x14ac:dyDescent="0.3">
      <c r="A32" s="1">
        <v>42968</v>
      </c>
      <c r="B32">
        <v>307.05</v>
      </c>
      <c r="C32">
        <v>329.45000051593701</v>
      </c>
      <c r="D32">
        <v>22.400000515937698</v>
      </c>
      <c r="E32" s="1">
        <v>43059</v>
      </c>
      <c r="F32">
        <v>6.9555816650390598</v>
      </c>
      <c r="G32">
        <v>7.2952289581298801</v>
      </c>
      <c r="M32">
        <v>10.151787451554455</v>
      </c>
      <c r="N32" s="1">
        <v>43059</v>
      </c>
      <c r="O32">
        <f t="shared" si="0"/>
        <v>349.75357541904589</v>
      </c>
      <c r="P32">
        <f t="shared" si="1"/>
        <v>309.14642561282812</v>
      </c>
      <c r="Q32">
        <f t="shared" si="2"/>
        <v>329.45000051593701</v>
      </c>
      <c r="R32">
        <f t="shared" si="3"/>
        <v>328.40711350250245</v>
      </c>
      <c r="S32">
        <f t="shared" si="4"/>
        <v>1</v>
      </c>
      <c r="T32">
        <f t="shared" si="5"/>
        <v>22.400000515937698</v>
      </c>
      <c r="U32" t="str">
        <f t="shared" si="6"/>
        <v/>
      </c>
    </row>
    <row r="33" spans="1:21" x14ac:dyDescent="0.3">
      <c r="A33" s="1">
        <v>42969</v>
      </c>
      <c r="B33">
        <v>308.7</v>
      </c>
      <c r="C33">
        <v>330.84999985885599</v>
      </c>
      <c r="D33">
        <v>22.149999858856098</v>
      </c>
      <c r="E33" s="1">
        <v>43060</v>
      </c>
      <c r="F33">
        <v>7.9576854705810502</v>
      </c>
      <c r="G33">
        <v>7.1752510070800701</v>
      </c>
      <c r="M33">
        <v>10.1676409198496</v>
      </c>
      <c r="N33" s="1">
        <v>43060</v>
      </c>
      <c r="O33">
        <f t="shared" si="0"/>
        <v>351.18528169855517</v>
      </c>
      <c r="P33">
        <f t="shared" si="1"/>
        <v>310.51471801915682</v>
      </c>
      <c r="Q33">
        <f t="shared" si="2"/>
        <v>330.84999985885599</v>
      </c>
      <c r="R33">
        <f t="shared" si="3"/>
        <v>333.26537504768368</v>
      </c>
      <c r="S33">
        <f t="shared" si="4"/>
        <v>1</v>
      </c>
      <c r="T33">
        <f t="shared" si="5"/>
        <v>22.149999858856098</v>
      </c>
      <c r="U33" t="str">
        <f t="shared" si="6"/>
        <v/>
      </c>
    </row>
    <row r="34" spans="1:21" x14ac:dyDescent="0.3">
      <c r="A34" s="1">
        <v>42970</v>
      </c>
      <c r="B34">
        <v>308.60000000000002</v>
      </c>
      <c r="C34">
        <v>332.55000061225797</v>
      </c>
      <c r="D34">
        <v>23.950000612258901</v>
      </c>
      <c r="E34" s="1">
        <v>43061</v>
      </c>
      <c r="F34">
        <v>6.08929443359375</v>
      </c>
      <c r="G34">
        <v>7.7608556747436497</v>
      </c>
      <c r="M34">
        <v>10.201106592970875</v>
      </c>
      <c r="N34" s="1">
        <v>43061</v>
      </c>
      <c r="O34">
        <f t="shared" si="0"/>
        <v>352.95221379819975</v>
      </c>
      <c r="P34">
        <f t="shared" si="1"/>
        <v>312.1477874263162</v>
      </c>
      <c r="Q34">
        <f t="shared" si="2"/>
        <v>332.55000061225797</v>
      </c>
      <c r="R34">
        <f t="shared" si="3"/>
        <v>327.39156262207035</v>
      </c>
      <c r="S34">
        <f t="shared" si="4"/>
        <v>1</v>
      </c>
      <c r="T34">
        <f t="shared" si="5"/>
        <v>23.950000612258901</v>
      </c>
      <c r="U34" t="str">
        <f t="shared" si="6"/>
        <v/>
      </c>
    </row>
    <row r="35" spans="1:21" x14ac:dyDescent="0.3">
      <c r="A35" s="1">
        <v>42971</v>
      </c>
      <c r="B35">
        <v>310.10000000000002</v>
      </c>
      <c r="C35">
        <v>331.44999977636297</v>
      </c>
      <c r="D35">
        <v>21.349999776363301</v>
      </c>
      <c r="E35" s="1">
        <v>43062</v>
      </c>
      <c r="F35">
        <v>5.0235328674316397</v>
      </c>
      <c r="G35">
        <v>6.8848757743835396</v>
      </c>
      <c r="M35">
        <v>10.226004981644369</v>
      </c>
      <c r="N35" s="1">
        <v>43062</v>
      </c>
      <c r="O35">
        <f t="shared" si="0"/>
        <v>351.9020097396517</v>
      </c>
      <c r="P35">
        <f t="shared" si="1"/>
        <v>310.99798981307424</v>
      </c>
      <c r="Q35">
        <f t="shared" si="2"/>
        <v>331.44999977636297</v>
      </c>
      <c r="R35">
        <f t="shared" si="3"/>
        <v>325.67797542190556</v>
      </c>
      <c r="S35">
        <f t="shared" si="4"/>
        <v>1</v>
      </c>
      <c r="T35">
        <f t="shared" si="5"/>
        <v>21.349999776363301</v>
      </c>
      <c r="U35" t="str">
        <f t="shared" si="6"/>
        <v/>
      </c>
    </row>
    <row r="36" spans="1:21" x14ac:dyDescent="0.3">
      <c r="A36" s="1">
        <v>42972</v>
      </c>
      <c r="B36">
        <v>310.25</v>
      </c>
      <c r="C36">
        <v>332.24999935746098</v>
      </c>
      <c r="D36">
        <v>21.999999357461899</v>
      </c>
      <c r="E36" s="1">
        <v>43063</v>
      </c>
      <c r="F36">
        <v>5.4509015083312899</v>
      </c>
      <c r="G36">
        <v>7.0910553932189897</v>
      </c>
      <c r="M36">
        <v>10.256343018609734</v>
      </c>
      <c r="N36" s="1">
        <v>43063</v>
      </c>
      <c r="O36">
        <f t="shared" si="0"/>
        <v>352.76268539468043</v>
      </c>
      <c r="P36">
        <f t="shared" si="1"/>
        <v>311.73731332024153</v>
      </c>
      <c r="Q36">
        <f t="shared" si="2"/>
        <v>332.24999935746098</v>
      </c>
      <c r="R36">
        <f t="shared" si="3"/>
        <v>327.16142192959785</v>
      </c>
      <c r="S36">
        <f t="shared" si="4"/>
        <v>1</v>
      </c>
      <c r="T36">
        <f t="shared" si="5"/>
        <v>21.999999357461899</v>
      </c>
      <c r="U36" t="str">
        <f t="shared" si="6"/>
        <v/>
      </c>
    </row>
    <row r="37" spans="1:21" x14ac:dyDescent="0.3">
      <c r="A37" s="1">
        <v>42975</v>
      </c>
      <c r="B37">
        <v>308.2</v>
      </c>
      <c r="C37">
        <v>325.89999957466102</v>
      </c>
      <c r="D37">
        <v>17.699999574661199</v>
      </c>
      <c r="E37" s="1">
        <v>43066</v>
      </c>
      <c r="F37">
        <v>5.2077698707580504</v>
      </c>
      <c r="G37">
        <v>5.7430238723754803</v>
      </c>
      <c r="M37">
        <v>10.158763268914489</v>
      </c>
      <c r="N37" s="1">
        <v>43066</v>
      </c>
      <c r="O37">
        <f t="shared" si="0"/>
        <v>346.21752611249002</v>
      </c>
      <c r="P37">
        <f t="shared" si="1"/>
        <v>305.58247303683203</v>
      </c>
      <c r="Q37">
        <f t="shared" si="2"/>
        <v>325.89999957466102</v>
      </c>
      <c r="R37">
        <f t="shared" si="3"/>
        <v>324.25034674167631</v>
      </c>
      <c r="S37">
        <f t="shared" si="4"/>
        <v>1</v>
      </c>
      <c r="T37">
        <f t="shared" si="5"/>
        <v>17.699999574661199</v>
      </c>
      <c r="U37" t="str">
        <f t="shared" si="6"/>
        <v/>
      </c>
    </row>
    <row r="38" spans="1:21" x14ac:dyDescent="0.3">
      <c r="A38" s="1">
        <v>42976</v>
      </c>
      <c r="B38">
        <v>307.14999999999998</v>
      </c>
      <c r="C38">
        <v>327.70000043201401</v>
      </c>
      <c r="D38">
        <v>20.5500004320144</v>
      </c>
      <c r="E38" s="1">
        <v>43067</v>
      </c>
      <c r="F38">
        <v>3.8793554306030198</v>
      </c>
      <c r="G38">
        <v>6.6905422210693297</v>
      </c>
      <c r="M38">
        <v>10.046864046231619</v>
      </c>
      <c r="N38" s="1">
        <v>43067</v>
      </c>
      <c r="O38">
        <f t="shared" si="0"/>
        <v>347.79372852447727</v>
      </c>
      <c r="P38">
        <f t="shared" si="1"/>
        <v>307.60627233955074</v>
      </c>
      <c r="Q38">
        <f t="shared" si="2"/>
        <v>327.70000043201401</v>
      </c>
      <c r="R38">
        <f t="shared" si="3"/>
        <v>319.06544020509716</v>
      </c>
      <c r="S38">
        <f t="shared" si="4"/>
        <v>1</v>
      </c>
      <c r="T38">
        <f t="shared" si="5"/>
        <v>20.5500004320144</v>
      </c>
      <c r="U38" t="str">
        <f t="shared" si="6"/>
        <v/>
      </c>
    </row>
    <row r="39" spans="1:21" x14ac:dyDescent="0.3">
      <c r="A39" s="1">
        <v>42977</v>
      </c>
      <c r="B39">
        <v>309</v>
      </c>
      <c r="C39">
        <v>327.69999941825802</v>
      </c>
      <c r="D39">
        <v>18.699999418258599</v>
      </c>
      <c r="E39" s="1">
        <v>43068</v>
      </c>
      <c r="F39">
        <v>4.6553936004638601</v>
      </c>
      <c r="G39">
        <v>6.0517797470092702</v>
      </c>
      <c r="M39">
        <v>9.962235603575829</v>
      </c>
      <c r="N39" s="1">
        <v>43068</v>
      </c>
      <c r="O39">
        <f t="shared" si="0"/>
        <v>347.62447062540969</v>
      </c>
      <c r="P39">
        <f t="shared" si="1"/>
        <v>307.77552821110635</v>
      </c>
      <c r="Q39">
        <f t="shared" si="2"/>
        <v>327.69999941825802</v>
      </c>
      <c r="R39">
        <f t="shared" si="3"/>
        <v>323.38516622543335</v>
      </c>
      <c r="S39">
        <f t="shared" si="4"/>
        <v>1</v>
      </c>
      <c r="T39">
        <f t="shared" si="5"/>
        <v>18.699999418258599</v>
      </c>
      <c r="U39" t="str">
        <f t="shared" si="6"/>
        <v/>
      </c>
    </row>
    <row r="40" spans="1:21" x14ac:dyDescent="0.3">
      <c r="A40" s="1">
        <v>42978</v>
      </c>
      <c r="B40">
        <v>306.64999999999998</v>
      </c>
      <c r="C40">
        <v>322.25000019860198</v>
      </c>
      <c r="D40">
        <v>15.600000198602601</v>
      </c>
      <c r="E40" s="1">
        <v>43069</v>
      </c>
      <c r="F40">
        <v>5.6124019622802699</v>
      </c>
      <c r="G40">
        <v>5.0872330665588299</v>
      </c>
      <c r="M40">
        <v>9.7879332967258108</v>
      </c>
      <c r="N40" s="1">
        <v>43069</v>
      </c>
      <c r="O40">
        <f t="shared" si="0"/>
        <v>341.8258667920536</v>
      </c>
      <c r="P40">
        <f t="shared" si="1"/>
        <v>302.67413360515036</v>
      </c>
      <c r="Q40">
        <f t="shared" si="2"/>
        <v>322.25000019860198</v>
      </c>
      <c r="R40">
        <f t="shared" si="3"/>
        <v>323.86043061733244</v>
      </c>
      <c r="S40">
        <f t="shared" si="4"/>
        <v>1</v>
      </c>
      <c r="T40">
        <f t="shared" si="5"/>
        <v>15.600000198602601</v>
      </c>
      <c r="U40" t="str">
        <f t="shared" si="6"/>
        <v/>
      </c>
    </row>
    <row r="41" spans="1:21" x14ac:dyDescent="0.3">
      <c r="A41" s="1">
        <v>42979</v>
      </c>
      <c r="B41">
        <v>306.3</v>
      </c>
      <c r="C41">
        <v>321.84999993038099</v>
      </c>
      <c r="D41">
        <v>15.5499999303817</v>
      </c>
      <c r="E41" s="1">
        <v>43070</v>
      </c>
      <c r="F41">
        <v>4.2591023445129297</v>
      </c>
      <c r="G41">
        <v>5.0767221450805602</v>
      </c>
      <c r="M41">
        <v>9.5954941098172952</v>
      </c>
      <c r="N41" s="1">
        <v>43070</v>
      </c>
      <c r="O41">
        <f t="shared" si="0"/>
        <v>341.04098815001555</v>
      </c>
      <c r="P41">
        <f t="shared" si="1"/>
        <v>302.65901171074643</v>
      </c>
      <c r="Q41">
        <f t="shared" si="2"/>
        <v>321.84999993038099</v>
      </c>
      <c r="R41">
        <f t="shared" si="3"/>
        <v>319.34563048124312</v>
      </c>
      <c r="S41">
        <f t="shared" si="4"/>
        <v>1</v>
      </c>
      <c r="T41">
        <f t="shared" si="5"/>
        <v>15.5499999303817</v>
      </c>
      <c r="U41" t="str">
        <f t="shared" si="6"/>
        <v/>
      </c>
    </row>
    <row r="42" spans="1:21" x14ac:dyDescent="0.3">
      <c r="A42" s="1">
        <v>42982</v>
      </c>
      <c r="B42">
        <v>303.5</v>
      </c>
      <c r="C42">
        <v>324.99999967098199</v>
      </c>
      <c r="D42">
        <v>21.499999670982302</v>
      </c>
      <c r="E42" s="1">
        <v>43073</v>
      </c>
      <c r="F42">
        <v>3.32854747772216</v>
      </c>
      <c r="G42">
        <v>7.0840196609496999</v>
      </c>
      <c r="M42">
        <v>9.3189154463464146</v>
      </c>
      <c r="N42" s="1">
        <v>43073</v>
      </c>
      <c r="O42">
        <f t="shared" si="0"/>
        <v>343.63783056367481</v>
      </c>
      <c r="P42">
        <f t="shared" si="1"/>
        <v>306.36216877828917</v>
      </c>
      <c r="Q42">
        <f t="shared" si="2"/>
        <v>324.99999967098199</v>
      </c>
      <c r="R42">
        <f t="shared" si="3"/>
        <v>313.60214159488675</v>
      </c>
      <c r="S42">
        <f t="shared" si="4"/>
        <v>1</v>
      </c>
      <c r="T42">
        <f t="shared" si="5"/>
        <v>21.499999670982302</v>
      </c>
      <c r="U42" t="str">
        <f t="shared" si="6"/>
        <v/>
      </c>
    </row>
    <row r="43" spans="1:21" x14ac:dyDescent="0.3">
      <c r="A43" s="1">
        <v>42983</v>
      </c>
      <c r="B43">
        <v>302.7</v>
      </c>
      <c r="C43">
        <v>326.59999948596902</v>
      </c>
      <c r="D43">
        <v>23.899999485969499</v>
      </c>
      <c r="E43" s="1">
        <v>43074</v>
      </c>
      <c r="F43">
        <v>3.9919652938842698</v>
      </c>
      <c r="G43">
        <v>7.8956060409545898</v>
      </c>
      <c r="M43">
        <v>9.0036003749354876</v>
      </c>
      <c r="N43" s="1">
        <v>43074</v>
      </c>
      <c r="O43">
        <f t="shared" si="0"/>
        <v>344.60720023583997</v>
      </c>
      <c r="P43">
        <f t="shared" si="1"/>
        <v>308.59279873609808</v>
      </c>
      <c r="Q43">
        <f t="shared" si="2"/>
        <v>326.59999948596902</v>
      </c>
      <c r="R43">
        <f t="shared" si="3"/>
        <v>314.78367894458768</v>
      </c>
      <c r="S43">
        <f t="shared" si="4"/>
        <v>1</v>
      </c>
      <c r="T43">
        <f t="shared" si="5"/>
        <v>23.899999485969499</v>
      </c>
      <c r="U43" t="str">
        <f t="shared" si="6"/>
        <v/>
      </c>
    </row>
    <row r="44" spans="1:21" x14ac:dyDescent="0.3">
      <c r="A44" s="1">
        <v>42984</v>
      </c>
      <c r="B44">
        <v>302.3</v>
      </c>
      <c r="C44">
        <v>321.64999963998798</v>
      </c>
      <c r="D44">
        <v>19.3499996399879</v>
      </c>
      <c r="E44" s="1">
        <v>43075</v>
      </c>
      <c r="F44">
        <v>4.6651940345764098</v>
      </c>
      <c r="G44">
        <v>6.4009261131286603</v>
      </c>
      <c r="M44">
        <v>8.6353121185406732</v>
      </c>
      <c r="N44" s="1">
        <v>43075</v>
      </c>
      <c r="O44">
        <f t="shared" si="0"/>
        <v>338.92062387706932</v>
      </c>
      <c r="P44">
        <f t="shared" si="1"/>
        <v>304.37937540290665</v>
      </c>
      <c r="Q44">
        <f t="shared" si="2"/>
        <v>321.64999963998798</v>
      </c>
      <c r="R44">
        <f t="shared" si="3"/>
        <v>316.40288156652451</v>
      </c>
      <c r="S44">
        <f t="shared" si="4"/>
        <v>1</v>
      </c>
      <c r="T44">
        <f t="shared" si="5"/>
        <v>19.3499996399879</v>
      </c>
      <c r="U44" t="str">
        <f t="shared" si="6"/>
        <v/>
      </c>
    </row>
    <row r="45" spans="1:21" x14ac:dyDescent="0.3">
      <c r="A45" s="1">
        <v>42985</v>
      </c>
      <c r="B45">
        <v>306.2</v>
      </c>
      <c r="C45">
        <v>320.69999982261601</v>
      </c>
      <c r="D45">
        <v>14.4999998226165</v>
      </c>
      <c r="E45" s="1">
        <v>43076</v>
      </c>
      <c r="F45">
        <v>1.4454870223998999</v>
      </c>
      <c r="G45">
        <v>4.7354669570922798</v>
      </c>
      <c r="M45">
        <v>8.3815888261116687</v>
      </c>
      <c r="N45" s="1">
        <v>43076</v>
      </c>
      <c r="O45">
        <f t="shared" si="0"/>
        <v>337.46317747483937</v>
      </c>
      <c r="P45">
        <f t="shared" si="1"/>
        <v>303.93682217039265</v>
      </c>
      <c r="Q45">
        <f t="shared" si="2"/>
        <v>320.69999982261601</v>
      </c>
      <c r="R45">
        <f t="shared" si="3"/>
        <v>310.62608126258846</v>
      </c>
      <c r="S45">
        <f t="shared" si="4"/>
        <v>1</v>
      </c>
      <c r="T45">
        <f t="shared" si="5"/>
        <v>14.4999998226165</v>
      </c>
      <c r="U45" t="str">
        <f t="shared" si="6"/>
        <v/>
      </c>
    </row>
    <row r="46" spans="1:21" x14ac:dyDescent="0.3">
      <c r="A46" s="1">
        <v>42986</v>
      </c>
      <c r="B46">
        <v>306.25</v>
      </c>
      <c r="C46">
        <v>321.40000066161099</v>
      </c>
      <c r="D46">
        <v>15.1500006616115</v>
      </c>
      <c r="E46" s="1">
        <v>43077</v>
      </c>
      <c r="F46">
        <v>4.8838086128234801</v>
      </c>
      <c r="G46">
        <v>4.94693899154663</v>
      </c>
      <c r="M46">
        <v>8.1123029488928324</v>
      </c>
      <c r="N46" s="1">
        <v>43077</v>
      </c>
      <c r="O46">
        <f t="shared" si="0"/>
        <v>337.62460655939663</v>
      </c>
      <c r="P46">
        <f t="shared" si="1"/>
        <v>305.17539476382535</v>
      </c>
      <c r="Q46">
        <f t="shared" si="2"/>
        <v>321.40000066161099</v>
      </c>
      <c r="R46">
        <f t="shared" si="3"/>
        <v>321.20666387677193</v>
      </c>
      <c r="S46">
        <f t="shared" si="4"/>
        <v>1</v>
      </c>
      <c r="T46">
        <f t="shared" si="5"/>
        <v>15.1500006616115</v>
      </c>
      <c r="U46" t="str">
        <f t="shared" si="6"/>
        <v/>
      </c>
    </row>
    <row r="47" spans="1:21" x14ac:dyDescent="0.3">
      <c r="A47" s="1">
        <v>42989</v>
      </c>
      <c r="B47">
        <v>309.25</v>
      </c>
      <c r="C47">
        <v>321.49999993681899</v>
      </c>
      <c r="D47">
        <v>12.249999936819</v>
      </c>
      <c r="E47" s="1">
        <v>43080</v>
      </c>
      <c r="F47">
        <v>1.1769757270812899</v>
      </c>
      <c r="G47">
        <v>3.9611964225768999</v>
      </c>
      <c r="M47">
        <v>7.9202754510909417</v>
      </c>
      <c r="N47" s="1">
        <v>43080</v>
      </c>
      <c r="O47">
        <f t="shared" si="0"/>
        <v>337.34055083900085</v>
      </c>
      <c r="P47">
        <f t="shared" si="1"/>
        <v>305.65944903463713</v>
      </c>
      <c r="Q47">
        <f t="shared" si="2"/>
        <v>321.49999993681899</v>
      </c>
      <c r="R47">
        <f t="shared" si="3"/>
        <v>312.8897974359989</v>
      </c>
      <c r="S47">
        <f t="shared" si="4"/>
        <v>1</v>
      </c>
      <c r="T47">
        <f t="shared" si="5"/>
        <v>12.249999936819</v>
      </c>
      <c r="U47" t="str">
        <f t="shared" si="6"/>
        <v/>
      </c>
    </row>
    <row r="48" spans="1:21" x14ac:dyDescent="0.3">
      <c r="A48" s="1">
        <v>42990</v>
      </c>
      <c r="B48">
        <v>309.2</v>
      </c>
      <c r="C48">
        <v>320.45000012493102</v>
      </c>
      <c r="D48">
        <v>11.250000124931301</v>
      </c>
      <c r="E48" s="1">
        <v>43081</v>
      </c>
      <c r="F48">
        <v>1.9777799844741799</v>
      </c>
      <c r="G48">
        <v>3.6384217739105198</v>
      </c>
      <c r="M48">
        <v>7.7231132560247113</v>
      </c>
      <c r="N48" s="1">
        <v>43081</v>
      </c>
      <c r="O48">
        <f t="shared" si="0"/>
        <v>335.89622663698043</v>
      </c>
      <c r="P48">
        <f t="shared" si="1"/>
        <v>305.00377361288162</v>
      </c>
      <c r="Q48">
        <f t="shared" si="2"/>
        <v>320.45000012493102</v>
      </c>
      <c r="R48">
        <f t="shared" si="3"/>
        <v>315.31529571199417</v>
      </c>
      <c r="S48">
        <f t="shared" si="4"/>
        <v>1</v>
      </c>
      <c r="T48">
        <f t="shared" si="5"/>
        <v>11.250000124931301</v>
      </c>
      <c r="U48" t="str">
        <f t="shared" si="6"/>
        <v/>
      </c>
    </row>
    <row r="49" spans="1:21" x14ac:dyDescent="0.3">
      <c r="A49" s="1">
        <v>42991</v>
      </c>
      <c r="B49">
        <v>308.55</v>
      </c>
      <c r="C49">
        <v>322.84999995017</v>
      </c>
      <c r="D49">
        <v>-14.2999999501705</v>
      </c>
      <c r="E49" s="1">
        <v>43082</v>
      </c>
      <c r="F49">
        <v>-1.01700794696807</v>
      </c>
      <c r="G49">
        <v>4.6345810890197701</v>
      </c>
      <c r="M49">
        <v>7.4852653336661747</v>
      </c>
      <c r="N49" s="1">
        <v>43082</v>
      </c>
      <c r="O49">
        <f t="shared" si="0"/>
        <v>337.82053061750236</v>
      </c>
      <c r="P49">
        <f t="shared" si="1"/>
        <v>307.87946928283765</v>
      </c>
      <c r="Q49">
        <f t="shared" si="2"/>
        <v>322.84999995017</v>
      </c>
      <c r="R49">
        <f t="shared" si="3"/>
        <v>305.41202197963003</v>
      </c>
      <c r="S49">
        <f t="shared" si="4"/>
        <v>0</v>
      </c>
      <c r="T49" t="str">
        <f t="shared" si="5"/>
        <v/>
      </c>
      <c r="U49">
        <f t="shared" si="6"/>
        <v>-14.2999999501705</v>
      </c>
    </row>
    <row r="50" spans="1:21" x14ac:dyDescent="0.3">
      <c r="A50" s="1">
        <v>42992</v>
      </c>
      <c r="B50">
        <v>310.25</v>
      </c>
      <c r="C50">
        <v>324.299999922513</v>
      </c>
      <c r="D50">
        <v>-14.0499999225139</v>
      </c>
      <c r="E50" s="1">
        <v>43083</v>
      </c>
      <c r="F50">
        <v>-3.1142058372497501</v>
      </c>
      <c r="G50">
        <v>4.5286059379577601</v>
      </c>
      <c r="M50">
        <v>7.2849796901939561</v>
      </c>
      <c r="N50" s="1">
        <v>43083</v>
      </c>
      <c r="O50">
        <f t="shared" si="0"/>
        <v>338.8699593029009</v>
      </c>
      <c r="P50">
        <f t="shared" si="1"/>
        <v>309.7300405421251</v>
      </c>
      <c r="Q50">
        <f t="shared" si="2"/>
        <v>324.299999922513</v>
      </c>
      <c r="R50">
        <f t="shared" si="3"/>
        <v>300.58817638993264</v>
      </c>
      <c r="S50">
        <f t="shared" si="4"/>
        <v>0</v>
      </c>
      <c r="T50" t="str">
        <f t="shared" si="5"/>
        <v/>
      </c>
      <c r="U50">
        <f t="shared" si="6"/>
        <v>-14.0499999225139</v>
      </c>
    </row>
    <row r="51" spans="1:21" x14ac:dyDescent="0.3">
      <c r="A51" s="1">
        <v>42993</v>
      </c>
      <c r="B51">
        <v>311.2</v>
      </c>
      <c r="C51">
        <v>322.75000006484902</v>
      </c>
      <c r="D51">
        <v>-11.550000064849799</v>
      </c>
      <c r="E51" s="1">
        <v>43084</v>
      </c>
      <c r="F51">
        <v>-2.47488141059875</v>
      </c>
      <c r="G51">
        <v>3.7114396095275799</v>
      </c>
      <c r="M51">
        <v>7.1034980886992471</v>
      </c>
      <c r="N51" s="1">
        <v>43084</v>
      </c>
      <c r="O51">
        <f t="shared" si="0"/>
        <v>336.9569962422475</v>
      </c>
      <c r="P51">
        <f t="shared" si="1"/>
        <v>308.54300388745054</v>
      </c>
      <c r="Q51">
        <f t="shared" si="2"/>
        <v>322.75000006484902</v>
      </c>
      <c r="R51">
        <f t="shared" si="3"/>
        <v>303.49816905021669</v>
      </c>
      <c r="S51">
        <f t="shared" si="4"/>
        <v>0</v>
      </c>
      <c r="T51" t="str">
        <f t="shared" si="5"/>
        <v/>
      </c>
      <c r="U51">
        <f t="shared" si="6"/>
        <v>-11.550000064849799</v>
      </c>
    </row>
    <row r="52" spans="1:21" x14ac:dyDescent="0.3">
      <c r="A52" s="1">
        <v>42996</v>
      </c>
      <c r="B52">
        <v>316.7</v>
      </c>
      <c r="C52">
        <v>324.149999659299</v>
      </c>
      <c r="D52">
        <v>-7.4499996592998601</v>
      </c>
      <c r="E52" s="1">
        <v>43087</v>
      </c>
      <c r="F52">
        <v>-3.95019483566284</v>
      </c>
      <c r="G52">
        <v>2.352383852005</v>
      </c>
      <c r="M52">
        <v>7.038789163245009</v>
      </c>
      <c r="N52" s="1">
        <v>43087</v>
      </c>
      <c r="O52">
        <f t="shared" si="0"/>
        <v>338.22757798578903</v>
      </c>
      <c r="P52">
        <f t="shared" si="1"/>
        <v>310.07242133280897</v>
      </c>
      <c r="Q52">
        <f t="shared" si="2"/>
        <v>324.149999659299</v>
      </c>
      <c r="R52">
        <f t="shared" si="3"/>
        <v>304.18973295545578</v>
      </c>
      <c r="S52">
        <f t="shared" si="4"/>
        <v>0</v>
      </c>
      <c r="T52" t="str">
        <f t="shared" si="5"/>
        <v/>
      </c>
      <c r="U52">
        <f t="shared" si="6"/>
        <v>-7.4499996592998601</v>
      </c>
    </row>
    <row r="53" spans="1:21" x14ac:dyDescent="0.3">
      <c r="A53" s="1">
        <v>42997</v>
      </c>
      <c r="B53">
        <v>316.05</v>
      </c>
      <c r="C53">
        <v>323.85000001323198</v>
      </c>
      <c r="D53">
        <v>-7.8000000132322498</v>
      </c>
      <c r="E53" s="1">
        <v>43088</v>
      </c>
      <c r="F53">
        <v>-4.5527420043945304</v>
      </c>
      <c r="G53">
        <v>2.4679639339446999</v>
      </c>
      <c r="M53">
        <v>6.9600325347382777</v>
      </c>
      <c r="N53" s="1">
        <v>43088</v>
      </c>
      <c r="O53">
        <f t="shared" si="0"/>
        <v>337.77006508270853</v>
      </c>
      <c r="P53">
        <f t="shared" si="1"/>
        <v>309.92993494375543</v>
      </c>
      <c r="Q53">
        <f t="shared" si="2"/>
        <v>323.85000001323198</v>
      </c>
      <c r="R53">
        <f t="shared" si="3"/>
        <v>301.66105889511113</v>
      </c>
      <c r="S53">
        <f t="shared" si="4"/>
        <v>0</v>
      </c>
      <c r="T53" t="str">
        <f t="shared" si="5"/>
        <v/>
      </c>
      <c r="U53">
        <f t="shared" si="6"/>
        <v>-7.8000000132322498</v>
      </c>
    </row>
    <row r="54" spans="1:21" x14ac:dyDescent="0.3">
      <c r="A54" s="1">
        <v>42998</v>
      </c>
      <c r="B54">
        <v>315.8</v>
      </c>
      <c r="C54">
        <v>323.55000002956302</v>
      </c>
      <c r="D54">
        <v>-7.7500000295639202</v>
      </c>
      <c r="E54" s="1">
        <v>43089</v>
      </c>
      <c r="F54">
        <v>-4.9525575637817303</v>
      </c>
      <c r="G54">
        <v>2.4540848731994598</v>
      </c>
      <c r="M54">
        <v>6.8739398658153901</v>
      </c>
      <c r="N54" s="1">
        <v>43089</v>
      </c>
      <c r="O54">
        <f t="shared" si="0"/>
        <v>337.29787976119383</v>
      </c>
      <c r="P54">
        <f t="shared" si="1"/>
        <v>309.80212029793222</v>
      </c>
      <c r="Q54">
        <f t="shared" si="2"/>
        <v>323.55000002956302</v>
      </c>
      <c r="R54">
        <f t="shared" si="3"/>
        <v>300.15982321357728</v>
      </c>
      <c r="S54">
        <f t="shared" si="4"/>
        <v>0</v>
      </c>
      <c r="T54" t="str">
        <f t="shared" si="5"/>
        <v/>
      </c>
      <c r="U54">
        <f t="shared" si="6"/>
        <v>-7.7500000295639202</v>
      </c>
    </row>
    <row r="55" spans="1:21" x14ac:dyDescent="0.3">
      <c r="A55" s="1">
        <v>42999</v>
      </c>
      <c r="B55">
        <v>316.05</v>
      </c>
      <c r="C55">
        <v>316.849999998942</v>
      </c>
      <c r="D55">
        <v>-0.79999999894204099</v>
      </c>
      <c r="E55" s="1">
        <v>43090</v>
      </c>
      <c r="F55">
        <v>-6.1144031584262799E-2</v>
      </c>
      <c r="G55">
        <v>0.25312450528144798</v>
      </c>
      <c r="M55">
        <v>6.858996846506388</v>
      </c>
      <c r="N55" s="1">
        <v>43090</v>
      </c>
      <c r="O55">
        <f t="shared" si="0"/>
        <v>330.56799369195477</v>
      </c>
      <c r="P55">
        <f t="shared" si="1"/>
        <v>303.13200630592922</v>
      </c>
      <c r="Q55">
        <f t="shared" si="2"/>
        <v>316.849999998942</v>
      </c>
      <c r="R55">
        <f t="shared" si="3"/>
        <v>315.85675428817797</v>
      </c>
      <c r="S55">
        <f t="shared" si="4"/>
        <v>0</v>
      </c>
      <c r="T55" t="str">
        <f t="shared" si="5"/>
        <v/>
      </c>
      <c r="U55">
        <f t="shared" si="6"/>
        <v>-0.79999999894204099</v>
      </c>
    </row>
    <row r="56" spans="1:21" x14ac:dyDescent="0.3">
      <c r="A56" s="1">
        <v>43000</v>
      </c>
      <c r="B56">
        <v>313.75</v>
      </c>
      <c r="C56">
        <v>318.50000014156097</v>
      </c>
      <c r="D56">
        <v>4.7500001415610296</v>
      </c>
      <c r="E56" s="1">
        <v>43091</v>
      </c>
      <c r="F56">
        <v>0.298647791147232</v>
      </c>
      <c r="G56">
        <v>1.51394426822662</v>
      </c>
      <c r="M56">
        <v>6.7655609452466052</v>
      </c>
      <c r="N56" s="1">
        <v>43091</v>
      </c>
      <c r="O56">
        <f t="shared" si="0"/>
        <v>332.03112203205421</v>
      </c>
      <c r="P56">
        <f t="shared" si="1"/>
        <v>304.96887825106774</v>
      </c>
      <c r="Q56">
        <f t="shared" si="2"/>
        <v>318.50000014156097</v>
      </c>
      <c r="R56">
        <f t="shared" si="3"/>
        <v>314.68700744472443</v>
      </c>
      <c r="S56">
        <f t="shared" si="4"/>
        <v>1</v>
      </c>
      <c r="T56">
        <f t="shared" si="5"/>
        <v>4.7500001415610296</v>
      </c>
      <c r="U56" t="str">
        <f t="shared" si="6"/>
        <v/>
      </c>
    </row>
    <row r="57" spans="1:21" x14ac:dyDescent="0.3">
      <c r="A57" s="1">
        <v>43003</v>
      </c>
      <c r="B57">
        <v>313.8</v>
      </c>
      <c r="C57">
        <v>318.49999986433897</v>
      </c>
      <c r="D57">
        <v>4.6999998643398104</v>
      </c>
      <c r="E57" s="1">
        <v>43094</v>
      </c>
      <c r="F57">
        <v>1.8839566707611</v>
      </c>
      <c r="G57">
        <v>1.49776923656463</v>
      </c>
      <c r="M57">
        <v>6.6712957886755389</v>
      </c>
      <c r="N57" s="1">
        <v>43094</v>
      </c>
      <c r="O57">
        <f t="shared" si="0"/>
        <v>331.84259144169005</v>
      </c>
      <c r="P57">
        <f t="shared" si="1"/>
        <v>305.1574082869879</v>
      </c>
      <c r="Q57">
        <f t="shared" si="2"/>
        <v>318.49999986433897</v>
      </c>
      <c r="R57">
        <f t="shared" si="3"/>
        <v>319.71185603284835</v>
      </c>
      <c r="S57">
        <f t="shared" si="4"/>
        <v>1</v>
      </c>
      <c r="T57">
        <f t="shared" si="5"/>
        <v>4.6999998643398104</v>
      </c>
      <c r="U57" t="str">
        <f t="shared" si="6"/>
        <v/>
      </c>
    </row>
    <row r="58" spans="1:21" x14ac:dyDescent="0.3">
      <c r="A58" s="1">
        <v>43004</v>
      </c>
      <c r="B58">
        <v>311.8</v>
      </c>
      <c r="C58">
        <v>317.45000010180399</v>
      </c>
      <c r="D58">
        <v>5.6500001018047197</v>
      </c>
      <c r="E58" s="1">
        <v>43095</v>
      </c>
      <c r="F58">
        <v>5.2323522567748997</v>
      </c>
      <c r="G58">
        <v>1.8120590448379501</v>
      </c>
      <c r="M58">
        <v>6.534540898916724</v>
      </c>
      <c r="N58" s="1">
        <v>43095</v>
      </c>
      <c r="O58">
        <f t="shared" si="0"/>
        <v>330.51908189963746</v>
      </c>
      <c r="P58">
        <f t="shared" si="1"/>
        <v>304.38091830397053</v>
      </c>
      <c r="Q58">
        <f t="shared" si="2"/>
        <v>317.45000010180399</v>
      </c>
      <c r="R58">
        <f t="shared" si="3"/>
        <v>328.11447433662414</v>
      </c>
      <c r="S58">
        <f t="shared" si="4"/>
        <v>1</v>
      </c>
      <c r="T58">
        <f t="shared" si="5"/>
        <v>5.6500001018047197</v>
      </c>
      <c r="U58" t="str">
        <f t="shared" si="6"/>
        <v/>
      </c>
    </row>
    <row r="59" spans="1:21" x14ac:dyDescent="0.3">
      <c r="A59" s="1">
        <v>43005</v>
      </c>
      <c r="B59">
        <v>311.39999999999998</v>
      </c>
      <c r="C59">
        <v>321.20000026559802</v>
      </c>
      <c r="D59">
        <v>9.8000002655982694</v>
      </c>
      <c r="E59" s="1">
        <v>43096</v>
      </c>
      <c r="F59">
        <v>4.0648736953735298</v>
      </c>
      <c r="G59">
        <v>3.1470777988433798</v>
      </c>
      <c r="M59">
        <v>6.3280589858854919</v>
      </c>
      <c r="N59" s="1">
        <v>43096</v>
      </c>
      <c r="O59">
        <f t="shared" si="0"/>
        <v>333.856118237369</v>
      </c>
      <c r="P59">
        <f t="shared" si="1"/>
        <v>308.54388229382704</v>
      </c>
      <c r="Q59">
        <f t="shared" si="2"/>
        <v>321.20000026559802</v>
      </c>
      <c r="R59">
        <f t="shared" si="3"/>
        <v>324.05801668739315</v>
      </c>
      <c r="S59">
        <f t="shared" si="4"/>
        <v>1</v>
      </c>
      <c r="T59">
        <f t="shared" si="5"/>
        <v>9.8000002655982694</v>
      </c>
      <c r="U59" t="str">
        <f t="shared" si="6"/>
        <v/>
      </c>
    </row>
    <row r="60" spans="1:21" x14ac:dyDescent="0.3">
      <c r="A60" s="1">
        <v>43006</v>
      </c>
      <c r="B60">
        <v>311.60000000000002</v>
      </c>
      <c r="C60">
        <v>325.65000036430303</v>
      </c>
      <c r="D60">
        <v>14.0500003643035</v>
      </c>
      <c r="E60" s="1">
        <v>43097</v>
      </c>
      <c r="F60">
        <v>3.6462185382843</v>
      </c>
      <c r="G60">
        <v>4.5089859962463299</v>
      </c>
      <c r="M60">
        <v>6.0972874840753173</v>
      </c>
      <c r="N60" s="1">
        <v>43097</v>
      </c>
      <c r="O60">
        <f t="shared" si="0"/>
        <v>337.84457533245364</v>
      </c>
      <c r="P60">
        <f t="shared" si="1"/>
        <v>313.45542539615241</v>
      </c>
      <c r="Q60">
        <f t="shared" si="2"/>
        <v>325.65000036430303</v>
      </c>
      <c r="R60">
        <f t="shared" si="3"/>
        <v>322.9616169652939</v>
      </c>
      <c r="S60">
        <f t="shared" si="4"/>
        <v>1</v>
      </c>
      <c r="T60">
        <f t="shared" si="5"/>
        <v>14.0500003643035</v>
      </c>
      <c r="U60" t="str">
        <f t="shared" si="6"/>
        <v/>
      </c>
    </row>
    <row r="61" spans="1:21" x14ac:dyDescent="0.3">
      <c r="A61" s="1">
        <v>43007</v>
      </c>
      <c r="B61">
        <v>314.3</v>
      </c>
      <c r="C61">
        <v>325.64999964809402</v>
      </c>
      <c r="D61">
        <v>11.3499996480941</v>
      </c>
      <c r="E61" s="1">
        <v>43098</v>
      </c>
      <c r="F61">
        <v>2.0953774452209402</v>
      </c>
      <c r="G61">
        <v>3.6111993789672798</v>
      </c>
      <c r="M61">
        <v>5.9388601680923445</v>
      </c>
      <c r="N61" s="1">
        <v>43098</v>
      </c>
      <c r="O61">
        <f t="shared" si="0"/>
        <v>337.52771998427869</v>
      </c>
      <c r="P61">
        <f t="shared" si="1"/>
        <v>313.77227931190936</v>
      </c>
      <c r="Q61">
        <f t="shared" si="2"/>
        <v>325.64999964809402</v>
      </c>
      <c r="R61">
        <f t="shared" si="3"/>
        <v>320.8857713103294</v>
      </c>
      <c r="S61">
        <f t="shared" si="4"/>
        <v>1</v>
      </c>
      <c r="T61">
        <f t="shared" si="5"/>
        <v>11.3499996480941</v>
      </c>
      <c r="U61" t="str">
        <f t="shared" si="6"/>
        <v/>
      </c>
    </row>
    <row r="62" spans="1:21" x14ac:dyDescent="0.3">
      <c r="A62" s="1">
        <v>43010</v>
      </c>
      <c r="B62">
        <v>314.3</v>
      </c>
      <c r="C62">
        <v>325.64999964809402</v>
      </c>
      <c r="D62">
        <v>11.3499996480941</v>
      </c>
      <c r="E62" s="1">
        <v>43101</v>
      </c>
      <c r="F62">
        <v>4.0269489288329998</v>
      </c>
      <c r="G62">
        <v>3.6111993789672798</v>
      </c>
      <c r="M62">
        <v>5.770725399342389</v>
      </c>
      <c r="N62" s="1">
        <v>43101</v>
      </c>
      <c r="O62">
        <f t="shared" si="0"/>
        <v>337.19145044677879</v>
      </c>
      <c r="P62">
        <f t="shared" si="1"/>
        <v>314.10854884940926</v>
      </c>
      <c r="Q62">
        <f t="shared" si="2"/>
        <v>325.64999964809402</v>
      </c>
      <c r="R62">
        <f t="shared" si="3"/>
        <v>326.95670048332215</v>
      </c>
      <c r="S62">
        <f t="shared" si="4"/>
        <v>1</v>
      </c>
      <c r="T62">
        <f t="shared" si="5"/>
        <v>11.3499996480941</v>
      </c>
      <c r="U62" t="str">
        <f t="shared" si="6"/>
        <v/>
      </c>
    </row>
    <row r="63" spans="1:21" x14ac:dyDescent="0.3">
      <c r="A63" s="1">
        <v>43011</v>
      </c>
      <c r="B63">
        <v>314.3</v>
      </c>
      <c r="C63">
        <v>326.49999963164299</v>
      </c>
      <c r="D63">
        <v>12.199999631643299</v>
      </c>
      <c r="E63" s="1">
        <v>43102</v>
      </c>
      <c r="F63">
        <v>3.6672496795654199</v>
      </c>
      <c r="G63">
        <v>3.88164162635803</v>
      </c>
      <c r="M63">
        <v>5.5926744238815189</v>
      </c>
      <c r="N63" s="1">
        <v>43102</v>
      </c>
      <c r="O63">
        <f t="shared" si="0"/>
        <v>337.685348479406</v>
      </c>
      <c r="P63">
        <f t="shared" si="1"/>
        <v>315.31465078387998</v>
      </c>
      <c r="Q63">
        <f t="shared" si="2"/>
        <v>326.49999963164299</v>
      </c>
      <c r="R63">
        <f t="shared" si="3"/>
        <v>325.82616574287414</v>
      </c>
      <c r="S63">
        <f t="shared" si="4"/>
        <v>1</v>
      </c>
      <c r="T63">
        <f t="shared" si="5"/>
        <v>12.199999631643299</v>
      </c>
      <c r="U63" t="str">
        <f t="shared" si="6"/>
        <v/>
      </c>
    </row>
    <row r="64" spans="1:21" x14ac:dyDescent="0.3">
      <c r="A64" s="1">
        <v>43012</v>
      </c>
      <c r="B64">
        <v>314.3</v>
      </c>
      <c r="C64">
        <v>327.69999982881501</v>
      </c>
      <c r="D64">
        <v>13.3999998288154</v>
      </c>
      <c r="E64" s="1">
        <v>43103</v>
      </c>
      <c r="F64">
        <v>4.0061292648315403</v>
      </c>
      <c r="G64">
        <v>4.2634425163268999</v>
      </c>
      <c r="M64">
        <v>5.4059709243220482</v>
      </c>
      <c r="N64" s="1">
        <v>43103</v>
      </c>
      <c r="O64">
        <f t="shared" si="0"/>
        <v>338.51194167745911</v>
      </c>
      <c r="P64">
        <f t="shared" si="1"/>
        <v>316.88805798017091</v>
      </c>
      <c r="Q64">
        <f t="shared" si="2"/>
        <v>327.69999982881501</v>
      </c>
      <c r="R64">
        <f t="shared" si="3"/>
        <v>326.89126427936554</v>
      </c>
      <c r="S64">
        <f t="shared" si="4"/>
        <v>1</v>
      </c>
      <c r="T64">
        <f t="shared" si="5"/>
        <v>13.3999998288154</v>
      </c>
      <c r="U64" t="str">
        <f t="shared" si="6"/>
        <v/>
      </c>
    </row>
    <row r="65" spans="1:21" x14ac:dyDescent="0.3">
      <c r="A65" s="1">
        <v>43013</v>
      </c>
      <c r="B65">
        <v>314.3</v>
      </c>
      <c r="C65">
        <v>325.000000321865</v>
      </c>
      <c r="D65">
        <v>10.700000321865099</v>
      </c>
      <c r="E65" s="1">
        <v>43104</v>
      </c>
      <c r="F65">
        <v>4.1535339355468697</v>
      </c>
      <c r="G65">
        <v>3.4043908119201598</v>
      </c>
      <c r="M65">
        <v>5.2030187243708674</v>
      </c>
      <c r="N65" s="1">
        <v>43104</v>
      </c>
      <c r="O65">
        <f t="shared" si="0"/>
        <v>335.40603777060676</v>
      </c>
      <c r="P65">
        <f t="shared" si="1"/>
        <v>314.59396287312325</v>
      </c>
      <c r="Q65">
        <f t="shared" si="2"/>
        <v>325.000000321865</v>
      </c>
      <c r="R65">
        <f t="shared" si="3"/>
        <v>327.35455715942385</v>
      </c>
      <c r="S65">
        <f t="shared" si="4"/>
        <v>1</v>
      </c>
      <c r="T65">
        <f t="shared" si="5"/>
        <v>10.700000321865099</v>
      </c>
      <c r="U65" t="str">
        <f t="shared" si="6"/>
        <v/>
      </c>
    </row>
    <row r="66" spans="1:21" x14ac:dyDescent="0.3">
      <c r="A66" s="1">
        <v>43014</v>
      </c>
      <c r="B66">
        <v>314.3</v>
      </c>
      <c r="C66">
        <v>328.95000037765499</v>
      </c>
      <c r="D66">
        <v>14.650000377654999</v>
      </c>
      <c r="E66" s="1">
        <v>43105</v>
      </c>
      <c r="F66">
        <v>4.0882244110107404</v>
      </c>
      <c r="G66">
        <v>4.6611518859863201</v>
      </c>
      <c r="M66">
        <v>4.9938311705158176</v>
      </c>
      <c r="N66" s="1">
        <v>43105</v>
      </c>
      <c r="O66">
        <f t="shared" si="0"/>
        <v>338.93766271868662</v>
      </c>
      <c r="P66">
        <f t="shared" si="1"/>
        <v>318.96233803662335</v>
      </c>
      <c r="Q66">
        <f t="shared" si="2"/>
        <v>328.95000037765499</v>
      </c>
      <c r="R66">
        <f t="shared" si="3"/>
        <v>327.14928932380678</v>
      </c>
      <c r="S66">
        <f t="shared" si="4"/>
        <v>1</v>
      </c>
      <c r="T66">
        <f t="shared" si="5"/>
        <v>14.650000377654999</v>
      </c>
      <c r="U66" t="str">
        <f t="shared" si="6"/>
        <v/>
      </c>
    </row>
    <row r="67" spans="1:21" x14ac:dyDescent="0.3">
      <c r="A67" s="1">
        <v>43017</v>
      </c>
      <c r="B67">
        <v>314.3</v>
      </c>
      <c r="C67">
        <v>331.25000006866401</v>
      </c>
      <c r="D67">
        <v>16.950000068664501</v>
      </c>
      <c r="E67" s="1">
        <v>43108</v>
      </c>
      <c r="F67">
        <v>4.2945628166198704</v>
      </c>
      <c r="G67">
        <v>5.3929367065429599</v>
      </c>
      <c r="M67">
        <v>4.7906992473798828</v>
      </c>
      <c r="N67" s="1">
        <v>43108</v>
      </c>
      <c r="O67">
        <f t="shared" ref="O67:O130" si="7">C67+2*M67</f>
        <v>340.83139856342376</v>
      </c>
      <c r="P67">
        <f t="shared" ref="P67:P130" si="8">C67-2*M67</f>
        <v>321.66860157390425</v>
      </c>
      <c r="Q67">
        <f t="shared" ref="Q67:Q130" si="9">C67</f>
        <v>331.25000006866401</v>
      </c>
      <c r="R67">
        <f t="shared" ref="R67:R130" si="10">B67*F67/100+B67</f>
        <v>327.79781093263625</v>
      </c>
      <c r="S67">
        <f t="shared" ref="S67:S130" si="11">IF(AND(D67&gt;0, AND(R67&lt;O67, R67&gt;P67)), 1, 0)</f>
        <v>1</v>
      </c>
      <c r="T67">
        <f t="shared" ref="T67:T130" si="12">IF(S67=1, D67, "")</f>
        <v>16.950000068664501</v>
      </c>
      <c r="U67" t="str">
        <f t="shared" ref="U67:U130" si="13">IF(S67=0, D67, "")</f>
        <v/>
      </c>
    </row>
    <row r="68" spans="1:21" x14ac:dyDescent="0.3">
      <c r="A68" s="1">
        <v>43018</v>
      </c>
      <c r="B68">
        <v>320.14999999999998</v>
      </c>
      <c r="C68">
        <v>330.45000027096199</v>
      </c>
      <c r="D68">
        <v>10.300000270962601</v>
      </c>
      <c r="E68" s="1">
        <v>43109</v>
      </c>
      <c r="F68">
        <v>2.81327056884765</v>
      </c>
      <c r="G68">
        <v>3.21724200248718</v>
      </c>
      <c r="M68">
        <v>4.7421819517455823</v>
      </c>
      <c r="N68" s="1">
        <v>43109</v>
      </c>
      <c r="O68">
        <f t="shared" si="7"/>
        <v>339.93436417445315</v>
      </c>
      <c r="P68">
        <f t="shared" si="8"/>
        <v>320.96563636747084</v>
      </c>
      <c r="Q68">
        <f t="shared" si="9"/>
        <v>330.45000027096199</v>
      </c>
      <c r="R68">
        <f t="shared" si="10"/>
        <v>329.15668572616573</v>
      </c>
      <c r="S68">
        <f t="shared" si="11"/>
        <v>1</v>
      </c>
      <c r="T68">
        <f t="shared" si="12"/>
        <v>10.300000270962601</v>
      </c>
      <c r="U68" t="str">
        <f t="shared" si="13"/>
        <v/>
      </c>
    </row>
    <row r="69" spans="1:21" x14ac:dyDescent="0.3">
      <c r="A69" s="1">
        <v>43019</v>
      </c>
      <c r="B69">
        <v>323.25</v>
      </c>
      <c r="C69">
        <v>327.85000002533098</v>
      </c>
      <c r="D69">
        <v>4.6000000253319504</v>
      </c>
      <c r="E69" s="1">
        <v>43110</v>
      </c>
      <c r="F69">
        <v>2.5552608966827299</v>
      </c>
      <c r="G69">
        <v>1.4230471849441499</v>
      </c>
      <c r="M69">
        <v>4.722413949413518</v>
      </c>
      <c r="N69" s="1">
        <v>43110</v>
      </c>
      <c r="O69">
        <f t="shared" si="7"/>
        <v>337.29482792415803</v>
      </c>
      <c r="P69">
        <f t="shared" si="8"/>
        <v>318.40517212650394</v>
      </c>
      <c r="Q69">
        <f t="shared" si="9"/>
        <v>327.85000002533098</v>
      </c>
      <c r="R69">
        <f t="shared" si="10"/>
        <v>331.5098808485269</v>
      </c>
      <c r="S69">
        <f t="shared" si="11"/>
        <v>1</v>
      </c>
      <c r="T69">
        <f t="shared" si="12"/>
        <v>4.6000000253319504</v>
      </c>
      <c r="U69" t="str">
        <f t="shared" si="13"/>
        <v/>
      </c>
    </row>
    <row r="70" spans="1:21" x14ac:dyDescent="0.3">
      <c r="A70" s="1">
        <v>43020</v>
      </c>
      <c r="B70">
        <v>325.64999999999998</v>
      </c>
      <c r="C70">
        <v>326.49999999931401</v>
      </c>
      <c r="D70">
        <v>0.84999999931454795</v>
      </c>
      <c r="E70" s="1">
        <v>43111</v>
      </c>
      <c r="F70">
        <v>4.9777030944824201</v>
      </c>
      <c r="G70">
        <v>0.26101642847061102</v>
      </c>
      <c r="M70">
        <v>4.7201115585333362</v>
      </c>
      <c r="N70" s="1">
        <v>43111</v>
      </c>
      <c r="O70">
        <f t="shared" si="7"/>
        <v>335.94022311638071</v>
      </c>
      <c r="P70">
        <f t="shared" si="8"/>
        <v>317.05977688224732</v>
      </c>
      <c r="Q70">
        <f t="shared" si="9"/>
        <v>326.49999999931401</v>
      </c>
      <c r="R70">
        <f t="shared" si="10"/>
        <v>341.85989012718198</v>
      </c>
      <c r="S70">
        <f t="shared" si="11"/>
        <v>0</v>
      </c>
      <c r="T70" t="str">
        <f t="shared" si="12"/>
        <v/>
      </c>
      <c r="U70">
        <f t="shared" si="13"/>
        <v>0.84999999931454795</v>
      </c>
    </row>
    <row r="71" spans="1:21" x14ac:dyDescent="0.3">
      <c r="A71" s="1">
        <v>43021</v>
      </c>
      <c r="B71">
        <v>325.3</v>
      </c>
      <c r="C71">
        <v>326.85000003054699</v>
      </c>
      <c r="D71">
        <v>1.55000003054738</v>
      </c>
      <c r="E71" s="1">
        <v>43112</v>
      </c>
      <c r="F71">
        <v>3.3230667114257799</v>
      </c>
      <c r="G71">
        <v>0.47648325562477101</v>
      </c>
      <c r="M71">
        <v>4.71581537631209</v>
      </c>
      <c r="N71" s="1">
        <v>43112</v>
      </c>
      <c r="O71">
        <f t="shared" si="7"/>
        <v>336.28163078317118</v>
      </c>
      <c r="P71">
        <f t="shared" si="8"/>
        <v>317.41836927792281</v>
      </c>
      <c r="Q71">
        <f t="shared" si="9"/>
        <v>326.85000003054699</v>
      </c>
      <c r="R71">
        <f t="shared" si="10"/>
        <v>336.10993601226807</v>
      </c>
      <c r="S71">
        <f t="shared" si="11"/>
        <v>1</v>
      </c>
      <c r="T71">
        <f t="shared" si="12"/>
        <v>1.55000003054738</v>
      </c>
      <c r="U71" t="str">
        <f t="shared" si="13"/>
        <v/>
      </c>
    </row>
    <row r="72" spans="1:21" x14ac:dyDescent="0.3">
      <c r="A72" s="1">
        <v>43024</v>
      </c>
      <c r="B72">
        <v>325.5</v>
      </c>
      <c r="C72">
        <v>327.299999974071</v>
      </c>
      <c r="D72">
        <v>1.7999999740719601</v>
      </c>
      <c r="E72" s="1">
        <v>43115</v>
      </c>
      <c r="F72">
        <v>1.7838873863220199</v>
      </c>
      <c r="G72">
        <v>0.55299538373947099</v>
      </c>
      <c r="M72">
        <v>4.7126075023445191</v>
      </c>
      <c r="N72" s="1">
        <v>43115</v>
      </c>
      <c r="O72">
        <f t="shared" si="7"/>
        <v>336.72521497876005</v>
      </c>
      <c r="P72">
        <f t="shared" si="8"/>
        <v>317.87478496938195</v>
      </c>
      <c r="Q72">
        <f t="shared" si="9"/>
        <v>327.299999974071</v>
      </c>
      <c r="R72">
        <f t="shared" si="10"/>
        <v>331.30655344247816</v>
      </c>
      <c r="S72">
        <f t="shared" si="11"/>
        <v>1</v>
      </c>
      <c r="T72">
        <f t="shared" si="12"/>
        <v>1.7999999740719601</v>
      </c>
      <c r="U72" t="str">
        <f t="shared" si="13"/>
        <v/>
      </c>
    </row>
    <row r="73" spans="1:21" x14ac:dyDescent="0.3">
      <c r="A73" s="1">
        <v>43025</v>
      </c>
      <c r="B73">
        <v>325.8</v>
      </c>
      <c r="C73">
        <v>330.50000015974001</v>
      </c>
      <c r="D73">
        <v>4.7000001597404504</v>
      </c>
      <c r="E73" s="1">
        <v>43116</v>
      </c>
      <c r="F73">
        <v>1.49698162078857</v>
      </c>
      <c r="G73">
        <v>1.4426028728485101</v>
      </c>
      <c r="M73">
        <v>4.7306853006157086</v>
      </c>
      <c r="N73" s="1">
        <v>43116</v>
      </c>
      <c r="O73">
        <f t="shared" si="7"/>
        <v>339.96137076097142</v>
      </c>
      <c r="P73">
        <f t="shared" si="8"/>
        <v>321.0386295585086</v>
      </c>
      <c r="Q73">
        <f t="shared" si="9"/>
        <v>330.50000015974001</v>
      </c>
      <c r="R73">
        <f t="shared" si="10"/>
        <v>330.67716612052919</v>
      </c>
      <c r="S73">
        <f t="shared" si="11"/>
        <v>1</v>
      </c>
      <c r="T73">
        <f t="shared" si="12"/>
        <v>4.7000001597404504</v>
      </c>
      <c r="U73" t="str">
        <f t="shared" si="13"/>
        <v/>
      </c>
    </row>
    <row r="74" spans="1:21" x14ac:dyDescent="0.3">
      <c r="A74" s="1">
        <v>43026</v>
      </c>
      <c r="B74">
        <v>325.85000000000002</v>
      </c>
      <c r="C74">
        <v>329.20000019001901</v>
      </c>
      <c r="D74">
        <v>3.3500001900196099</v>
      </c>
      <c r="E74" s="1">
        <v>43117</v>
      </c>
      <c r="F74">
        <v>1.27081799507141</v>
      </c>
      <c r="G74">
        <v>1.0280804634094201</v>
      </c>
      <c r="M74">
        <v>4.7359423814468675</v>
      </c>
      <c r="N74" s="1">
        <v>43117</v>
      </c>
      <c r="O74">
        <f t="shared" si="7"/>
        <v>338.67188495291276</v>
      </c>
      <c r="P74">
        <f t="shared" si="8"/>
        <v>319.72811542712526</v>
      </c>
      <c r="Q74">
        <f t="shared" si="9"/>
        <v>329.20000019001901</v>
      </c>
      <c r="R74">
        <f t="shared" si="10"/>
        <v>329.99096043694021</v>
      </c>
      <c r="S74">
        <f t="shared" si="11"/>
        <v>1</v>
      </c>
      <c r="T74">
        <f t="shared" si="12"/>
        <v>3.3500001900196099</v>
      </c>
      <c r="U74" t="str">
        <f t="shared" si="13"/>
        <v/>
      </c>
    </row>
    <row r="75" spans="1:21" x14ac:dyDescent="0.3">
      <c r="A75" s="1">
        <v>43027</v>
      </c>
      <c r="B75">
        <v>324.10000000000002</v>
      </c>
      <c r="C75">
        <v>329.400000089645</v>
      </c>
      <c r="D75">
        <v>5.3000000896453798</v>
      </c>
      <c r="E75" s="1">
        <v>43118</v>
      </c>
      <c r="F75">
        <v>1.53179430961608</v>
      </c>
      <c r="G75">
        <v>1.63529777526855</v>
      </c>
      <c r="M75">
        <v>4.7295354961788139</v>
      </c>
      <c r="N75" s="1">
        <v>43118</v>
      </c>
      <c r="O75">
        <f t="shared" si="7"/>
        <v>338.85907108200263</v>
      </c>
      <c r="P75">
        <f t="shared" si="8"/>
        <v>319.94092909728738</v>
      </c>
      <c r="Q75">
        <f t="shared" si="9"/>
        <v>329.400000089645</v>
      </c>
      <c r="R75">
        <f t="shared" si="10"/>
        <v>329.06454535746576</v>
      </c>
      <c r="S75">
        <f t="shared" si="11"/>
        <v>1</v>
      </c>
      <c r="T75">
        <f t="shared" si="12"/>
        <v>5.3000000896453798</v>
      </c>
      <c r="U75" t="str">
        <f t="shared" si="13"/>
        <v/>
      </c>
    </row>
    <row r="76" spans="1:21" x14ac:dyDescent="0.3">
      <c r="A76" s="1">
        <v>43028</v>
      </c>
      <c r="B76">
        <v>326.25</v>
      </c>
      <c r="C76">
        <v>329.600000068545</v>
      </c>
      <c r="D76">
        <v>3.3500000685453402</v>
      </c>
      <c r="E76" s="1">
        <v>43119</v>
      </c>
      <c r="F76">
        <v>4.6788077354431099</v>
      </c>
      <c r="G76">
        <v>1.0268199443817101</v>
      </c>
      <c r="M76">
        <v>4.7377438033471027</v>
      </c>
      <c r="N76" s="1">
        <v>43119</v>
      </c>
      <c r="O76">
        <f t="shared" si="7"/>
        <v>339.07548767523923</v>
      </c>
      <c r="P76">
        <f t="shared" si="8"/>
        <v>320.12451246185077</v>
      </c>
      <c r="Q76">
        <f t="shared" si="9"/>
        <v>329.600000068545</v>
      </c>
      <c r="R76">
        <f t="shared" si="10"/>
        <v>341.51461023688313</v>
      </c>
      <c r="S76">
        <f t="shared" si="11"/>
        <v>0</v>
      </c>
      <c r="T76" t="str">
        <f t="shared" si="12"/>
        <v/>
      </c>
      <c r="U76">
        <f t="shared" si="13"/>
        <v>3.3500000685453402</v>
      </c>
    </row>
    <row r="77" spans="1:21" x14ac:dyDescent="0.3">
      <c r="A77" s="1">
        <v>43031</v>
      </c>
      <c r="B77">
        <v>327.05</v>
      </c>
      <c r="C77">
        <v>326.249999984346</v>
      </c>
      <c r="D77">
        <v>-0.80000001565366496</v>
      </c>
      <c r="E77" s="1">
        <v>43122</v>
      </c>
      <c r="F77">
        <v>3.17042064666748</v>
      </c>
      <c r="G77">
        <v>-0.244610920548439</v>
      </c>
      <c r="M77">
        <v>4.7392007805601093</v>
      </c>
      <c r="N77" s="1">
        <v>43122</v>
      </c>
      <c r="O77">
        <f t="shared" si="7"/>
        <v>335.72840154546623</v>
      </c>
      <c r="P77">
        <f t="shared" si="8"/>
        <v>316.77159842322578</v>
      </c>
      <c r="Q77">
        <f t="shared" si="9"/>
        <v>326.249999984346</v>
      </c>
      <c r="R77">
        <f t="shared" si="10"/>
        <v>337.41886072492599</v>
      </c>
      <c r="S77">
        <f t="shared" si="11"/>
        <v>0</v>
      </c>
      <c r="T77" t="str">
        <f t="shared" si="12"/>
        <v/>
      </c>
      <c r="U77">
        <f t="shared" si="13"/>
        <v>-0.80000001565366496</v>
      </c>
    </row>
    <row r="78" spans="1:21" x14ac:dyDescent="0.3">
      <c r="A78" s="1">
        <v>43032</v>
      </c>
      <c r="B78">
        <v>326.55</v>
      </c>
      <c r="C78">
        <v>331.25000009036</v>
      </c>
      <c r="D78">
        <v>4.7000000903606098</v>
      </c>
      <c r="E78" s="1">
        <v>43123</v>
      </c>
      <c r="F78">
        <v>3.7140555381774898</v>
      </c>
      <c r="G78">
        <v>1.4392895698547301</v>
      </c>
      <c r="M78">
        <v>4.7649728589105171</v>
      </c>
      <c r="N78" s="1">
        <v>43123</v>
      </c>
      <c r="O78">
        <f t="shared" si="7"/>
        <v>340.77994580818103</v>
      </c>
      <c r="P78">
        <f t="shared" si="8"/>
        <v>321.72005437253898</v>
      </c>
      <c r="Q78">
        <f t="shared" si="9"/>
        <v>331.25000009036</v>
      </c>
      <c r="R78">
        <f t="shared" si="10"/>
        <v>338.6782483599186</v>
      </c>
      <c r="S78">
        <f t="shared" si="11"/>
        <v>1</v>
      </c>
      <c r="T78">
        <f t="shared" si="12"/>
        <v>4.7000000903606098</v>
      </c>
      <c r="U78" t="str">
        <f t="shared" si="13"/>
        <v/>
      </c>
    </row>
    <row r="79" spans="1:21" x14ac:dyDescent="0.3">
      <c r="A79" s="1">
        <v>43033</v>
      </c>
      <c r="B79">
        <v>326.75</v>
      </c>
      <c r="C79">
        <v>331.60000016480598</v>
      </c>
      <c r="D79">
        <v>4.8500001648068203</v>
      </c>
      <c r="E79" s="1">
        <v>43124</v>
      </c>
      <c r="F79">
        <v>3.8810589313507</v>
      </c>
      <c r="G79">
        <v>1.48431527614593</v>
      </c>
      <c r="M79">
        <v>4.7946086007739366</v>
      </c>
      <c r="N79" s="1">
        <v>43124</v>
      </c>
      <c r="O79">
        <f t="shared" si="7"/>
        <v>341.18921736635383</v>
      </c>
      <c r="P79">
        <f t="shared" si="8"/>
        <v>322.01078296325812</v>
      </c>
      <c r="Q79">
        <f t="shared" si="9"/>
        <v>331.60000016480598</v>
      </c>
      <c r="R79">
        <f t="shared" si="10"/>
        <v>339.43136005818843</v>
      </c>
      <c r="S79">
        <f t="shared" si="11"/>
        <v>1</v>
      </c>
      <c r="T79">
        <f t="shared" si="12"/>
        <v>4.8500001648068203</v>
      </c>
      <c r="U79" t="str">
        <f t="shared" si="13"/>
        <v/>
      </c>
    </row>
    <row r="80" spans="1:21" x14ac:dyDescent="0.3">
      <c r="A80" s="1">
        <v>43034</v>
      </c>
      <c r="B80">
        <v>323.75</v>
      </c>
      <c r="C80">
        <v>334.29999999701897</v>
      </c>
      <c r="D80">
        <v>10.5499999970197</v>
      </c>
      <c r="E80" s="1">
        <v>43125</v>
      </c>
      <c r="F80">
        <v>6.8873510360717702</v>
      </c>
      <c r="G80">
        <v>3.2586872577667201</v>
      </c>
      <c r="M80">
        <v>4.8493324530686319</v>
      </c>
      <c r="N80" s="1">
        <v>43125</v>
      </c>
      <c r="O80">
        <f t="shared" si="7"/>
        <v>343.99866490315623</v>
      </c>
      <c r="P80">
        <f t="shared" si="8"/>
        <v>324.60133509088172</v>
      </c>
      <c r="Q80">
        <f t="shared" si="9"/>
        <v>334.29999999701897</v>
      </c>
      <c r="R80">
        <f t="shared" si="10"/>
        <v>346.04779897928233</v>
      </c>
      <c r="S80">
        <f t="shared" si="11"/>
        <v>0</v>
      </c>
      <c r="T80" t="str">
        <f t="shared" si="12"/>
        <v/>
      </c>
      <c r="U80">
        <f t="shared" si="13"/>
        <v>10.5499999970197</v>
      </c>
    </row>
    <row r="81" spans="1:21" x14ac:dyDescent="0.3">
      <c r="A81" s="1">
        <v>43035</v>
      </c>
      <c r="B81">
        <v>326.85000000000002</v>
      </c>
      <c r="C81">
        <v>335.95000013387198</v>
      </c>
      <c r="D81">
        <v>9.10000013387201</v>
      </c>
      <c r="E81" s="1">
        <v>43126</v>
      </c>
      <c r="F81">
        <v>4.5787830352783203</v>
      </c>
      <c r="G81">
        <v>2.7841517925262398</v>
      </c>
      <c r="M81">
        <v>4.9602066731523013</v>
      </c>
      <c r="N81" s="1">
        <v>43126</v>
      </c>
      <c r="O81">
        <f t="shared" si="7"/>
        <v>345.87041348017658</v>
      </c>
      <c r="P81">
        <f t="shared" si="8"/>
        <v>326.02958678756738</v>
      </c>
      <c r="Q81">
        <f t="shared" si="9"/>
        <v>335.95000013387198</v>
      </c>
      <c r="R81">
        <f t="shared" si="10"/>
        <v>341.8157523508072</v>
      </c>
      <c r="S81">
        <f t="shared" si="11"/>
        <v>1</v>
      </c>
      <c r="T81">
        <f t="shared" si="12"/>
        <v>9.10000013387201</v>
      </c>
      <c r="U81" t="str">
        <f t="shared" si="13"/>
        <v/>
      </c>
    </row>
    <row r="82" spans="1:21" x14ac:dyDescent="0.3">
      <c r="A82" s="1">
        <v>43038</v>
      </c>
      <c r="B82">
        <v>327.45</v>
      </c>
      <c r="C82">
        <v>338.50000022828499</v>
      </c>
      <c r="D82">
        <v>11.0500002282857</v>
      </c>
      <c r="E82" s="1">
        <v>43129</v>
      </c>
      <c r="F82">
        <v>1.66831970214843</v>
      </c>
      <c r="G82">
        <v>3.37456107139587</v>
      </c>
      <c r="M82">
        <v>5.1395215234868523</v>
      </c>
      <c r="N82" s="1">
        <v>43129</v>
      </c>
      <c r="O82">
        <f t="shared" si="7"/>
        <v>348.77904327525869</v>
      </c>
      <c r="P82">
        <f t="shared" si="8"/>
        <v>328.22095718131129</v>
      </c>
      <c r="Q82">
        <f t="shared" si="9"/>
        <v>338.50000022828499</v>
      </c>
      <c r="R82">
        <f t="shared" si="10"/>
        <v>332.91291286468504</v>
      </c>
      <c r="S82">
        <f t="shared" si="11"/>
        <v>1</v>
      </c>
      <c r="T82">
        <f t="shared" si="12"/>
        <v>11.0500002282857</v>
      </c>
      <c r="U82" t="str">
        <f t="shared" si="13"/>
        <v/>
      </c>
    </row>
    <row r="83" spans="1:21" x14ac:dyDescent="0.3">
      <c r="A83" s="1">
        <v>43039</v>
      </c>
      <c r="B83">
        <v>331.05</v>
      </c>
      <c r="C83">
        <v>333.899999928385</v>
      </c>
      <c r="D83">
        <v>2.8499999283850399</v>
      </c>
      <c r="E83" s="1">
        <v>43130</v>
      </c>
      <c r="F83">
        <v>2.7633783817291202</v>
      </c>
      <c r="G83">
        <v>0.86089712381362904</v>
      </c>
      <c r="M83">
        <v>5.1795488183372154</v>
      </c>
      <c r="N83" s="1">
        <v>43130</v>
      </c>
      <c r="O83">
        <f t="shared" si="7"/>
        <v>344.25909756505945</v>
      </c>
      <c r="P83">
        <f t="shared" si="8"/>
        <v>323.54090229171055</v>
      </c>
      <c r="Q83">
        <f t="shared" si="9"/>
        <v>333.899999928385</v>
      </c>
      <c r="R83">
        <f t="shared" si="10"/>
        <v>340.19816413271428</v>
      </c>
      <c r="S83">
        <f t="shared" si="11"/>
        <v>1</v>
      </c>
      <c r="T83">
        <f t="shared" si="12"/>
        <v>2.8499999283850399</v>
      </c>
      <c r="U83" t="str">
        <f t="shared" si="13"/>
        <v/>
      </c>
    </row>
    <row r="84" spans="1:21" x14ac:dyDescent="0.3">
      <c r="A84" s="1">
        <v>43040</v>
      </c>
      <c r="B84">
        <v>336.55</v>
      </c>
      <c r="C84">
        <v>334.44999997186602</v>
      </c>
      <c r="D84">
        <v>2.1000000281333602</v>
      </c>
      <c r="E84" s="1">
        <v>43131</v>
      </c>
      <c r="F84">
        <v>-0.67500686645507801</v>
      </c>
      <c r="G84">
        <v>-0.62397861480712802</v>
      </c>
      <c r="M84">
        <v>5.1308128385876044</v>
      </c>
      <c r="N84" s="1">
        <v>43131</v>
      </c>
      <c r="O84">
        <f t="shared" si="7"/>
        <v>344.71162564904125</v>
      </c>
      <c r="P84">
        <f t="shared" si="8"/>
        <v>324.18837429469079</v>
      </c>
      <c r="Q84">
        <f t="shared" si="9"/>
        <v>334.44999997186602</v>
      </c>
      <c r="R84">
        <f t="shared" si="10"/>
        <v>334.27826439094542</v>
      </c>
      <c r="S84">
        <f t="shared" si="11"/>
        <v>1</v>
      </c>
      <c r="T84">
        <f t="shared" si="12"/>
        <v>2.1000000281333602</v>
      </c>
      <c r="U84" t="str">
        <f t="shared" si="13"/>
        <v/>
      </c>
    </row>
    <row r="85" spans="1:21" x14ac:dyDescent="0.3">
      <c r="A85" s="1">
        <v>43041</v>
      </c>
      <c r="B85">
        <v>335.05</v>
      </c>
      <c r="C85">
        <v>333.65000000663099</v>
      </c>
      <c r="D85">
        <v>1.39999999336896</v>
      </c>
      <c r="E85" s="1">
        <v>43132</v>
      </c>
      <c r="F85">
        <v>-0.72061008214950495</v>
      </c>
      <c r="G85">
        <v>-0.417848080396652</v>
      </c>
      <c r="M85">
        <v>5.1028800314513196</v>
      </c>
      <c r="N85" s="1">
        <v>43132</v>
      </c>
      <c r="O85">
        <f t="shared" si="7"/>
        <v>343.85576006953363</v>
      </c>
      <c r="P85">
        <f t="shared" si="8"/>
        <v>323.44423994372835</v>
      </c>
      <c r="Q85">
        <f t="shared" si="9"/>
        <v>333.65000000663099</v>
      </c>
      <c r="R85">
        <f t="shared" si="10"/>
        <v>332.63559591975809</v>
      </c>
      <c r="S85">
        <f t="shared" si="11"/>
        <v>1</v>
      </c>
      <c r="T85">
        <f t="shared" si="12"/>
        <v>1.39999999336896</v>
      </c>
      <c r="U85" t="str">
        <f t="shared" si="13"/>
        <v/>
      </c>
    </row>
    <row r="86" spans="1:21" x14ac:dyDescent="0.3">
      <c r="A86" s="1">
        <v>43042</v>
      </c>
      <c r="B86">
        <v>336.35</v>
      </c>
      <c r="C86">
        <v>327.39999991011598</v>
      </c>
      <c r="D86">
        <v>8.9500000898838099</v>
      </c>
      <c r="E86" s="1">
        <v>43133</v>
      </c>
      <c r="F86">
        <v>-3.3702254295349099</v>
      </c>
      <c r="G86">
        <v>-2.6609187126159601</v>
      </c>
      <c r="M86">
        <v>4.988176886784002</v>
      </c>
      <c r="N86" s="1">
        <v>43133</v>
      </c>
      <c r="O86">
        <f t="shared" si="7"/>
        <v>337.37635368368399</v>
      </c>
      <c r="P86">
        <f t="shared" si="8"/>
        <v>317.42364613654797</v>
      </c>
      <c r="Q86">
        <f t="shared" si="9"/>
        <v>327.39999991011598</v>
      </c>
      <c r="R86">
        <f t="shared" si="10"/>
        <v>325.01424676775935</v>
      </c>
      <c r="S86">
        <f t="shared" si="11"/>
        <v>1</v>
      </c>
      <c r="T86">
        <f t="shared" si="12"/>
        <v>8.9500000898838099</v>
      </c>
      <c r="U86" t="str">
        <f t="shared" si="13"/>
        <v/>
      </c>
    </row>
    <row r="87" spans="1:21" x14ac:dyDescent="0.3">
      <c r="A87" s="1">
        <v>43045</v>
      </c>
      <c r="B87">
        <v>334.15</v>
      </c>
      <c r="C87">
        <v>322.99999961686098</v>
      </c>
      <c r="D87">
        <v>11.1500003831386</v>
      </c>
      <c r="E87" s="1">
        <v>43136</v>
      </c>
      <c r="F87">
        <v>-0.931512951850891</v>
      </c>
      <c r="G87">
        <v>-3.3368248939514098</v>
      </c>
      <c r="M87">
        <v>4.9533709141817281</v>
      </c>
      <c r="N87" s="1">
        <v>43136</v>
      </c>
      <c r="O87">
        <f t="shared" si="7"/>
        <v>332.90674144522444</v>
      </c>
      <c r="P87">
        <f t="shared" si="8"/>
        <v>313.09325778849751</v>
      </c>
      <c r="Q87">
        <f t="shared" si="9"/>
        <v>322.99999961686098</v>
      </c>
      <c r="R87">
        <f t="shared" si="10"/>
        <v>331.0373494713902</v>
      </c>
      <c r="S87">
        <f t="shared" si="11"/>
        <v>1</v>
      </c>
      <c r="T87">
        <f t="shared" si="12"/>
        <v>11.1500003831386</v>
      </c>
      <c r="U87" t="str">
        <f t="shared" si="13"/>
        <v/>
      </c>
    </row>
    <row r="88" spans="1:21" x14ac:dyDescent="0.3">
      <c r="A88" s="1">
        <v>43046</v>
      </c>
      <c r="B88">
        <v>333.75</v>
      </c>
      <c r="C88">
        <v>317.65000065565101</v>
      </c>
      <c r="D88">
        <v>-16.099999344348898</v>
      </c>
      <c r="E88" s="1">
        <v>43137</v>
      </c>
      <c r="F88">
        <v>0.24824203550815499</v>
      </c>
      <c r="G88">
        <v>-4.82396984100341</v>
      </c>
      <c r="M88">
        <v>5.0375850584534891</v>
      </c>
      <c r="N88" s="1">
        <v>43137</v>
      </c>
      <c r="O88">
        <f t="shared" si="7"/>
        <v>327.72517077255799</v>
      </c>
      <c r="P88">
        <f t="shared" si="8"/>
        <v>307.57483053874404</v>
      </c>
      <c r="Q88">
        <f t="shared" si="9"/>
        <v>317.65000065565101</v>
      </c>
      <c r="R88">
        <f t="shared" si="10"/>
        <v>334.57850779350849</v>
      </c>
      <c r="S88">
        <f t="shared" si="11"/>
        <v>0</v>
      </c>
      <c r="T88" t="str">
        <f t="shared" si="12"/>
        <v/>
      </c>
      <c r="U88">
        <f t="shared" si="13"/>
        <v>-16.099999344348898</v>
      </c>
    </row>
    <row r="89" spans="1:21" x14ac:dyDescent="0.3">
      <c r="A89" s="1">
        <v>43047</v>
      </c>
      <c r="B89">
        <v>335.25</v>
      </c>
      <c r="C89">
        <v>309.49999983429899</v>
      </c>
      <c r="D89">
        <v>-25.750000165700801</v>
      </c>
      <c r="E89" s="1">
        <v>43138</v>
      </c>
      <c r="F89">
        <v>0.722436964511871</v>
      </c>
      <c r="G89">
        <v>-7.6808352470397896</v>
      </c>
      <c r="M89">
        <v>5.3981002935149451</v>
      </c>
      <c r="N89" s="1">
        <v>43138</v>
      </c>
      <c r="O89">
        <f t="shared" si="7"/>
        <v>320.29620042132888</v>
      </c>
      <c r="P89">
        <f t="shared" si="8"/>
        <v>298.7037992472691</v>
      </c>
      <c r="Q89">
        <f t="shared" si="9"/>
        <v>309.49999983429899</v>
      </c>
      <c r="R89">
        <f t="shared" si="10"/>
        <v>337.67196992352604</v>
      </c>
      <c r="S89">
        <f t="shared" si="11"/>
        <v>0</v>
      </c>
      <c r="T89" t="str">
        <f t="shared" si="12"/>
        <v/>
      </c>
      <c r="U89">
        <f t="shared" si="13"/>
        <v>-25.750000165700801</v>
      </c>
    </row>
    <row r="90" spans="1:21" x14ac:dyDescent="0.3">
      <c r="A90" s="1">
        <v>43048</v>
      </c>
      <c r="B90">
        <v>333.65</v>
      </c>
      <c r="C90">
        <v>312.50000052451998</v>
      </c>
      <c r="D90">
        <v>21.149999475479099</v>
      </c>
      <c r="E90" s="1">
        <v>43139</v>
      </c>
      <c r="F90">
        <v>-0.26861631870269698</v>
      </c>
      <c r="G90">
        <v>-6.3389778137206996</v>
      </c>
      <c r="M90">
        <v>5.6150264144183133</v>
      </c>
      <c r="N90" s="1">
        <v>43139</v>
      </c>
      <c r="O90">
        <f t="shared" si="7"/>
        <v>323.7300533533566</v>
      </c>
      <c r="P90">
        <f t="shared" si="8"/>
        <v>301.26994769568336</v>
      </c>
      <c r="Q90">
        <f t="shared" si="9"/>
        <v>312.50000052451998</v>
      </c>
      <c r="R90">
        <f t="shared" si="10"/>
        <v>332.75376165264845</v>
      </c>
      <c r="S90">
        <f t="shared" si="11"/>
        <v>0</v>
      </c>
      <c r="T90" t="str">
        <f t="shared" si="12"/>
        <v/>
      </c>
      <c r="U90">
        <f t="shared" si="13"/>
        <v>21.149999475479099</v>
      </c>
    </row>
    <row r="91" spans="1:21" x14ac:dyDescent="0.3">
      <c r="A91" s="1">
        <v>43049</v>
      </c>
      <c r="B91">
        <v>332.9</v>
      </c>
      <c r="C91">
        <v>303.85000046253202</v>
      </c>
      <c r="D91">
        <v>29.049999537467901</v>
      </c>
      <c r="E91" s="1">
        <v>43140</v>
      </c>
      <c r="F91">
        <v>-1.98922574520111</v>
      </c>
      <c r="G91">
        <v>-8.7263441085815394</v>
      </c>
      <c r="M91">
        <v>6.2230280511178799</v>
      </c>
      <c r="N91" s="1">
        <v>43140</v>
      </c>
      <c r="O91">
        <f t="shared" si="7"/>
        <v>316.29605656476781</v>
      </c>
      <c r="P91">
        <f t="shared" si="8"/>
        <v>291.40394436029624</v>
      </c>
      <c r="Q91">
        <f t="shared" si="9"/>
        <v>303.85000046253202</v>
      </c>
      <c r="R91">
        <f t="shared" si="10"/>
        <v>326.27786749422546</v>
      </c>
      <c r="S91">
        <f t="shared" si="11"/>
        <v>0</v>
      </c>
      <c r="T91" t="str">
        <f t="shared" si="12"/>
        <v/>
      </c>
      <c r="U91">
        <f t="shared" si="13"/>
        <v>29.049999537467901</v>
      </c>
    </row>
    <row r="92" spans="1:21" x14ac:dyDescent="0.3">
      <c r="A92" s="1">
        <v>43052</v>
      </c>
      <c r="B92">
        <v>331.55</v>
      </c>
      <c r="C92">
        <v>308.09999985218002</v>
      </c>
      <c r="D92">
        <v>23.450000147819502</v>
      </c>
      <c r="E92" s="1">
        <v>43143</v>
      </c>
      <c r="F92">
        <v>-4.01647901535034</v>
      </c>
      <c r="G92">
        <v>-7.0728397369384703</v>
      </c>
      <c r="M92">
        <v>6.570968894427855</v>
      </c>
      <c r="N92" s="1">
        <v>43143</v>
      </c>
      <c r="O92">
        <f t="shared" si="7"/>
        <v>321.24193764103575</v>
      </c>
      <c r="P92">
        <f t="shared" si="8"/>
        <v>294.95806206332429</v>
      </c>
      <c r="Q92">
        <f t="shared" si="9"/>
        <v>308.09999985218002</v>
      </c>
      <c r="R92">
        <f t="shared" si="10"/>
        <v>318.23336382460593</v>
      </c>
      <c r="S92">
        <f t="shared" si="11"/>
        <v>1</v>
      </c>
      <c r="T92">
        <f t="shared" si="12"/>
        <v>23.450000147819502</v>
      </c>
      <c r="U92" t="str">
        <f t="shared" si="13"/>
        <v/>
      </c>
    </row>
    <row r="93" spans="1:21" x14ac:dyDescent="0.3">
      <c r="A93" s="1">
        <v>43053</v>
      </c>
      <c r="B93">
        <v>331.3</v>
      </c>
      <c r="C93">
        <v>311.40000024127897</v>
      </c>
      <c r="D93">
        <v>19.899999758720401</v>
      </c>
      <c r="E93" s="1">
        <v>43144</v>
      </c>
      <c r="F93">
        <v>-3.2947902679443302</v>
      </c>
      <c r="G93">
        <v>-6.0066404342651296</v>
      </c>
      <c r="M93">
        <v>6.7675366925207996</v>
      </c>
      <c r="N93" s="1">
        <v>43144</v>
      </c>
      <c r="O93">
        <f t="shared" si="7"/>
        <v>324.93507362632056</v>
      </c>
      <c r="P93">
        <f t="shared" si="8"/>
        <v>297.86492685623739</v>
      </c>
      <c r="Q93">
        <f t="shared" si="9"/>
        <v>311.40000024127897</v>
      </c>
      <c r="R93">
        <f t="shared" si="10"/>
        <v>320.38435984230046</v>
      </c>
      <c r="S93">
        <f t="shared" si="11"/>
        <v>1</v>
      </c>
      <c r="T93">
        <f t="shared" si="12"/>
        <v>19.899999758720401</v>
      </c>
      <c r="U93" t="str">
        <f t="shared" si="13"/>
        <v/>
      </c>
    </row>
    <row r="94" spans="1:21" x14ac:dyDescent="0.3">
      <c r="A94" s="1">
        <v>43054</v>
      </c>
      <c r="B94">
        <v>329.15</v>
      </c>
      <c r="C94">
        <v>314.299999483823</v>
      </c>
      <c r="D94">
        <v>14.8500005161762</v>
      </c>
      <c r="E94" s="1">
        <v>43145</v>
      </c>
      <c r="F94">
        <v>-4.0710124969482404</v>
      </c>
      <c r="G94">
        <v>-4.5116209983825604</v>
      </c>
      <c r="M94">
        <v>6.8889796679468134</v>
      </c>
      <c r="N94" s="1">
        <v>43145</v>
      </c>
      <c r="O94">
        <f t="shared" si="7"/>
        <v>328.07795881971663</v>
      </c>
      <c r="P94">
        <f t="shared" si="8"/>
        <v>300.52204014792937</v>
      </c>
      <c r="Q94">
        <f t="shared" si="9"/>
        <v>314.299999483823</v>
      </c>
      <c r="R94">
        <f t="shared" si="10"/>
        <v>315.75026236629486</v>
      </c>
      <c r="S94">
        <f t="shared" si="11"/>
        <v>1</v>
      </c>
      <c r="T94">
        <f t="shared" si="12"/>
        <v>14.8500005161762</v>
      </c>
      <c r="U94" t="str">
        <f t="shared" si="13"/>
        <v/>
      </c>
    </row>
    <row r="95" spans="1:21" x14ac:dyDescent="0.3">
      <c r="A95" s="1">
        <v>43055</v>
      </c>
      <c r="B95">
        <v>331.3</v>
      </c>
      <c r="C95">
        <v>314.30000003147097</v>
      </c>
      <c r="D95">
        <v>16.999999968528702</v>
      </c>
      <c r="E95" s="1">
        <v>43146</v>
      </c>
      <c r="F95">
        <v>-4.58074474334716</v>
      </c>
      <c r="G95">
        <v>-5.1313009262084899</v>
      </c>
      <c r="M95">
        <v>6.9753420442739111</v>
      </c>
      <c r="N95" s="1">
        <v>43146</v>
      </c>
      <c r="O95">
        <f t="shared" si="7"/>
        <v>328.25068412001878</v>
      </c>
      <c r="P95">
        <f t="shared" si="8"/>
        <v>300.34931594292317</v>
      </c>
      <c r="Q95">
        <f t="shared" si="9"/>
        <v>314.30000003147097</v>
      </c>
      <c r="R95">
        <f t="shared" si="10"/>
        <v>316.12399266529087</v>
      </c>
      <c r="S95">
        <f t="shared" si="11"/>
        <v>1</v>
      </c>
      <c r="T95">
        <f t="shared" si="12"/>
        <v>16.999999968528702</v>
      </c>
      <c r="U95" t="str">
        <f t="shared" si="13"/>
        <v/>
      </c>
    </row>
    <row r="96" spans="1:21" x14ac:dyDescent="0.3">
      <c r="A96" s="1">
        <v>43056</v>
      </c>
      <c r="B96">
        <v>330.95</v>
      </c>
      <c r="C96">
        <v>314.299999731063</v>
      </c>
      <c r="D96">
        <v>16.6500002689361</v>
      </c>
      <c r="E96" s="1">
        <v>43147</v>
      </c>
      <c r="F96">
        <v>-2.0282683372497501</v>
      </c>
      <c r="G96">
        <v>-5.0309715270995996</v>
      </c>
      <c r="M96">
        <v>7.0558114175206912</v>
      </c>
      <c r="N96" s="1">
        <v>43147</v>
      </c>
      <c r="O96">
        <f t="shared" si="7"/>
        <v>328.41162256610437</v>
      </c>
      <c r="P96">
        <f t="shared" si="8"/>
        <v>300.18837689602162</v>
      </c>
      <c r="Q96">
        <f t="shared" si="9"/>
        <v>314.299999731063</v>
      </c>
      <c r="R96">
        <f t="shared" si="10"/>
        <v>324.23744593787194</v>
      </c>
      <c r="S96">
        <f t="shared" si="11"/>
        <v>1</v>
      </c>
      <c r="T96">
        <f t="shared" si="12"/>
        <v>16.6500002689361</v>
      </c>
      <c r="U96" t="str">
        <f t="shared" si="13"/>
        <v/>
      </c>
    </row>
    <row r="97" spans="1:21" x14ac:dyDescent="0.3">
      <c r="A97" s="1">
        <v>43059</v>
      </c>
      <c r="B97">
        <v>329.45</v>
      </c>
      <c r="C97">
        <v>316.25000055599202</v>
      </c>
      <c r="D97">
        <v>13.199999444007799</v>
      </c>
      <c r="E97" s="1">
        <v>43150</v>
      </c>
      <c r="F97">
        <v>-0.92885011434554998</v>
      </c>
      <c r="G97">
        <v>-4.0066776275634703</v>
      </c>
      <c r="M97">
        <v>7.105777291293438</v>
      </c>
      <c r="N97" s="1">
        <v>43150</v>
      </c>
      <c r="O97">
        <f t="shared" si="7"/>
        <v>330.46155513857889</v>
      </c>
      <c r="P97">
        <f t="shared" si="8"/>
        <v>302.03844597340515</v>
      </c>
      <c r="Q97">
        <f t="shared" si="9"/>
        <v>316.25000055599202</v>
      </c>
      <c r="R97">
        <f t="shared" si="10"/>
        <v>326.38990329828857</v>
      </c>
      <c r="S97">
        <f t="shared" si="11"/>
        <v>1</v>
      </c>
      <c r="T97">
        <f t="shared" si="12"/>
        <v>13.199999444007799</v>
      </c>
      <c r="U97" t="str">
        <f t="shared" si="13"/>
        <v/>
      </c>
    </row>
    <row r="98" spans="1:21" x14ac:dyDescent="0.3">
      <c r="A98" s="1">
        <v>43060</v>
      </c>
      <c r="B98">
        <v>330.85</v>
      </c>
      <c r="C98">
        <v>312.00000034093802</v>
      </c>
      <c r="D98">
        <v>18.8499996590614</v>
      </c>
      <c r="E98" s="1">
        <v>43151</v>
      </c>
      <c r="F98">
        <v>-0.66855078935623102</v>
      </c>
      <c r="G98">
        <v>-5.6974458694457999</v>
      </c>
      <c r="M98">
        <v>7.2247302484910465</v>
      </c>
      <c r="N98" s="1">
        <v>43151</v>
      </c>
      <c r="O98">
        <f t="shared" si="7"/>
        <v>326.44946083792013</v>
      </c>
      <c r="P98">
        <f t="shared" si="8"/>
        <v>297.5505398439559</v>
      </c>
      <c r="Q98">
        <f t="shared" si="9"/>
        <v>312.00000034093802</v>
      </c>
      <c r="R98">
        <f t="shared" si="10"/>
        <v>328.63809971341493</v>
      </c>
      <c r="S98">
        <f t="shared" si="11"/>
        <v>0</v>
      </c>
      <c r="T98" t="str">
        <f t="shared" si="12"/>
        <v/>
      </c>
      <c r="U98">
        <f t="shared" si="13"/>
        <v>18.8499996590614</v>
      </c>
    </row>
    <row r="99" spans="1:21" x14ac:dyDescent="0.3">
      <c r="A99" s="1">
        <v>43061</v>
      </c>
      <c r="B99">
        <v>332.55</v>
      </c>
      <c r="C99">
        <v>314.050000212192</v>
      </c>
      <c r="D99">
        <v>18.499999787807401</v>
      </c>
      <c r="E99" s="1">
        <v>43152</v>
      </c>
      <c r="F99">
        <v>-0.28579699993133501</v>
      </c>
      <c r="G99">
        <v>-5.5630731582641602</v>
      </c>
      <c r="M99">
        <v>7.2539401594263522</v>
      </c>
      <c r="N99" s="1">
        <v>43152</v>
      </c>
      <c r="O99">
        <f t="shared" si="7"/>
        <v>328.5578805310447</v>
      </c>
      <c r="P99">
        <f t="shared" si="8"/>
        <v>299.5421198933393</v>
      </c>
      <c r="Q99">
        <f t="shared" si="9"/>
        <v>314.050000212192</v>
      </c>
      <c r="R99">
        <f t="shared" si="10"/>
        <v>331.59958207672838</v>
      </c>
      <c r="S99">
        <f t="shared" si="11"/>
        <v>0</v>
      </c>
      <c r="T99" t="str">
        <f t="shared" si="12"/>
        <v/>
      </c>
      <c r="U99">
        <f t="shared" si="13"/>
        <v>18.499999787807401</v>
      </c>
    </row>
    <row r="100" spans="1:21" x14ac:dyDescent="0.3">
      <c r="A100" s="1">
        <v>43062</v>
      </c>
      <c r="B100">
        <v>331.45</v>
      </c>
      <c r="C100">
        <v>311.850000355482</v>
      </c>
      <c r="D100">
        <v>-19.599999644517801</v>
      </c>
      <c r="E100" s="1">
        <v>43153</v>
      </c>
      <c r="F100">
        <v>1.07932949066162</v>
      </c>
      <c r="G100">
        <v>-5.9134106636047301</v>
      </c>
      <c r="M100">
        <v>7.3415822905451442</v>
      </c>
      <c r="N100" s="1">
        <v>43153</v>
      </c>
      <c r="O100">
        <f t="shared" si="7"/>
        <v>326.53316493657229</v>
      </c>
      <c r="P100">
        <f t="shared" si="8"/>
        <v>297.1668357743917</v>
      </c>
      <c r="Q100">
        <f t="shared" si="9"/>
        <v>311.850000355482</v>
      </c>
      <c r="R100">
        <f t="shared" si="10"/>
        <v>335.02743759679794</v>
      </c>
      <c r="S100">
        <f t="shared" si="11"/>
        <v>0</v>
      </c>
      <c r="T100" t="str">
        <f t="shared" si="12"/>
        <v/>
      </c>
      <c r="U100">
        <f t="shared" si="13"/>
        <v>-19.599999644517801</v>
      </c>
    </row>
    <row r="101" spans="1:21" x14ac:dyDescent="0.3">
      <c r="A101" s="1">
        <v>43063</v>
      </c>
      <c r="B101">
        <v>332.25</v>
      </c>
      <c r="C101">
        <v>316.94999992132102</v>
      </c>
      <c r="D101">
        <v>-15.300000078678099</v>
      </c>
      <c r="E101" s="1">
        <v>43154</v>
      </c>
      <c r="F101">
        <v>1.52284276485443</v>
      </c>
      <c r="G101">
        <v>-4.6049661636352504</v>
      </c>
      <c r="M101">
        <v>7.3046936471590715</v>
      </c>
      <c r="N101" s="1">
        <v>43154</v>
      </c>
      <c r="O101">
        <f t="shared" si="7"/>
        <v>331.55938721563916</v>
      </c>
      <c r="P101">
        <f t="shared" si="8"/>
        <v>302.34061262700288</v>
      </c>
      <c r="Q101">
        <f t="shared" si="9"/>
        <v>316.94999992132102</v>
      </c>
      <c r="R101">
        <f t="shared" si="10"/>
        <v>337.30964508622884</v>
      </c>
      <c r="S101">
        <f t="shared" si="11"/>
        <v>0</v>
      </c>
      <c r="T101" t="str">
        <f t="shared" si="12"/>
        <v/>
      </c>
      <c r="U101">
        <f t="shared" si="13"/>
        <v>-15.300000078678099</v>
      </c>
    </row>
    <row r="102" spans="1:21" x14ac:dyDescent="0.3">
      <c r="A102" s="1">
        <v>43066</v>
      </c>
      <c r="B102">
        <v>325.89999999999998</v>
      </c>
      <c r="C102">
        <v>317.09999976205802</v>
      </c>
      <c r="D102">
        <v>-8.8000002379417293</v>
      </c>
      <c r="E102" s="1">
        <v>43157</v>
      </c>
      <c r="F102">
        <v>1.89124202728271</v>
      </c>
      <c r="G102">
        <v>-2.7002148628234801</v>
      </c>
      <c r="M102">
        <v>7.3382094893519723</v>
      </c>
      <c r="N102" s="1">
        <v>43157</v>
      </c>
      <c r="O102">
        <f t="shared" si="7"/>
        <v>331.77641874076198</v>
      </c>
      <c r="P102">
        <f t="shared" si="8"/>
        <v>302.42358078335405</v>
      </c>
      <c r="Q102">
        <f t="shared" si="9"/>
        <v>317.09999976205802</v>
      </c>
      <c r="R102">
        <f t="shared" si="10"/>
        <v>332.0635577669143</v>
      </c>
      <c r="S102">
        <f t="shared" si="11"/>
        <v>0</v>
      </c>
      <c r="T102" t="str">
        <f t="shared" si="12"/>
        <v/>
      </c>
      <c r="U102">
        <f t="shared" si="13"/>
        <v>-8.8000002379417293</v>
      </c>
    </row>
    <row r="103" spans="1:21" x14ac:dyDescent="0.3">
      <c r="A103" s="1">
        <v>43067</v>
      </c>
      <c r="B103">
        <v>327.7</v>
      </c>
      <c r="C103">
        <v>315.75000036191898</v>
      </c>
      <c r="D103">
        <v>-11.9499996380806</v>
      </c>
      <c r="E103" s="1">
        <v>43158</v>
      </c>
      <c r="F103">
        <v>3.5024549961089999</v>
      </c>
      <c r="G103">
        <v>-3.6466279029846098</v>
      </c>
      <c r="M103">
        <v>7.3737460635429617</v>
      </c>
      <c r="N103" s="1">
        <v>43158</v>
      </c>
      <c r="O103">
        <f t="shared" si="7"/>
        <v>330.49749248900491</v>
      </c>
      <c r="P103">
        <f t="shared" si="8"/>
        <v>301.00250823483304</v>
      </c>
      <c r="Q103">
        <f t="shared" si="9"/>
        <v>315.75000036191898</v>
      </c>
      <c r="R103">
        <f t="shared" si="10"/>
        <v>339.17754502224921</v>
      </c>
      <c r="S103">
        <f t="shared" si="11"/>
        <v>0</v>
      </c>
      <c r="T103" t="str">
        <f t="shared" si="12"/>
        <v/>
      </c>
      <c r="U103">
        <f t="shared" si="13"/>
        <v>-11.9499996380806</v>
      </c>
    </row>
    <row r="104" spans="1:21" x14ac:dyDescent="0.3">
      <c r="A104" s="1">
        <v>43068</v>
      </c>
      <c r="B104">
        <v>327.7</v>
      </c>
      <c r="C104">
        <v>312.450000520706</v>
      </c>
      <c r="D104">
        <v>-15.2499994792938</v>
      </c>
      <c r="E104" s="1">
        <v>43159</v>
      </c>
      <c r="F104">
        <v>3.6594977378845202</v>
      </c>
      <c r="G104">
        <v>-4.65364646911621</v>
      </c>
      <c r="M104">
        <v>7.4649805824364881</v>
      </c>
      <c r="N104" s="1">
        <v>43159</v>
      </c>
      <c r="O104">
        <f t="shared" si="7"/>
        <v>327.37996168557896</v>
      </c>
      <c r="P104">
        <f t="shared" si="8"/>
        <v>297.52003935583303</v>
      </c>
      <c r="Q104">
        <f t="shared" si="9"/>
        <v>312.450000520706</v>
      </c>
      <c r="R104">
        <f t="shared" si="10"/>
        <v>339.69217408704753</v>
      </c>
      <c r="S104">
        <f t="shared" si="11"/>
        <v>0</v>
      </c>
      <c r="T104" t="str">
        <f t="shared" si="12"/>
        <v/>
      </c>
      <c r="U104">
        <f t="shared" si="13"/>
        <v>-15.2499994792938</v>
      </c>
    </row>
    <row r="105" spans="1:21" x14ac:dyDescent="0.3">
      <c r="A105" s="1">
        <v>43069</v>
      </c>
      <c r="B105">
        <v>322.25</v>
      </c>
      <c r="C105">
        <v>312.44999985098798</v>
      </c>
      <c r="D105">
        <v>9.8000001490116198</v>
      </c>
      <c r="E105" s="1">
        <v>43160</v>
      </c>
      <c r="F105">
        <v>-1.2045302391052199</v>
      </c>
      <c r="G105">
        <v>-3.0411171913146902</v>
      </c>
      <c r="M105">
        <v>7.5743936987620408</v>
      </c>
      <c r="N105" s="1">
        <v>43160</v>
      </c>
      <c r="O105">
        <f t="shared" si="7"/>
        <v>327.59878724851205</v>
      </c>
      <c r="P105">
        <f t="shared" si="8"/>
        <v>297.3012124534639</v>
      </c>
      <c r="Q105">
        <f t="shared" si="9"/>
        <v>312.44999985098798</v>
      </c>
      <c r="R105">
        <f t="shared" si="10"/>
        <v>318.36840130448343</v>
      </c>
      <c r="S105">
        <f t="shared" si="11"/>
        <v>1</v>
      </c>
      <c r="T105">
        <f t="shared" si="12"/>
        <v>9.8000001490116198</v>
      </c>
      <c r="U105" t="str">
        <f t="shared" si="13"/>
        <v/>
      </c>
    </row>
    <row r="106" spans="1:21" x14ac:dyDescent="0.3">
      <c r="A106" s="1">
        <v>43070</v>
      </c>
      <c r="B106">
        <v>321.85000000000002</v>
      </c>
      <c r="C106">
        <v>308.14999969291603</v>
      </c>
      <c r="D106">
        <v>13.7000003070831</v>
      </c>
      <c r="E106" s="1">
        <v>43161</v>
      </c>
      <c r="F106">
        <v>-1.35839760303497</v>
      </c>
      <c r="G106">
        <v>-4.2566413879394496</v>
      </c>
      <c r="M106">
        <v>7.784631679444785</v>
      </c>
      <c r="N106" s="1">
        <v>43161</v>
      </c>
      <c r="O106">
        <f t="shared" si="7"/>
        <v>323.71926305180557</v>
      </c>
      <c r="P106">
        <f t="shared" si="8"/>
        <v>292.58073633402648</v>
      </c>
      <c r="Q106">
        <f t="shared" si="9"/>
        <v>308.14999969291603</v>
      </c>
      <c r="R106">
        <f t="shared" si="10"/>
        <v>317.47799731463198</v>
      </c>
      <c r="S106">
        <f t="shared" si="11"/>
        <v>1</v>
      </c>
      <c r="T106">
        <f t="shared" si="12"/>
        <v>13.7000003070831</v>
      </c>
      <c r="U106" t="str">
        <f t="shared" si="13"/>
        <v/>
      </c>
    </row>
    <row r="107" spans="1:21" x14ac:dyDescent="0.3">
      <c r="A107" s="1">
        <v>43073</v>
      </c>
      <c r="B107">
        <v>325</v>
      </c>
      <c r="C107">
        <v>303.849999904632</v>
      </c>
      <c r="D107">
        <v>21.1500000953674</v>
      </c>
      <c r="E107" s="1">
        <v>43164</v>
      </c>
      <c r="F107">
        <v>-2.0729842185974099</v>
      </c>
      <c r="G107">
        <v>-6.5076923370361301</v>
      </c>
      <c r="M107">
        <v>8.1110012542320451</v>
      </c>
      <c r="N107" s="1">
        <v>43164</v>
      </c>
      <c r="O107">
        <f t="shared" si="7"/>
        <v>320.07200241309607</v>
      </c>
      <c r="P107">
        <f t="shared" si="8"/>
        <v>287.62799739616793</v>
      </c>
      <c r="Q107">
        <f t="shared" si="9"/>
        <v>303.849999904632</v>
      </c>
      <c r="R107">
        <f t="shared" si="10"/>
        <v>318.26280128955841</v>
      </c>
      <c r="S107">
        <f t="shared" si="11"/>
        <v>1</v>
      </c>
      <c r="T107">
        <f t="shared" si="12"/>
        <v>21.1500000953674</v>
      </c>
      <c r="U107" t="str">
        <f t="shared" si="13"/>
        <v/>
      </c>
    </row>
    <row r="108" spans="1:21" x14ac:dyDescent="0.3">
      <c r="A108" s="1">
        <v>43074</v>
      </c>
      <c r="B108">
        <v>326.60000000000002</v>
      </c>
      <c r="C108">
        <v>310.29999923610598</v>
      </c>
      <c r="D108">
        <v>16.300000763893099</v>
      </c>
      <c r="E108" s="1">
        <v>43165</v>
      </c>
      <c r="F108">
        <v>-0.77075415849685602</v>
      </c>
      <c r="G108">
        <v>-4.9908146858215297</v>
      </c>
      <c r="M108">
        <v>8.2212875945035773</v>
      </c>
      <c r="N108" s="1">
        <v>43165</v>
      </c>
      <c r="O108">
        <f t="shared" si="7"/>
        <v>326.74257442511311</v>
      </c>
      <c r="P108">
        <f t="shared" si="8"/>
        <v>293.85742404709885</v>
      </c>
      <c r="Q108">
        <f t="shared" si="9"/>
        <v>310.29999923610598</v>
      </c>
      <c r="R108">
        <f t="shared" si="10"/>
        <v>324.08271691834926</v>
      </c>
      <c r="S108">
        <f t="shared" si="11"/>
        <v>1</v>
      </c>
      <c r="T108">
        <f t="shared" si="12"/>
        <v>16.300000763893099</v>
      </c>
      <c r="U108" t="str">
        <f t="shared" si="13"/>
        <v/>
      </c>
    </row>
    <row r="109" spans="1:21" x14ac:dyDescent="0.3">
      <c r="A109" s="1">
        <v>43075</v>
      </c>
      <c r="B109">
        <v>321.64999999999998</v>
      </c>
      <c r="C109">
        <v>310.45000016522403</v>
      </c>
      <c r="D109">
        <v>11.1999998347759</v>
      </c>
      <c r="E109" s="1">
        <v>43166</v>
      </c>
      <c r="F109">
        <v>-0.521043181419372</v>
      </c>
      <c r="G109">
        <v>-3.4820456504821702</v>
      </c>
      <c r="M109">
        <v>8.3422529988099612</v>
      </c>
      <c r="N109" s="1">
        <v>43166</v>
      </c>
      <c r="O109">
        <f t="shared" si="7"/>
        <v>327.13450616284393</v>
      </c>
      <c r="P109">
        <f t="shared" si="8"/>
        <v>293.76549416760412</v>
      </c>
      <c r="Q109">
        <f t="shared" si="9"/>
        <v>310.45000016522403</v>
      </c>
      <c r="R109">
        <f t="shared" si="10"/>
        <v>319.97406460696459</v>
      </c>
      <c r="S109">
        <f t="shared" si="11"/>
        <v>1</v>
      </c>
      <c r="T109">
        <f t="shared" si="12"/>
        <v>11.1999998347759</v>
      </c>
      <c r="U109" t="str">
        <f t="shared" si="13"/>
        <v/>
      </c>
    </row>
    <row r="110" spans="1:21" x14ac:dyDescent="0.3">
      <c r="A110" s="1">
        <v>43076</v>
      </c>
      <c r="B110">
        <v>320.7</v>
      </c>
      <c r="C110">
        <v>313.60000024008701</v>
      </c>
      <c r="D110">
        <v>7.0999997599124596</v>
      </c>
      <c r="E110" s="1">
        <v>43167</v>
      </c>
      <c r="F110">
        <v>-0.449763894081115</v>
      </c>
      <c r="G110">
        <v>-2.21390700340271</v>
      </c>
      <c r="M110">
        <v>8.4016687902784177</v>
      </c>
      <c r="N110" s="1">
        <v>43167</v>
      </c>
      <c r="O110">
        <f t="shared" si="7"/>
        <v>330.40333782064386</v>
      </c>
      <c r="P110">
        <f t="shared" si="8"/>
        <v>296.79666265953017</v>
      </c>
      <c r="Q110">
        <f t="shared" si="9"/>
        <v>313.60000024008701</v>
      </c>
      <c r="R110">
        <f t="shared" si="10"/>
        <v>319.25760719168187</v>
      </c>
      <c r="S110">
        <f t="shared" si="11"/>
        <v>1</v>
      </c>
      <c r="T110">
        <f t="shared" si="12"/>
        <v>7.0999997599124596</v>
      </c>
      <c r="U110" t="str">
        <f t="shared" si="13"/>
        <v/>
      </c>
    </row>
    <row r="111" spans="1:21" x14ac:dyDescent="0.3">
      <c r="A111" s="1">
        <v>43077</v>
      </c>
      <c r="B111">
        <v>321.39999999999998</v>
      </c>
      <c r="C111">
        <v>317.09999999117798</v>
      </c>
      <c r="D111">
        <v>4.3000000088214803</v>
      </c>
      <c r="E111" s="1">
        <v>43168</v>
      </c>
      <c r="F111">
        <v>-2.0546586513519198</v>
      </c>
      <c r="G111">
        <v>-1.33789670467376</v>
      </c>
      <c r="M111">
        <v>8.4200109343524794</v>
      </c>
      <c r="N111" s="1">
        <v>43168</v>
      </c>
      <c r="O111">
        <f t="shared" si="7"/>
        <v>333.94002185988296</v>
      </c>
      <c r="P111">
        <f t="shared" si="8"/>
        <v>300.259978122473</v>
      </c>
      <c r="Q111">
        <f t="shared" si="9"/>
        <v>317.09999999117798</v>
      </c>
      <c r="R111">
        <f t="shared" si="10"/>
        <v>314.7963270945549</v>
      </c>
      <c r="S111">
        <f t="shared" si="11"/>
        <v>1</v>
      </c>
      <c r="T111">
        <f t="shared" si="12"/>
        <v>4.3000000088214803</v>
      </c>
      <c r="U111" t="str">
        <f t="shared" si="13"/>
        <v/>
      </c>
    </row>
    <row r="112" spans="1:21" x14ac:dyDescent="0.3">
      <c r="A112" s="1">
        <v>43080</v>
      </c>
      <c r="B112">
        <v>321.5</v>
      </c>
      <c r="C112">
        <v>320.10000002443701</v>
      </c>
      <c r="D112">
        <v>1.39999997556208</v>
      </c>
      <c r="E112" s="1">
        <v>43171</v>
      </c>
      <c r="F112">
        <v>-1.0638556480407699</v>
      </c>
      <c r="G112">
        <v>-0.43545877933502197</v>
      </c>
      <c r="M112">
        <v>8.4218353163757467</v>
      </c>
      <c r="N112" s="1">
        <v>43171</v>
      </c>
      <c r="O112">
        <f t="shared" si="7"/>
        <v>336.94367065718848</v>
      </c>
      <c r="P112">
        <f t="shared" si="8"/>
        <v>303.25632939168554</v>
      </c>
      <c r="Q112">
        <f t="shared" si="9"/>
        <v>320.10000002443701</v>
      </c>
      <c r="R112">
        <f t="shared" si="10"/>
        <v>318.07970409154893</v>
      </c>
      <c r="S112">
        <f t="shared" si="11"/>
        <v>1</v>
      </c>
      <c r="T112">
        <f t="shared" si="12"/>
        <v>1.39999997556208</v>
      </c>
      <c r="U112" t="str">
        <f t="shared" si="13"/>
        <v/>
      </c>
    </row>
    <row r="113" spans="1:21" x14ac:dyDescent="0.3">
      <c r="A113" s="1">
        <v>43081</v>
      </c>
      <c r="B113">
        <v>320.45</v>
      </c>
      <c r="C113">
        <v>321.50000001315698</v>
      </c>
      <c r="D113">
        <v>-1.0500000131577201</v>
      </c>
      <c r="E113" s="1">
        <v>43172</v>
      </c>
      <c r="F113">
        <v>-0.50498056411743097</v>
      </c>
      <c r="G113">
        <v>0.32766422629356301</v>
      </c>
      <c r="M113">
        <v>8.4208132715222987</v>
      </c>
      <c r="N113" s="1">
        <v>43172</v>
      </c>
      <c r="O113">
        <f t="shared" si="7"/>
        <v>338.34162655620156</v>
      </c>
      <c r="P113">
        <f t="shared" si="8"/>
        <v>304.65837347011239</v>
      </c>
      <c r="Q113">
        <f t="shared" si="9"/>
        <v>321.50000001315698</v>
      </c>
      <c r="R113">
        <f t="shared" si="10"/>
        <v>318.83178978228568</v>
      </c>
      <c r="S113">
        <f t="shared" si="11"/>
        <v>0</v>
      </c>
      <c r="T113" t="str">
        <f t="shared" si="12"/>
        <v/>
      </c>
      <c r="U113">
        <f t="shared" si="13"/>
        <v>-1.0500000131577201</v>
      </c>
    </row>
    <row r="114" spans="1:21" x14ac:dyDescent="0.3">
      <c r="A114" s="1">
        <v>43082</v>
      </c>
      <c r="B114">
        <v>322.85000000000002</v>
      </c>
      <c r="C114">
        <v>321.550000027149</v>
      </c>
      <c r="D114">
        <v>1.29999997285005</v>
      </c>
      <c r="E114" s="1">
        <v>43173</v>
      </c>
      <c r="F114">
        <v>-1.6661297082901001</v>
      </c>
      <c r="G114">
        <v>-0.40266376733779902</v>
      </c>
      <c r="M114">
        <v>8.4191190099585871</v>
      </c>
      <c r="N114" s="1">
        <v>43173</v>
      </c>
      <c r="O114">
        <f t="shared" si="7"/>
        <v>338.38823804706618</v>
      </c>
      <c r="P114">
        <f t="shared" si="8"/>
        <v>304.71176200723181</v>
      </c>
      <c r="Q114">
        <f t="shared" si="9"/>
        <v>321.550000027149</v>
      </c>
      <c r="R114">
        <f t="shared" si="10"/>
        <v>317.47090023678544</v>
      </c>
      <c r="S114">
        <f t="shared" si="11"/>
        <v>1</v>
      </c>
      <c r="T114">
        <f t="shared" si="12"/>
        <v>1.29999997285005</v>
      </c>
      <c r="U114" t="str">
        <f t="shared" si="13"/>
        <v/>
      </c>
    </row>
    <row r="115" spans="1:21" x14ac:dyDescent="0.3">
      <c r="A115" s="1">
        <v>43083</v>
      </c>
      <c r="B115">
        <v>324.3</v>
      </c>
      <c r="C115">
        <v>322.84999995294203</v>
      </c>
      <c r="D115">
        <v>-1.45000004705786</v>
      </c>
      <c r="E115" s="1">
        <v>43174</v>
      </c>
      <c r="F115">
        <v>3.7482962012290899E-2</v>
      </c>
      <c r="G115">
        <v>-0.44711688160896301</v>
      </c>
      <c r="M115">
        <v>8.4134700549407402</v>
      </c>
      <c r="N115" s="1">
        <v>43174</v>
      </c>
      <c r="O115">
        <f t="shared" si="7"/>
        <v>339.67694006282352</v>
      </c>
      <c r="P115">
        <f t="shared" si="8"/>
        <v>306.02305984306054</v>
      </c>
      <c r="Q115">
        <f t="shared" si="9"/>
        <v>322.84999995294203</v>
      </c>
      <c r="R115">
        <f t="shared" si="10"/>
        <v>324.42155724580584</v>
      </c>
      <c r="S115">
        <f t="shared" si="11"/>
        <v>0</v>
      </c>
      <c r="T115" t="str">
        <f t="shared" si="12"/>
        <v/>
      </c>
      <c r="U115">
        <f t="shared" si="13"/>
        <v>-1.45000004705786</v>
      </c>
    </row>
    <row r="116" spans="1:21" x14ac:dyDescent="0.3">
      <c r="A116" s="1">
        <v>43084</v>
      </c>
      <c r="B116">
        <v>322.75</v>
      </c>
      <c r="C116">
        <v>321.99999998569399</v>
      </c>
      <c r="D116">
        <v>-0.75000001430510099</v>
      </c>
      <c r="E116" s="1">
        <v>43175</v>
      </c>
      <c r="F116">
        <v>3.2136545181274401</v>
      </c>
      <c r="G116">
        <v>-0.23237800598144501</v>
      </c>
      <c r="M116">
        <v>8.4121949596084313</v>
      </c>
      <c r="N116" s="1">
        <v>43175</v>
      </c>
      <c r="O116">
        <f t="shared" si="7"/>
        <v>338.82438990491084</v>
      </c>
      <c r="P116">
        <f t="shared" si="8"/>
        <v>305.17561006647713</v>
      </c>
      <c r="Q116">
        <f t="shared" si="9"/>
        <v>321.99999998569399</v>
      </c>
      <c r="R116">
        <f t="shared" si="10"/>
        <v>333.12206995725631</v>
      </c>
      <c r="S116">
        <f t="shared" si="11"/>
        <v>0</v>
      </c>
      <c r="T116" t="str">
        <f t="shared" si="12"/>
        <v/>
      </c>
      <c r="U116">
        <f t="shared" si="13"/>
        <v>-0.75000001430510099</v>
      </c>
    </row>
    <row r="117" spans="1:21" x14ac:dyDescent="0.3">
      <c r="A117" s="1">
        <v>43087</v>
      </c>
      <c r="B117">
        <v>324.14999999999998</v>
      </c>
      <c r="C117">
        <v>319.85000013166598</v>
      </c>
      <c r="D117">
        <v>-4.2999998683333098</v>
      </c>
      <c r="E117" s="1">
        <v>43178</v>
      </c>
      <c r="F117">
        <v>3.44277620315551</v>
      </c>
      <c r="G117">
        <v>-1.3265463113784699</v>
      </c>
      <c r="M117">
        <v>8.4075674189295722</v>
      </c>
      <c r="N117" s="1">
        <v>43178</v>
      </c>
      <c r="O117">
        <f t="shared" si="7"/>
        <v>336.66513496952513</v>
      </c>
      <c r="P117">
        <f t="shared" si="8"/>
        <v>303.03486529380683</v>
      </c>
      <c r="Q117">
        <f t="shared" si="9"/>
        <v>319.85000013166598</v>
      </c>
      <c r="R117">
        <f t="shared" si="10"/>
        <v>335.30975906252854</v>
      </c>
      <c r="S117">
        <f t="shared" si="11"/>
        <v>0</v>
      </c>
      <c r="T117" t="str">
        <f t="shared" si="12"/>
        <v/>
      </c>
      <c r="U117">
        <f t="shared" si="13"/>
        <v>-4.2999998683333098</v>
      </c>
    </row>
    <row r="118" spans="1:21" x14ac:dyDescent="0.3">
      <c r="A118" s="1">
        <v>43088</v>
      </c>
      <c r="B118">
        <v>323.85000000000002</v>
      </c>
      <c r="C118">
        <v>321.30000005775599</v>
      </c>
      <c r="D118">
        <v>-2.5499999422431099</v>
      </c>
      <c r="E118" s="1">
        <v>43179</v>
      </c>
      <c r="F118">
        <v>3.9814157485961901</v>
      </c>
      <c r="G118">
        <v>-0.78740155696868896</v>
      </c>
      <c r="M118">
        <v>8.4018458222674983</v>
      </c>
      <c r="N118" s="1">
        <v>43179</v>
      </c>
      <c r="O118">
        <f t="shared" si="7"/>
        <v>338.10369170229097</v>
      </c>
      <c r="P118">
        <f t="shared" si="8"/>
        <v>304.49630841322102</v>
      </c>
      <c r="Q118">
        <f t="shared" si="9"/>
        <v>321.30000005775599</v>
      </c>
      <c r="R118">
        <f t="shared" si="10"/>
        <v>336.74381490182878</v>
      </c>
      <c r="S118">
        <f t="shared" si="11"/>
        <v>0</v>
      </c>
      <c r="T118" t="str">
        <f t="shared" si="12"/>
        <v/>
      </c>
      <c r="U118">
        <f t="shared" si="13"/>
        <v>-2.5499999422431099</v>
      </c>
    </row>
    <row r="119" spans="1:21" x14ac:dyDescent="0.3">
      <c r="A119" s="1">
        <v>43089</v>
      </c>
      <c r="B119">
        <v>323.55</v>
      </c>
      <c r="C119">
        <v>321.60000003629898</v>
      </c>
      <c r="D119">
        <v>-1.9499999637007399</v>
      </c>
      <c r="E119" s="1">
        <v>43180</v>
      </c>
      <c r="F119">
        <v>5.4632024765014604</v>
      </c>
      <c r="G119">
        <v>-0.602688908576965</v>
      </c>
      <c r="M119">
        <v>8.3973422564019469</v>
      </c>
      <c r="N119" s="1">
        <v>43180</v>
      </c>
      <c r="O119">
        <f t="shared" si="7"/>
        <v>338.39468454910286</v>
      </c>
      <c r="P119">
        <f t="shared" si="8"/>
        <v>304.8053155234951</v>
      </c>
      <c r="Q119">
        <f t="shared" si="9"/>
        <v>321.60000003629898</v>
      </c>
      <c r="R119">
        <f t="shared" si="10"/>
        <v>341.22619161272047</v>
      </c>
      <c r="S119">
        <f t="shared" si="11"/>
        <v>0</v>
      </c>
      <c r="T119" t="str">
        <f t="shared" si="12"/>
        <v/>
      </c>
      <c r="U119">
        <f t="shared" si="13"/>
        <v>-1.9499999637007399</v>
      </c>
    </row>
    <row r="120" spans="1:21" x14ac:dyDescent="0.3">
      <c r="A120" s="1">
        <v>43090</v>
      </c>
      <c r="B120">
        <v>316.85000000000002</v>
      </c>
      <c r="C120">
        <v>322.09999998414497</v>
      </c>
      <c r="D120">
        <v>5.2499999841451697</v>
      </c>
      <c r="E120" s="1">
        <v>43181</v>
      </c>
      <c r="F120">
        <v>5.6365723609924299</v>
      </c>
      <c r="G120">
        <v>1.6569354534149101</v>
      </c>
      <c r="M120">
        <v>8.3789192895944744</v>
      </c>
      <c r="N120" s="1">
        <v>43181</v>
      </c>
      <c r="O120">
        <f t="shared" si="7"/>
        <v>338.85783856333393</v>
      </c>
      <c r="P120">
        <f t="shared" si="8"/>
        <v>305.34216140495602</v>
      </c>
      <c r="Q120">
        <f t="shared" si="9"/>
        <v>322.09999998414497</v>
      </c>
      <c r="R120">
        <f t="shared" si="10"/>
        <v>334.70947952580457</v>
      </c>
      <c r="S120">
        <f t="shared" si="11"/>
        <v>1</v>
      </c>
      <c r="T120">
        <f t="shared" si="12"/>
        <v>5.2499999841451697</v>
      </c>
      <c r="U120" t="str">
        <f t="shared" si="13"/>
        <v/>
      </c>
    </row>
    <row r="121" spans="1:21" x14ac:dyDescent="0.3">
      <c r="A121" s="1">
        <v>43091</v>
      </c>
      <c r="B121">
        <v>318.5</v>
      </c>
      <c r="C121">
        <v>311.49999965786901</v>
      </c>
      <c r="D121">
        <v>-7.0000003421306403</v>
      </c>
      <c r="E121" s="1">
        <v>43182</v>
      </c>
      <c r="F121">
        <v>6.0625886917114196</v>
      </c>
      <c r="G121">
        <v>-2.1978023052215501</v>
      </c>
      <c r="M121">
        <v>8.4613439444425005</v>
      </c>
      <c r="N121" s="1">
        <v>43182</v>
      </c>
      <c r="O121">
        <f t="shared" si="7"/>
        <v>328.42268754675399</v>
      </c>
      <c r="P121">
        <f t="shared" si="8"/>
        <v>294.57731176898403</v>
      </c>
      <c r="Q121">
        <f t="shared" si="9"/>
        <v>311.49999965786901</v>
      </c>
      <c r="R121">
        <f t="shared" si="10"/>
        <v>337.80934498310086</v>
      </c>
      <c r="S121">
        <f t="shared" si="11"/>
        <v>0</v>
      </c>
      <c r="T121" t="str">
        <f t="shared" si="12"/>
        <v/>
      </c>
      <c r="U121">
        <f t="shared" si="13"/>
        <v>-7.0000003421306403</v>
      </c>
    </row>
    <row r="122" spans="1:21" x14ac:dyDescent="0.3">
      <c r="A122" s="1">
        <v>43094</v>
      </c>
      <c r="B122">
        <v>318.5</v>
      </c>
      <c r="C122">
        <v>314.50000018417802</v>
      </c>
      <c r="D122">
        <v>-3.9999998158216301</v>
      </c>
      <c r="E122" s="1">
        <v>43185</v>
      </c>
      <c r="F122">
        <v>5.84913730621337</v>
      </c>
      <c r="G122">
        <v>-1.25588691234588</v>
      </c>
      <c r="M122">
        <v>8.4964367531336293</v>
      </c>
      <c r="N122" s="1">
        <v>43185</v>
      </c>
      <c r="O122">
        <f t="shared" si="7"/>
        <v>331.49287369044526</v>
      </c>
      <c r="P122">
        <f t="shared" si="8"/>
        <v>297.50712667791078</v>
      </c>
      <c r="Q122">
        <f t="shared" si="9"/>
        <v>314.50000018417802</v>
      </c>
      <c r="R122">
        <f t="shared" si="10"/>
        <v>337.12950232028959</v>
      </c>
      <c r="S122">
        <f t="shared" si="11"/>
        <v>0</v>
      </c>
      <c r="T122" t="str">
        <f t="shared" si="12"/>
        <v/>
      </c>
      <c r="U122">
        <f t="shared" si="13"/>
        <v>-3.9999998158216301</v>
      </c>
    </row>
    <row r="123" spans="1:21" x14ac:dyDescent="0.3">
      <c r="A123" s="1">
        <v>43095</v>
      </c>
      <c r="B123">
        <v>317.45</v>
      </c>
      <c r="C123">
        <v>315.15000000858299</v>
      </c>
      <c r="D123">
        <v>-2.29999999141693</v>
      </c>
      <c r="E123" s="1">
        <v>43186</v>
      </c>
      <c r="F123">
        <v>5.1204543113708496</v>
      </c>
      <c r="G123">
        <v>-0.72452354431152299</v>
      </c>
      <c r="M123">
        <v>8.5171890677256048</v>
      </c>
      <c r="N123" s="1">
        <v>43186</v>
      </c>
      <c r="O123">
        <f t="shared" si="7"/>
        <v>332.18437814403421</v>
      </c>
      <c r="P123">
        <f t="shared" si="8"/>
        <v>298.11562187313177</v>
      </c>
      <c r="Q123">
        <f t="shared" si="9"/>
        <v>315.15000000858299</v>
      </c>
      <c r="R123">
        <f t="shared" si="10"/>
        <v>333.70488221144677</v>
      </c>
      <c r="S123">
        <f t="shared" si="11"/>
        <v>0</v>
      </c>
      <c r="T123" t="str">
        <f t="shared" si="12"/>
        <v/>
      </c>
      <c r="U123">
        <f t="shared" si="13"/>
        <v>-2.29999999141693</v>
      </c>
    </row>
    <row r="124" spans="1:21" x14ac:dyDescent="0.3">
      <c r="A124" s="1">
        <v>43096</v>
      </c>
      <c r="B124">
        <v>321.2</v>
      </c>
      <c r="C124">
        <v>310.65000028419399</v>
      </c>
      <c r="D124">
        <v>-10.549999715805001</v>
      </c>
      <c r="E124" s="1">
        <v>43187</v>
      </c>
      <c r="F124">
        <v>9.3509950637817294</v>
      </c>
      <c r="G124">
        <v>-3.2845578193664502</v>
      </c>
      <c r="M124">
        <v>8.6170227183666004</v>
      </c>
      <c r="N124" s="1">
        <v>43187</v>
      </c>
      <c r="O124">
        <f t="shared" si="7"/>
        <v>327.88404572092719</v>
      </c>
      <c r="P124">
        <f t="shared" si="8"/>
        <v>293.4159548474608</v>
      </c>
      <c r="Q124">
        <f t="shared" si="9"/>
        <v>310.65000028419399</v>
      </c>
      <c r="R124">
        <f t="shared" si="10"/>
        <v>351.23539614486691</v>
      </c>
      <c r="S124">
        <f t="shared" si="11"/>
        <v>0</v>
      </c>
      <c r="T124" t="str">
        <f t="shared" si="12"/>
        <v/>
      </c>
      <c r="U124">
        <f t="shared" si="13"/>
        <v>-10.549999715805001</v>
      </c>
    </row>
    <row r="125" spans="1:21" x14ac:dyDescent="0.3">
      <c r="A125" s="1">
        <v>43097</v>
      </c>
      <c r="B125">
        <v>325.64999999999998</v>
      </c>
      <c r="C125">
        <v>314.45000010037398</v>
      </c>
      <c r="D125">
        <v>-11.1999998996257</v>
      </c>
      <c r="E125" s="1">
        <v>43188</v>
      </c>
      <c r="F125">
        <v>8.4823150634765607</v>
      </c>
      <c r="G125">
        <v>-3.4392752647399898</v>
      </c>
      <c r="M125">
        <v>8.6352032040363653</v>
      </c>
      <c r="N125" s="1">
        <v>43188</v>
      </c>
      <c r="O125">
        <f t="shared" si="7"/>
        <v>331.72040650844673</v>
      </c>
      <c r="P125">
        <f t="shared" si="8"/>
        <v>297.17959369230124</v>
      </c>
      <c r="Q125">
        <f t="shared" si="9"/>
        <v>314.45000010037398</v>
      </c>
      <c r="R125">
        <f t="shared" si="10"/>
        <v>353.27265900421139</v>
      </c>
      <c r="S125">
        <f t="shared" si="11"/>
        <v>0</v>
      </c>
      <c r="T125" t="str">
        <f t="shared" si="12"/>
        <v/>
      </c>
      <c r="U125">
        <f t="shared" si="13"/>
        <v>-11.1999998996257</v>
      </c>
    </row>
    <row r="126" spans="1:21" x14ac:dyDescent="0.3">
      <c r="A126" s="1">
        <v>43098</v>
      </c>
      <c r="B126">
        <v>325.64999999999998</v>
      </c>
      <c r="C126">
        <v>314.55000016880001</v>
      </c>
      <c r="D126">
        <v>-11.0999998311996</v>
      </c>
      <c r="E126" s="1">
        <v>43189</v>
      </c>
      <c r="F126">
        <v>8.7489204406738192</v>
      </c>
      <c r="G126">
        <v>-3.4085674285888601</v>
      </c>
      <c r="M126">
        <v>8.6487421967901472</v>
      </c>
      <c r="N126" s="1">
        <v>43189</v>
      </c>
      <c r="O126">
        <f t="shared" si="7"/>
        <v>331.84748456238032</v>
      </c>
      <c r="P126">
        <f t="shared" si="8"/>
        <v>297.25251577521971</v>
      </c>
      <c r="Q126">
        <f t="shared" si="9"/>
        <v>314.55000016880001</v>
      </c>
      <c r="R126">
        <f t="shared" si="10"/>
        <v>354.14085941505425</v>
      </c>
      <c r="S126">
        <f t="shared" si="11"/>
        <v>0</v>
      </c>
      <c r="T126" t="str">
        <f t="shared" si="12"/>
        <v/>
      </c>
      <c r="U126">
        <f t="shared" si="13"/>
        <v>-11.0999998311996</v>
      </c>
    </row>
    <row r="127" spans="1:21" x14ac:dyDescent="0.3">
      <c r="A127" s="1">
        <v>43101</v>
      </c>
      <c r="B127">
        <v>325.64999999999998</v>
      </c>
      <c r="C127">
        <v>313.450000192522</v>
      </c>
      <c r="D127">
        <v>-12.199999807477001</v>
      </c>
      <c r="E127" s="1">
        <v>43192</v>
      </c>
      <c r="F127">
        <v>2.9141530990600502</v>
      </c>
      <c r="G127">
        <v>-3.7463533878326398</v>
      </c>
      <c r="M127">
        <v>8.6717526758524333</v>
      </c>
      <c r="N127" s="1">
        <v>43192</v>
      </c>
      <c r="O127">
        <f t="shared" si="7"/>
        <v>330.79350554422689</v>
      </c>
      <c r="P127">
        <f t="shared" si="8"/>
        <v>296.10649484081711</v>
      </c>
      <c r="Q127">
        <f t="shared" si="9"/>
        <v>313.450000192522</v>
      </c>
      <c r="R127">
        <f t="shared" si="10"/>
        <v>335.13993956708902</v>
      </c>
      <c r="S127">
        <f t="shared" si="11"/>
        <v>0</v>
      </c>
      <c r="T127" t="str">
        <f t="shared" si="12"/>
        <v/>
      </c>
      <c r="U127">
        <f t="shared" si="13"/>
        <v>-12.199999807477001</v>
      </c>
    </row>
    <row r="128" spans="1:21" x14ac:dyDescent="0.3">
      <c r="A128" s="1">
        <v>43102</v>
      </c>
      <c r="B128">
        <v>326.5</v>
      </c>
      <c r="C128">
        <v>312.80000051498399</v>
      </c>
      <c r="D128">
        <v>-13.6999994850158</v>
      </c>
      <c r="E128" s="1">
        <v>43193</v>
      </c>
      <c r="F128">
        <v>2.7826237678527801</v>
      </c>
      <c r="G128">
        <v>-4.1960182189941397</v>
      </c>
      <c r="M128">
        <v>8.6901519886903245</v>
      </c>
      <c r="N128" s="1">
        <v>43193</v>
      </c>
      <c r="O128">
        <f t="shared" si="7"/>
        <v>330.18030449236466</v>
      </c>
      <c r="P128">
        <f t="shared" si="8"/>
        <v>295.41969653760333</v>
      </c>
      <c r="Q128">
        <f t="shared" si="9"/>
        <v>312.80000051498399</v>
      </c>
      <c r="R128">
        <f t="shared" si="10"/>
        <v>335.58526660203933</v>
      </c>
      <c r="S128">
        <f t="shared" si="11"/>
        <v>0</v>
      </c>
      <c r="T128" t="str">
        <f t="shared" si="12"/>
        <v/>
      </c>
      <c r="U128">
        <f t="shared" si="13"/>
        <v>-13.6999994850158</v>
      </c>
    </row>
    <row r="129" spans="1:21" x14ac:dyDescent="0.3">
      <c r="A129" s="1">
        <v>43103</v>
      </c>
      <c r="B129">
        <v>327.7</v>
      </c>
      <c r="C129">
        <v>307.54999990415502</v>
      </c>
      <c r="D129">
        <v>-20.150000095844199</v>
      </c>
      <c r="E129" s="1">
        <v>43194</v>
      </c>
      <c r="F129">
        <v>1.3887799978256199</v>
      </c>
      <c r="G129">
        <v>-6.1489167213439897</v>
      </c>
      <c r="M129">
        <v>8.7806458524722668</v>
      </c>
      <c r="N129" s="1">
        <v>43194</v>
      </c>
      <c r="O129">
        <f t="shared" si="7"/>
        <v>325.11129160909957</v>
      </c>
      <c r="P129">
        <f t="shared" si="8"/>
        <v>289.98870819921046</v>
      </c>
      <c r="Q129">
        <f t="shared" si="9"/>
        <v>307.54999990415502</v>
      </c>
      <c r="R129">
        <f t="shared" si="10"/>
        <v>332.25103205287456</v>
      </c>
      <c r="S129">
        <f t="shared" si="11"/>
        <v>0</v>
      </c>
      <c r="T129" t="str">
        <f t="shared" si="12"/>
        <v/>
      </c>
      <c r="U129">
        <f t="shared" si="13"/>
        <v>-20.150000095844199</v>
      </c>
    </row>
    <row r="130" spans="1:21" x14ac:dyDescent="0.3">
      <c r="A130" s="1">
        <v>43104</v>
      </c>
      <c r="B130">
        <v>325</v>
      </c>
      <c r="C130">
        <v>312.94999974965998</v>
      </c>
      <c r="D130">
        <v>12.050000250339499</v>
      </c>
      <c r="E130" s="1">
        <v>43195</v>
      </c>
      <c r="F130">
        <v>-0.93166178464889504</v>
      </c>
      <c r="G130">
        <v>-3.7076923847198402</v>
      </c>
      <c r="M130">
        <v>8.8002029587609272</v>
      </c>
      <c r="N130" s="1">
        <v>43195</v>
      </c>
      <c r="O130">
        <f t="shared" si="7"/>
        <v>330.55040566718185</v>
      </c>
      <c r="P130">
        <f t="shared" si="8"/>
        <v>295.34959383213811</v>
      </c>
      <c r="Q130">
        <f t="shared" si="9"/>
        <v>312.94999974965998</v>
      </c>
      <c r="R130">
        <f t="shared" si="10"/>
        <v>321.97209919989109</v>
      </c>
      <c r="S130">
        <f t="shared" si="11"/>
        <v>1</v>
      </c>
      <c r="T130">
        <f t="shared" si="12"/>
        <v>12.050000250339499</v>
      </c>
      <c r="U130" t="str">
        <f t="shared" si="13"/>
        <v/>
      </c>
    </row>
    <row r="131" spans="1:21" x14ac:dyDescent="0.3">
      <c r="A131" s="1">
        <v>43105</v>
      </c>
      <c r="B131">
        <v>328.95</v>
      </c>
      <c r="C131">
        <v>311.19999947118703</v>
      </c>
      <c r="D131">
        <v>17.750000528812301</v>
      </c>
      <c r="E131" s="1">
        <v>43196</v>
      </c>
      <c r="F131">
        <v>-1.75507199764251</v>
      </c>
      <c r="G131">
        <v>-5.3959569931030202</v>
      </c>
      <c r="M131">
        <v>8.7870778293381555</v>
      </c>
      <c r="N131" s="1">
        <v>43196</v>
      </c>
      <c r="O131">
        <f t="shared" ref="O131:O194" si="14">C131+2*M131</f>
        <v>328.77415512986335</v>
      </c>
      <c r="P131">
        <f t="shared" ref="P131:P194" si="15">C131-2*M131</f>
        <v>293.62584381251071</v>
      </c>
      <c r="Q131">
        <f t="shared" ref="Q131:Q194" si="16">C131</f>
        <v>311.19999947118703</v>
      </c>
      <c r="R131">
        <f t="shared" ref="R131:R194" si="17">B131*F131/100+B131</f>
        <v>323.17669066375493</v>
      </c>
      <c r="S131">
        <f t="shared" ref="S131:S194" si="18">IF(AND(D131&gt;0, AND(R131&lt;O131, R131&gt;P131)), 1, 0)</f>
        <v>1</v>
      </c>
      <c r="T131">
        <f t="shared" ref="T131:T194" si="19">IF(S131=1, D131, "")</f>
        <v>17.750000528812301</v>
      </c>
      <c r="U131" t="str">
        <f t="shared" ref="U131:U194" si="20">IF(S131=0, D131, "")</f>
        <v/>
      </c>
    </row>
    <row r="132" spans="1:21" x14ac:dyDescent="0.3">
      <c r="A132" s="1">
        <v>43108</v>
      </c>
      <c r="B132">
        <v>331.25</v>
      </c>
      <c r="C132">
        <v>312.94999933242798</v>
      </c>
      <c r="D132">
        <v>18.300000667572</v>
      </c>
      <c r="E132" s="1">
        <v>43199</v>
      </c>
      <c r="F132">
        <v>-5.63814353942871</v>
      </c>
      <c r="G132">
        <v>-5.5245285034179599</v>
      </c>
      <c r="M132">
        <v>8.6981674269088689</v>
      </c>
      <c r="N132" s="1">
        <v>43199</v>
      </c>
      <c r="O132">
        <f t="shared" si="14"/>
        <v>330.34633418624571</v>
      </c>
      <c r="P132">
        <f t="shared" si="15"/>
        <v>295.55366447861024</v>
      </c>
      <c r="Q132">
        <f t="shared" si="16"/>
        <v>312.94999933242798</v>
      </c>
      <c r="R132">
        <f t="shared" si="17"/>
        <v>312.5736495256424</v>
      </c>
      <c r="S132">
        <f t="shared" si="18"/>
        <v>1</v>
      </c>
      <c r="T132">
        <f t="shared" si="19"/>
        <v>18.300000667572</v>
      </c>
      <c r="U132" t="str">
        <f t="shared" si="20"/>
        <v/>
      </c>
    </row>
    <row r="133" spans="1:21" x14ac:dyDescent="0.3">
      <c r="A133" s="1">
        <v>43109</v>
      </c>
      <c r="B133">
        <v>330.45</v>
      </c>
      <c r="C133">
        <v>313.45000048112797</v>
      </c>
      <c r="D133">
        <v>16.999999518871299</v>
      </c>
      <c r="E133" s="1">
        <v>43200</v>
      </c>
      <c r="F133">
        <v>-6.1666307449340803</v>
      </c>
      <c r="G133">
        <v>-5.1444997787475497</v>
      </c>
      <c r="M133">
        <v>8.6110026469940433</v>
      </c>
      <c r="N133" s="1">
        <v>43200</v>
      </c>
      <c r="O133">
        <f t="shared" si="14"/>
        <v>330.67200577511608</v>
      </c>
      <c r="P133">
        <f t="shared" si="15"/>
        <v>296.22799518713987</v>
      </c>
      <c r="Q133">
        <f t="shared" si="16"/>
        <v>313.45000048112797</v>
      </c>
      <c r="R133">
        <f t="shared" si="17"/>
        <v>310.07236870336533</v>
      </c>
      <c r="S133">
        <f t="shared" si="18"/>
        <v>1</v>
      </c>
      <c r="T133">
        <f t="shared" si="19"/>
        <v>16.999999518871299</v>
      </c>
      <c r="U133" t="str">
        <f t="shared" si="20"/>
        <v/>
      </c>
    </row>
    <row r="134" spans="1:21" x14ac:dyDescent="0.3">
      <c r="A134" s="1">
        <v>43110</v>
      </c>
      <c r="B134">
        <v>327.85</v>
      </c>
      <c r="C134">
        <v>312.45000057864098</v>
      </c>
      <c r="D134">
        <v>15.3999994213581</v>
      </c>
      <c r="E134" s="1">
        <v>43201</v>
      </c>
      <c r="F134">
        <v>-4.01004791259765</v>
      </c>
      <c r="G134">
        <v>-4.6972699165344203</v>
      </c>
      <c r="M134">
        <v>8.5749008320123501</v>
      </c>
      <c r="N134" s="1">
        <v>43201</v>
      </c>
      <c r="O134">
        <f t="shared" si="14"/>
        <v>329.5998022426657</v>
      </c>
      <c r="P134">
        <f t="shared" si="15"/>
        <v>295.30019891461626</v>
      </c>
      <c r="Q134">
        <f t="shared" si="16"/>
        <v>312.45000057864098</v>
      </c>
      <c r="R134">
        <f t="shared" si="17"/>
        <v>314.70305791854861</v>
      </c>
      <c r="S134">
        <f t="shared" si="18"/>
        <v>1</v>
      </c>
      <c r="T134">
        <f t="shared" si="19"/>
        <v>15.3999994213581</v>
      </c>
      <c r="U134" t="str">
        <f t="shared" si="20"/>
        <v/>
      </c>
    </row>
    <row r="135" spans="1:21" x14ac:dyDescent="0.3">
      <c r="A135" s="1">
        <v>43111</v>
      </c>
      <c r="B135">
        <v>326.5</v>
      </c>
      <c r="C135">
        <v>311.74999999761502</v>
      </c>
      <c r="D135">
        <v>14.7500000023841</v>
      </c>
      <c r="E135" s="1">
        <v>43202</v>
      </c>
      <c r="F135">
        <v>-2.1170568466186501</v>
      </c>
      <c r="G135">
        <v>-4.5176110267639098</v>
      </c>
      <c r="M135">
        <v>8.5615552538884288</v>
      </c>
      <c r="N135" s="1">
        <v>43202</v>
      </c>
      <c r="O135">
        <f t="shared" si="14"/>
        <v>328.87311050539188</v>
      </c>
      <c r="P135">
        <f t="shared" si="15"/>
        <v>294.62688948983816</v>
      </c>
      <c r="Q135">
        <f t="shared" si="16"/>
        <v>311.74999999761502</v>
      </c>
      <c r="R135">
        <f t="shared" si="17"/>
        <v>319.58780939579009</v>
      </c>
      <c r="S135">
        <f t="shared" si="18"/>
        <v>1</v>
      </c>
      <c r="T135">
        <f t="shared" si="19"/>
        <v>14.7500000023841</v>
      </c>
      <c r="U135" t="str">
        <f t="shared" si="20"/>
        <v/>
      </c>
    </row>
    <row r="136" spans="1:21" x14ac:dyDescent="0.3">
      <c r="A136" s="1">
        <v>43112</v>
      </c>
      <c r="B136">
        <v>326.85000000000002</v>
      </c>
      <c r="C136">
        <v>314.45000016868102</v>
      </c>
      <c r="D136">
        <v>12.3999998313188</v>
      </c>
      <c r="E136" s="1">
        <v>43203</v>
      </c>
      <c r="F136">
        <v>-5.88175296783447</v>
      </c>
      <c r="G136">
        <v>-3.79378914833068</v>
      </c>
      <c r="M136">
        <v>8.5109402162971737</v>
      </c>
      <c r="N136" s="1">
        <v>43203</v>
      </c>
      <c r="O136">
        <f t="shared" si="14"/>
        <v>331.47188060127536</v>
      </c>
      <c r="P136">
        <f t="shared" si="15"/>
        <v>297.42811973608667</v>
      </c>
      <c r="Q136">
        <f t="shared" si="16"/>
        <v>314.45000016868102</v>
      </c>
      <c r="R136">
        <f t="shared" si="17"/>
        <v>307.62549042463309</v>
      </c>
      <c r="S136">
        <f t="shared" si="18"/>
        <v>1</v>
      </c>
      <c r="T136">
        <f t="shared" si="19"/>
        <v>12.3999998313188</v>
      </c>
      <c r="U136" t="str">
        <f t="shared" si="20"/>
        <v/>
      </c>
    </row>
    <row r="137" spans="1:21" x14ac:dyDescent="0.3">
      <c r="A137" s="1">
        <v>43115</v>
      </c>
      <c r="B137">
        <v>327.3</v>
      </c>
      <c r="C137">
        <v>314.30000021767597</v>
      </c>
      <c r="D137">
        <v>12.999999782323799</v>
      </c>
      <c r="E137" s="1">
        <v>43206</v>
      </c>
      <c r="F137">
        <v>-4.85003232955932</v>
      </c>
      <c r="G137">
        <v>-3.97189116477966</v>
      </c>
      <c r="M137">
        <v>8.4492516452869708</v>
      </c>
      <c r="N137" s="1">
        <v>43206</v>
      </c>
      <c r="O137">
        <f t="shared" si="14"/>
        <v>331.19850350824993</v>
      </c>
      <c r="P137">
        <f t="shared" si="15"/>
        <v>297.40149692710202</v>
      </c>
      <c r="Q137">
        <f t="shared" si="16"/>
        <v>314.30000021767597</v>
      </c>
      <c r="R137">
        <f t="shared" si="17"/>
        <v>311.42584418535233</v>
      </c>
      <c r="S137">
        <f t="shared" si="18"/>
        <v>1</v>
      </c>
      <c r="T137">
        <f t="shared" si="19"/>
        <v>12.999999782323799</v>
      </c>
      <c r="U137" t="str">
        <f t="shared" si="20"/>
        <v/>
      </c>
    </row>
    <row r="138" spans="1:21" x14ac:dyDescent="0.3">
      <c r="A138" s="1">
        <v>43116</v>
      </c>
      <c r="B138">
        <v>330.5</v>
      </c>
      <c r="C138">
        <v>314.39999975919699</v>
      </c>
      <c r="D138">
        <v>16.1000002408027</v>
      </c>
      <c r="E138" s="1">
        <v>43207</v>
      </c>
      <c r="F138">
        <v>-3.6596539020538299</v>
      </c>
      <c r="G138">
        <v>-4.8714070320129297</v>
      </c>
      <c r="M138">
        <v>8.3157281181274403</v>
      </c>
      <c r="N138" s="1">
        <v>43207</v>
      </c>
      <c r="O138">
        <f t="shared" si="14"/>
        <v>331.03145599545189</v>
      </c>
      <c r="P138">
        <f t="shared" si="15"/>
        <v>297.76854352294208</v>
      </c>
      <c r="Q138">
        <f t="shared" si="16"/>
        <v>314.39999975919699</v>
      </c>
      <c r="R138">
        <f t="shared" si="17"/>
        <v>318.40484385371207</v>
      </c>
      <c r="S138">
        <f t="shared" si="18"/>
        <v>1</v>
      </c>
      <c r="T138">
        <f t="shared" si="19"/>
        <v>16.1000002408027</v>
      </c>
      <c r="U138" t="str">
        <f t="shared" si="20"/>
        <v/>
      </c>
    </row>
    <row r="139" spans="1:21" x14ac:dyDescent="0.3">
      <c r="A139" s="1">
        <v>43117</v>
      </c>
      <c r="B139">
        <v>329.2</v>
      </c>
      <c r="C139">
        <v>317.60000001049002</v>
      </c>
      <c r="D139">
        <v>11.599999989509501</v>
      </c>
      <c r="E139" s="1">
        <v>43208</v>
      </c>
      <c r="F139">
        <v>-4.1528959274291903</v>
      </c>
      <c r="G139">
        <v>-3.5236937999725302</v>
      </c>
      <c r="M139">
        <v>8.1924887913352578</v>
      </c>
      <c r="N139" s="1">
        <v>43208</v>
      </c>
      <c r="O139">
        <f t="shared" si="14"/>
        <v>333.98497759316052</v>
      </c>
      <c r="P139">
        <f t="shared" si="15"/>
        <v>301.21502242781952</v>
      </c>
      <c r="Q139">
        <f t="shared" si="16"/>
        <v>317.60000001049002</v>
      </c>
      <c r="R139">
        <f t="shared" si="17"/>
        <v>315.52866660690307</v>
      </c>
      <c r="S139">
        <f t="shared" si="18"/>
        <v>1</v>
      </c>
      <c r="T139">
        <f t="shared" si="19"/>
        <v>11.599999989509501</v>
      </c>
      <c r="U139" t="str">
        <f t="shared" si="20"/>
        <v/>
      </c>
    </row>
    <row r="140" spans="1:21" x14ac:dyDescent="0.3">
      <c r="A140" s="1">
        <v>43118</v>
      </c>
      <c r="B140">
        <v>329.4</v>
      </c>
      <c r="C140">
        <v>318.99999989032699</v>
      </c>
      <c r="D140">
        <v>10.400000109672501</v>
      </c>
      <c r="E140" s="1">
        <v>43209</v>
      </c>
      <c r="F140">
        <v>-3.0441198348999001</v>
      </c>
      <c r="G140">
        <v>-3.1572556495666499</v>
      </c>
      <c r="M140">
        <v>8.0608853481583438</v>
      </c>
      <c r="N140" s="1">
        <v>43209</v>
      </c>
      <c r="O140">
        <f t="shared" si="14"/>
        <v>335.12177058664366</v>
      </c>
      <c r="P140">
        <f t="shared" si="15"/>
        <v>302.87822919401032</v>
      </c>
      <c r="Q140">
        <f t="shared" si="16"/>
        <v>318.99999989032699</v>
      </c>
      <c r="R140">
        <f t="shared" si="17"/>
        <v>319.37266926383973</v>
      </c>
      <c r="S140">
        <f t="shared" si="18"/>
        <v>1</v>
      </c>
      <c r="T140">
        <f t="shared" si="19"/>
        <v>10.400000109672501</v>
      </c>
      <c r="U140" t="str">
        <f t="shared" si="20"/>
        <v/>
      </c>
    </row>
    <row r="141" spans="1:21" x14ac:dyDescent="0.3">
      <c r="A141" s="1">
        <v>43119</v>
      </c>
      <c r="B141">
        <v>329.6</v>
      </c>
      <c r="C141">
        <v>316.899999885559</v>
      </c>
      <c r="D141">
        <v>12.7000001144409</v>
      </c>
      <c r="E141" s="1">
        <v>43210</v>
      </c>
      <c r="F141">
        <v>-1.26155138015747</v>
      </c>
      <c r="G141">
        <v>-3.85315537452697</v>
      </c>
      <c r="M141">
        <v>7.9165860151087442</v>
      </c>
      <c r="N141" s="1">
        <v>43210</v>
      </c>
      <c r="O141">
        <f t="shared" si="14"/>
        <v>332.7331719157765</v>
      </c>
      <c r="P141">
        <f t="shared" si="15"/>
        <v>301.0668278553415</v>
      </c>
      <c r="Q141">
        <f t="shared" si="16"/>
        <v>316.899999885559</v>
      </c>
      <c r="R141">
        <f t="shared" si="17"/>
        <v>325.44192665100098</v>
      </c>
      <c r="S141">
        <f t="shared" si="18"/>
        <v>1</v>
      </c>
      <c r="T141">
        <f t="shared" si="19"/>
        <v>12.7000001144409</v>
      </c>
      <c r="U141" t="str">
        <f t="shared" si="20"/>
        <v/>
      </c>
    </row>
    <row r="142" spans="1:21" x14ac:dyDescent="0.3">
      <c r="A142" s="1">
        <v>43122</v>
      </c>
      <c r="B142">
        <v>326.25</v>
      </c>
      <c r="C142">
        <v>317.10000027716097</v>
      </c>
      <c r="D142">
        <v>9.1499997228384</v>
      </c>
      <c r="E142" s="1">
        <v>43213</v>
      </c>
      <c r="F142">
        <v>-1.9936707019805899</v>
      </c>
      <c r="G142">
        <v>-2.8045976161956698</v>
      </c>
      <c r="M142">
        <v>7.8366797356307787</v>
      </c>
      <c r="N142" s="1">
        <v>43213</v>
      </c>
      <c r="O142">
        <f t="shared" si="14"/>
        <v>332.77335974842254</v>
      </c>
      <c r="P142">
        <f t="shared" si="15"/>
        <v>301.42664080589941</v>
      </c>
      <c r="Q142">
        <f t="shared" si="16"/>
        <v>317.10000027716097</v>
      </c>
      <c r="R142">
        <f t="shared" si="17"/>
        <v>319.74564933478831</v>
      </c>
      <c r="S142">
        <f t="shared" si="18"/>
        <v>1</v>
      </c>
      <c r="T142">
        <f t="shared" si="19"/>
        <v>9.1499997228384</v>
      </c>
      <c r="U142" t="str">
        <f t="shared" si="20"/>
        <v/>
      </c>
    </row>
    <row r="143" spans="1:21" x14ac:dyDescent="0.3">
      <c r="A143" s="1">
        <v>43123</v>
      </c>
      <c r="B143">
        <v>331.25</v>
      </c>
      <c r="C143">
        <v>315.34999936819003</v>
      </c>
      <c r="D143">
        <v>15.900000631809201</v>
      </c>
      <c r="E143" s="1">
        <v>43214</v>
      </c>
      <c r="F143">
        <v>-2.0337789058685298</v>
      </c>
      <c r="G143">
        <v>-4.8000001907348597</v>
      </c>
      <c r="M143">
        <v>7.6369487872347399</v>
      </c>
      <c r="N143" s="1">
        <v>43214</v>
      </c>
      <c r="O143">
        <f t="shared" si="14"/>
        <v>330.62389694265948</v>
      </c>
      <c r="P143">
        <f t="shared" si="15"/>
        <v>300.07610179372057</v>
      </c>
      <c r="Q143">
        <f t="shared" si="16"/>
        <v>315.34999936819003</v>
      </c>
      <c r="R143">
        <f t="shared" si="17"/>
        <v>324.51310737431049</v>
      </c>
      <c r="S143">
        <f t="shared" si="18"/>
        <v>1</v>
      </c>
      <c r="T143">
        <f t="shared" si="19"/>
        <v>15.900000631809201</v>
      </c>
      <c r="U143" t="str">
        <f t="shared" si="20"/>
        <v/>
      </c>
    </row>
    <row r="144" spans="1:21" x14ac:dyDescent="0.3">
      <c r="A144" s="1">
        <v>43124</v>
      </c>
      <c r="B144">
        <v>331.6</v>
      </c>
      <c r="C144">
        <v>312.94999986457799</v>
      </c>
      <c r="D144">
        <v>18.650000135421699</v>
      </c>
      <c r="E144" s="1">
        <v>43215</v>
      </c>
      <c r="F144">
        <v>-1.29339635372161</v>
      </c>
      <c r="G144">
        <v>-5.62424612045288</v>
      </c>
      <c r="M144">
        <v>7.4256570222128095</v>
      </c>
      <c r="N144" s="1">
        <v>43215</v>
      </c>
      <c r="O144">
        <f t="shared" si="14"/>
        <v>327.80131390900362</v>
      </c>
      <c r="P144">
        <f t="shared" si="15"/>
        <v>298.09868582015235</v>
      </c>
      <c r="Q144">
        <f t="shared" si="16"/>
        <v>312.94999986457799</v>
      </c>
      <c r="R144">
        <f t="shared" si="17"/>
        <v>327.31109769105916</v>
      </c>
      <c r="S144">
        <f t="shared" si="18"/>
        <v>1</v>
      </c>
      <c r="T144">
        <f t="shared" si="19"/>
        <v>18.650000135421699</v>
      </c>
      <c r="U144" t="str">
        <f t="shared" si="20"/>
        <v/>
      </c>
    </row>
    <row r="145" spans="1:21" x14ac:dyDescent="0.3">
      <c r="A145" s="1">
        <v>43125</v>
      </c>
      <c r="B145">
        <v>334.3</v>
      </c>
      <c r="C145">
        <v>317.45000009202897</v>
      </c>
      <c r="D145">
        <v>16.8499999079704</v>
      </c>
      <c r="E145" s="1">
        <v>43216</v>
      </c>
      <c r="F145">
        <v>-0.75170183181762695</v>
      </c>
      <c r="G145">
        <v>-5.04038286209106</v>
      </c>
      <c r="M145">
        <v>7.0869971670767482</v>
      </c>
      <c r="N145" s="1">
        <v>43216</v>
      </c>
      <c r="O145">
        <f t="shared" si="14"/>
        <v>331.62399442618249</v>
      </c>
      <c r="P145">
        <f t="shared" si="15"/>
        <v>303.27600575787545</v>
      </c>
      <c r="Q145">
        <f t="shared" si="16"/>
        <v>317.45000009202897</v>
      </c>
      <c r="R145">
        <f t="shared" si="17"/>
        <v>331.78706077623366</v>
      </c>
      <c r="S145">
        <f t="shared" si="18"/>
        <v>0</v>
      </c>
      <c r="T145" t="str">
        <f t="shared" si="19"/>
        <v/>
      </c>
      <c r="U145">
        <f t="shared" si="20"/>
        <v>16.8499999079704</v>
      </c>
    </row>
    <row r="146" spans="1:21" x14ac:dyDescent="0.3">
      <c r="A146" s="1">
        <v>43126</v>
      </c>
      <c r="B146">
        <v>335.95</v>
      </c>
      <c r="C146">
        <v>320.15000054240198</v>
      </c>
      <c r="D146">
        <v>-15.7999994575977</v>
      </c>
      <c r="E146" s="1">
        <v>43217</v>
      </c>
      <c r="F146">
        <v>0.58574372529983498</v>
      </c>
      <c r="G146">
        <v>-4.70308065414428</v>
      </c>
      <c r="M146">
        <v>6.6647602242056552</v>
      </c>
      <c r="N146" s="1">
        <v>43217</v>
      </c>
      <c r="O146">
        <f t="shared" si="14"/>
        <v>333.47952099081328</v>
      </c>
      <c r="P146">
        <f t="shared" si="15"/>
        <v>306.82048009399068</v>
      </c>
      <c r="Q146">
        <f t="shared" si="16"/>
        <v>320.15000054240198</v>
      </c>
      <c r="R146">
        <f t="shared" si="17"/>
        <v>337.9178060451448</v>
      </c>
      <c r="S146">
        <f t="shared" si="18"/>
        <v>0</v>
      </c>
      <c r="T146" t="str">
        <f t="shared" si="19"/>
        <v/>
      </c>
      <c r="U146">
        <f t="shared" si="20"/>
        <v>-15.7999994575977</v>
      </c>
    </row>
    <row r="147" spans="1:21" x14ac:dyDescent="0.3">
      <c r="A147" s="1">
        <v>43129</v>
      </c>
      <c r="B147">
        <v>338.5</v>
      </c>
      <c r="C147">
        <v>321.65000048160499</v>
      </c>
      <c r="D147">
        <v>-16.849999518394402</v>
      </c>
      <c r="E147" s="1">
        <v>43220</v>
      </c>
      <c r="F147">
        <v>2.51522517204284</v>
      </c>
      <c r="G147">
        <v>-4.97784328460693</v>
      </c>
      <c r="M147">
        <v>6.0850732605728286</v>
      </c>
      <c r="N147" s="1">
        <v>43220</v>
      </c>
      <c r="O147">
        <f t="shared" si="14"/>
        <v>333.82014700275067</v>
      </c>
      <c r="P147">
        <f t="shared" si="15"/>
        <v>309.47985396045931</v>
      </c>
      <c r="Q147">
        <f t="shared" si="16"/>
        <v>321.65000048160499</v>
      </c>
      <c r="R147">
        <f t="shared" si="17"/>
        <v>347.01403720736499</v>
      </c>
      <c r="S147">
        <f t="shared" si="18"/>
        <v>0</v>
      </c>
      <c r="T147" t="str">
        <f t="shared" si="19"/>
        <v/>
      </c>
      <c r="U147">
        <f t="shared" si="20"/>
        <v>-16.849999518394402</v>
      </c>
    </row>
    <row r="148" spans="1:21" x14ac:dyDescent="0.3">
      <c r="A148" s="1">
        <v>43130</v>
      </c>
      <c r="B148">
        <v>333.9</v>
      </c>
      <c r="C148">
        <v>321.64999980640403</v>
      </c>
      <c r="D148">
        <v>-12.250000193595801</v>
      </c>
      <c r="E148" s="1">
        <v>43221</v>
      </c>
      <c r="F148">
        <v>6.8185968399047798</v>
      </c>
      <c r="G148">
        <v>-3.6687631607055602</v>
      </c>
      <c r="M148">
        <v>5.6964619797325469</v>
      </c>
      <c r="N148" s="1">
        <v>43221</v>
      </c>
      <c r="O148">
        <f t="shared" si="14"/>
        <v>333.04292376586909</v>
      </c>
      <c r="P148">
        <f t="shared" si="15"/>
        <v>310.25707584693896</v>
      </c>
      <c r="Q148">
        <f t="shared" si="16"/>
        <v>321.64999980640403</v>
      </c>
      <c r="R148">
        <f t="shared" si="17"/>
        <v>356.66729484844205</v>
      </c>
      <c r="S148">
        <f t="shared" si="18"/>
        <v>0</v>
      </c>
      <c r="T148" t="str">
        <f t="shared" si="19"/>
        <v/>
      </c>
      <c r="U148">
        <f t="shared" si="20"/>
        <v>-12.250000193595801</v>
      </c>
    </row>
    <row r="149" spans="1:21" x14ac:dyDescent="0.3">
      <c r="A149" s="1">
        <v>43131</v>
      </c>
      <c r="B149">
        <v>334.45</v>
      </c>
      <c r="C149">
        <v>319.75000077986698</v>
      </c>
      <c r="D149">
        <v>-14.699999220132799</v>
      </c>
      <c r="E149" s="1">
        <v>43222</v>
      </c>
      <c r="F149">
        <v>7.59370613098144</v>
      </c>
      <c r="G149">
        <v>-4.3952755928039497</v>
      </c>
      <c r="M149">
        <v>5.212523404300895</v>
      </c>
      <c r="N149" s="1">
        <v>43222</v>
      </c>
      <c r="O149">
        <f t="shared" si="14"/>
        <v>330.17504758846877</v>
      </c>
      <c r="P149">
        <f t="shared" si="15"/>
        <v>309.32495397126519</v>
      </c>
      <c r="Q149">
        <f t="shared" si="16"/>
        <v>319.75000077986698</v>
      </c>
      <c r="R149">
        <f t="shared" si="17"/>
        <v>359.84715015506742</v>
      </c>
      <c r="S149">
        <f t="shared" si="18"/>
        <v>0</v>
      </c>
      <c r="T149" t="str">
        <f t="shared" si="19"/>
        <v/>
      </c>
      <c r="U149">
        <f t="shared" si="20"/>
        <v>-14.699999220132799</v>
      </c>
    </row>
    <row r="150" spans="1:21" x14ac:dyDescent="0.3">
      <c r="A150" s="1">
        <v>43132</v>
      </c>
      <c r="B150">
        <v>333.65</v>
      </c>
      <c r="C150">
        <v>317.99999951553298</v>
      </c>
      <c r="D150">
        <v>-15.650000484466499</v>
      </c>
      <c r="E150" s="1">
        <v>43223</v>
      </c>
      <c r="F150">
        <v>5.6635355949401802</v>
      </c>
      <c r="G150">
        <v>-4.6905441284179599</v>
      </c>
      <c r="M150">
        <v>4.6967351334157161</v>
      </c>
      <c r="N150" s="1">
        <v>43223</v>
      </c>
      <c r="O150">
        <f t="shared" si="14"/>
        <v>327.39346978236443</v>
      </c>
      <c r="P150">
        <f t="shared" si="15"/>
        <v>308.60652924870152</v>
      </c>
      <c r="Q150">
        <f t="shared" si="16"/>
        <v>317.99999951553298</v>
      </c>
      <c r="R150">
        <f t="shared" si="17"/>
        <v>352.54638651251787</v>
      </c>
      <c r="S150">
        <f t="shared" si="18"/>
        <v>0</v>
      </c>
      <c r="T150" t="str">
        <f t="shared" si="19"/>
        <v/>
      </c>
      <c r="U150">
        <f t="shared" si="20"/>
        <v>-15.650000484466499</v>
      </c>
    </row>
    <row r="151" spans="1:21" x14ac:dyDescent="0.3">
      <c r="A151" s="1">
        <v>43133</v>
      </c>
      <c r="B151">
        <v>327.39999999999998</v>
      </c>
      <c r="C151">
        <v>316.44999984788802</v>
      </c>
      <c r="D151">
        <v>-10.950000152111</v>
      </c>
      <c r="E151" s="1">
        <v>43224</v>
      </c>
      <c r="F151">
        <v>4.6509118080139098</v>
      </c>
      <c r="G151">
        <v>-3.34453272819519</v>
      </c>
      <c r="M151">
        <v>4.4438398643948265</v>
      </c>
      <c r="N151" s="1">
        <v>43224</v>
      </c>
      <c r="O151">
        <f t="shared" si="14"/>
        <v>325.33767957667766</v>
      </c>
      <c r="P151">
        <f t="shared" si="15"/>
        <v>307.56232011909839</v>
      </c>
      <c r="Q151">
        <f t="shared" si="16"/>
        <v>316.44999984788802</v>
      </c>
      <c r="R151">
        <f t="shared" si="17"/>
        <v>342.62708525943754</v>
      </c>
      <c r="S151">
        <f t="shared" si="18"/>
        <v>0</v>
      </c>
      <c r="T151" t="str">
        <f t="shared" si="19"/>
        <v/>
      </c>
      <c r="U151">
        <f t="shared" si="20"/>
        <v>-10.950000152111</v>
      </c>
    </row>
    <row r="152" spans="1:21" x14ac:dyDescent="0.3">
      <c r="A152" s="1">
        <v>43136</v>
      </c>
      <c r="B152">
        <v>323</v>
      </c>
      <c r="C152">
        <v>316.45000011682498</v>
      </c>
      <c r="D152">
        <v>-6.5499998831749</v>
      </c>
      <c r="E152" s="1">
        <v>43227</v>
      </c>
      <c r="F152">
        <v>3.8120551109313898</v>
      </c>
      <c r="G152">
        <v>-2.0278637409210201</v>
      </c>
      <c r="M152">
        <v>4.3344813259932975</v>
      </c>
      <c r="N152" s="1">
        <v>43227</v>
      </c>
      <c r="O152">
        <f t="shared" si="14"/>
        <v>325.11896276881157</v>
      </c>
      <c r="P152">
        <f t="shared" si="15"/>
        <v>307.78103746483839</v>
      </c>
      <c r="Q152">
        <f t="shared" si="16"/>
        <v>316.45000011682498</v>
      </c>
      <c r="R152">
        <f t="shared" si="17"/>
        <v>335.31293800830838</v>
      </c>
      <c r="S152">
        <f t="shared" si="18"/>
        <v>0</v>
      </c>
      <c r="T152" t="str">
        <f t="shared" si="19"/>
        <v/>
      </c>
      <c r="U152">
        <f t="shared" si="20"/>
        <v>-6.5499998831749</v>
      </c>
    </row>
    <row r="153" spans="1:21" x14ac:dyDescent="0.3">
      <c r="A153" s="1">
        <v>43137</v>
      </c>
      <c r="B153">
        <v>317.64999999999998</v>
      </c>
      <c r="C153">
        <v>314.050000014722</v>
      </c>
      <c r="D153">
        <v>-3.5999999852776301</v>
      </c>
      <c r="E153" s="1">
        <v>43228</v>
      </c>
      <c r="F153">
        <v>5.9236330986022896</v>
      </c>
      <c r="G153">
        <v>-1.13332283496856</v>
      </c>
      <c r="M153">
        <v>4.3228760347179138</v>
      </c>
      <c r="N153" s="1">
        <v>43228</v>
      </c>
      <c r="O153">
        <f t="shared" si="14"/>
        <v>322.69575208415785</v>
      </c>
      <c r="P153">
        <f t="shared" si="15"/>
        <v>305.40424794528616</v>
      </c>
      <c r="Q153">
        <f t="shared" si="16"/>
        <v>314.050000014722</v>
      </c>
      <c r="R153">
        <f t="shared" si="17"/>
        <v>336.46642053771018</v>
      </c>
      <c r="S153">
        <f t="shared" si="18"/>
        <v>0</v>
      </c>
      <c r="T153" t="str">
        <f t="shared" si="19"/>
        <v/>
      </c>
      <c r="U153">
        <f t="shared" si="20"/>
        <v>-3.5999999852776301</v>
      </c>
    </row>
    <row r="154" spans="1:21" x14ac:dyDescent="0.3">
      <c r="A154" s="1">
        <v>43138</v>
      </c>
      <c r="B154">
        <v>309.5</v>
      </c>
      <c r="C154">
        <v>314.04999985575603</v>
      </c>
      <c r="D154">
        <v>4.5499998557567602</v>
      </c>
      <c r="E154" s="1">
        <v>43229</v>
      </c>
      <c r="F154">
        <v>3.8309028148651101</v>
      </c>
      <c r="G154">
        <v>1.4701130390167201</v>
      </c>
      <c r="M154">
        <v>4.270104034041613</v>
      </c>
      <c r="N154" s="1">
        <v>43229</v>
      </c>
      <c r="O154">
        <f t="shared" si="14"/>
        <v>322.59020792383927</v>
      </c>
      <c r="P154">
        <f t="shared" si="15"/>
        <v>305.50979178767278</v>
      </c>
      <c r="Q154">
        <f t="shared" si="16"/>
        <v>314.04999985575603</v>
      </c>
      <c r="R154">
        <f t="shared" si="17"/>
        <v>321.3566442120075</v>
      </c>
      <c r="S154">
        <f t="shared" si="18"/>
        <v>1</v>
      </c>
      <c r="T154">
        <f t="shared" si="19"/>
        <v>4.5499998557567602</v>
      </c>
      <c r="U154" t="str">
        <f t="shared" si="20"/>
        <v/>
      </c>
    </row>
    <row r="155" spans="1:21" x14ac:dyDescent="0.3">
      <c r="A155" s="1">
        <v>43139</v>
      </c>
      <c r="B155">
        <v>312.5</v>
      </c>
      <c r="C155">
        <v>315.85000008344599</v>
      </c>
      <c r="D155">
        <v>3.3500000834465</v>
      </c>
      <c r="E155" s="1">
        <v>43230</v>
      </c>
      <c r="F155">
        <v>2.7319982051849299</v>
      </c>
      <c r="G155">
        <v>1.07200002670288</v>
      </c>
      <c r="M155">
        <v>4.2596718285025741</v>
      </c>
      <c r="N155" s="1">
        <v>43230</v>
      </c>
      <c r="O155">
        <f t="shared" si="14"/>
        <v>324.36934374045114</v>
      </c>
      <c r="P155">
        <f t="shared" si="15"/>
        <v>307.33065642644084</v>
      </c>
      <c r="Q155">
        <f t="shared" si="16"/>
        <v>315.85000008344599</v>
      </c>
      <c r="R155">
        <f t="shared" si="17"/>
        <v>321.03749439120293</v>
      </c>
      <c r="S155">
        <f t="shared" si="18"/>
        <v>1</v>
      </c>
      <c r="T155">
        <f t="shared" si="19"/>
        <v>3.3500000834465</v>
      </c>
      <c r="U155" t="str">
        <f t="shared" si="20"/>
        <v/>
      </c>
    </row>
    <row r="156" spans="1:21" x14ac:dyDescent="0.3">
      <c r="A156" s="1">
        <v>43140</v>
      </c>
      <c r="B156">
        <v>303.85000000000002</v>
      </c>
      <c r="C156">
        <v>317.65000001955002</v>
      </c>
      <c r="D156">
        <v>13.8000000195503</v>
      </c>
      <c r="E156" s="1">
        <v>43231</v>
      </c>
      <c r="F156">
        <v>3.6043789386749201</v>
      </c>
      <c r="G156">
        <v>4.5417146682739196</v>
      </c>
      <c r="M156">
        <v>4.0304241103902942</v>
      </c>
      <c r="N156" s="1">
        <v>43231</v>
      </c>
      <c r="O156">
        <f t="shared" si="14"/>
        <v>325.71084824033062</v>
      </c>
      <c r="P156">
        <f t="shared" si="15"/>
        <v>309.58915179876942</v>
      </c>
      <c r="Q156">
        <f t="shared" si="16"/>
        <v>317.65000001955002</v>
      </c>
      <c r="R156">
        <f t="shared" si="17"/>
        <v>314.80190540516378</v>
      </c>
      <c r="S156">
        <f t="shared" si="18"/>
        <v>1</v>
      </c>
      <c r="T156">
        <f t="shared" si="19"/>
        <v>13.8000000195503</v>
      </c>
      <c r="U156" t="str">
        <f t="shared" si="20"/>
        <v/>
      </c>
    </row>
    <row r="157" spans="1:21" x14ac:dyDescent="0.3">
      <c r="A157" s="1">
        <v>43143</v>
      </c>
      <c r="B157">
        <v>308.10000000000002</v>
      </c>
      <c r="C157">
        <v>316.850000068903</v>
      </c>
      <c r="D157">
        <v>8.7500000689029704</v>
      </c>
      <c r="E157" s="1">
        <v>43234</v>
      </c>
      <c r="F157">
        <v>2.09869384765625</v>
      </c>
      <c r="G157">
        <v>2.83998703956604</v>
      </c>
      <c r="M157">
        <v>3.9323719659826408</v>
      </c>
      <c r="N157" s="1">
        <v>43234</v>
      </c>
      <c r="O157">
        <f t="shared" si="14"/>
        <v>324.71474400086828</v>
      </c>
      <c r="P157">
        <f t="shared" si="15"/>
        <v>308.98525613693772</v>
      </c>
      <c r="Q157">
        <f t="shared" si="16"/>
        <v>316.850000068903</v>
      </c>
      <c r="R157">
        <f t="shared" si="17"/>
        <v>314.5660757446289</v>
      </c>
      <c r="S157">
        <f t="shared" si="18"/>
        <v>1</v>
      </c>
      <c r="T157">
        <f t="shared" si="19"/>
        <v>8.7500000689029704</v>
      </c>
      <c r="U157" t="str">
        <f t="shared" si="20"/>
        <v/>
      </c>
    </row>
    <row r="158" spans="1:21" x14ac:dyDescent="0.3">
      <c r="A158" s="1">
        <v>43144</v>
      </c>
      <c r="B158">
        <v>311.39999999999998</v>
      </c>
      <c r="C158">
        <v>313.74999995005101</v>
      </c>
      <c r="D158">
        <v>2.34999995005131</v>
      </c>
      <c r="E158" s="1">
        <v>43235</v>
      </c>
      <c r="F158">
        <v>2.4812562465667698</v>
      </c>
      <c r="G158">
        <v>0.75465637445449796</v>
      </c>
      <c r="M158">
        <v>3.9057560456922502</v>
      </c>
      <c r="N158" s="1">
        <v>43235</v>
      </c>
      <c r="O158">
        <f t="shared" si="14"/>
        <v>321.56151204143549</v>
      </c>
      <c r="P158">
        <f t="shared" si="15"/>
        <v>305.93848785866652</v>
      </c>
      <c r="Q158">
        <f t="shared" si="16"/>
        <v>313.74999995005101</v>
      </c>
      <c r="R158">
        <f t="shared" si="17"/>
        <v>319.12663195180892</v>
      </c>
      <c r="S158">
        <f t="shared" si="18"/>
        <v>1</v>
      </c>
      <c r="T158">
        <f t="shared" si="19"/>
        <v>2.34999995005131</v>
      </c>
      <c r="U158" t="str">
        <f t="shared" si="20"/>
        <v/>
      </c>
    </row>
    <row r="159" spans="1:21" x14ac:dyDescent="0.3">
      <c r="A159" s="1">
        <v>43145</v>
      </c>
      <c r="B159">
        <v>314.3</v>
      </c>
      <c r="C159">
        <v>314.90000000491699</v>
      </c>
      <c r="D159">
        <v>0.60000000491737604</v>
      </c>
      <c r="E159" s="1">
        <v>43236</v>
      </c>
      <c r="F159">
        <v>2.1884684562683101</v>
      </c>
      <c r="G159">
        <v>0.19090041518211301</v>
      </c>
      <c r="M159">
        <v>3.903742964721856</v>
      </c>
      <c r="N159" s="1">
        <v>43236</v>
      </c>
      <c r="O159">
        <f t="shared" si="14"/>
        <v>322.7074859343607</v>
      </c>
      <c r="P159">
        <f t="shared" si="15"/>
        <v>307.09251407547328</v>
      </c>
      <c r="Q159">
        <f t="shared" si="16"/>
        <v>314.90000000491699</v>
      </c>
      <c r="R159">
        <f t="shared" si="17"/>
        <v>321.1783563580513</v>
      </c>
      <c r="S159">
        <f t="shared" si="18"/>
        <v>1</v>
      </c>
      <c r="T159">
        <f t="shared" si="19"/>
        <v>0.60000000491737604</v>
      </c>
      <c r="U159" t="str">
        <f t="shared" si="20"/>
        <v/>
      </c>
    </row>
    <row r="160" spans="1:21" x14ac:dyDescent="0.3">
      <c r="A160" s="1">
        <v>43146</v>
      </c>
      <c r="B160">
        <v>314.3</v>
      </c>
      <c r="C160">
        <v>313.40000003945801</v>
      </c>
      <c r="D160">
        <v>-0.89999996054172005</v>
      </c>
      <c r="E160" s="1">
        <v>43237</v>
      </c>
      <c r="F160">
        <v>0.36200606822967502</v>
      </c>
      <c r="G160">
        <v>-0.286350607872009</v>
      </c>
      <c r="M160">
        <v>3.9094526102177642</v>
      </c>
      <c r="N160" s="1">
        <v>43237</v>
      </c>
      <c r="O160">
        <f t="shared" si="14"/>
        <v>321.21890525989352</v>
      </c>
      <c r="P160">
        <f t="shared" si="15"/>
        <v>305.5810948190225</v>
      </c>
      <c r="Q160">
        <f t="shared" si="16"/>
        <v>313.40000003945801</v>
      </c>
      <c r="R160">
        <f t="shared" si="17"/>
        <v>315.43778507244588</v>
      </c>
      <c r="S160">
        <f t="shared" si="18"/>
        <v>0</v>
      </c>
      <c r="T160" t="str">
        <f t="shared" si="19"/>
        <v/>
      </c>
      <c r="U160">
        <f t="shared" si="20"/>
        <v>-0.89999996054172005</v>
      </c>
    </row>
    <row r="161" spans="1:21" x14ac:dyDescent="0.3">
      <c r="A161" s="1">
        <v>43147</v>
      </c>
      <c r="B161">
        <v>314.3</v>
      </c>
      <c r="C161">
        <v>314.74999998026999</v>
      </c>
      <c r="D161">
        <v>-0.449999980270888</v>
      </c>
      <c r="E161" s="1">
        <v>43238</v>
      </c>
      <c r="F161">
        <v>-0.72667431831359797</v>
      </c>
      <c r="G161">
        <v>0.143175303936004</v>
      </c>
      <c r="M161">
        <v>3.9078197615117256</v>
      </c>
      <c r="N161" s="1">
        <v>43238</v>
      </c>
      <c r="O161">
        <f t="shared" si="14"/>
        <v>322.56563950329343</v>
      </c>
      <c r="P161">
        <f t="shared" si="15"/>
        <v>306.93436045724656</v>
      </c>
      <c r="Q161">
        <f t="shared" si="16"/>
        <v>314.74999998026999</v>
      </c>
      <c r="R161">
        <f t="shared" si="17"/>
        <v>312.0160626175404</v>
      </c>
      <c r="S161">
        <f t="shared" si="18"/>
        <v>0</v>
      </c>
      <c r="T161" t="str">
        <f t="shared" si="19"/>
        <v/>
      </c>
      <c r="U161">
        <f t="shared" si="20"/>
        <v>-0.449999980270888</v>
      </c>
    </row>
    <row r="162" spans="1:21" x14ac:dyDescent="0.3">
      <c r="A162" s="1">
        <v>43150</v>
      </c>
      <c r="B162">
        <v>316.25</v>
      </c>
      <c r="C162">
        <v>315.09999996572702</v>
      </c>
      <c r="D162">
        <v>1.1500000342726899</v>
      </c>
      <c r="E162" s="1">
        <v>43241</v>
      </c>
      <c r="F162">
        <v>-2.24356484413146</v>
      </c>
      <c r="G162">
        <v>-0.363636374473571</v>
      </c>
      <c r="M162">
        <v>3.9066806685668403</v>
      </c>
      <c r="N162" s="1">
        <v>43241</v>
      </c>
      <c r="O162">
        <f t="shared" si="14"/>
        <v>322.91336130286072</v>
      </c>
      <c r="P162">
        <f t="shared" si="15"/>
        <v>307.28663862859332</v>
      </c>
      <c r="Q162">
        <f t="shared" si="16"/>
        <v>315.09999996572702</v>
      </c>
      <c r="R162">
        <f t="shared" si="17"/>
        <v>309.15472618043424</v>
      </c>
      <c r="S162">
        <f t="shared" si="18"/>
        <v>1</v>
      </c>
      <c r="T162">
        <f t="shared" si="19"/>
        <v>1.1500000342726899</v>
      </c>
      <c r="U162" t="str">
        <f t="shared" si="20"/>
        <v/>
      </c>
    </row>
    <row r="163" spans="1:21" x14ac:dyDescent="0.3">
      <c r="A163" s="1">
        <v>43151</v>
      </c>
      <c r="B163">
        <v>312</v>
      </c>
      <c r="C163">
        <v>315.10000004768301</v>
      </c>
      <c r="D163">
        <v>-3.10000004768369</v>
      </c>
      <c r="E163" s="1">
        <v>43242</v>
      </c>
      <c r="F163">
        <v>-2.4792180061340301</v>
      </c>
      <c r="G163">
        <v>0.99358975887298495</v>
      </c>
      <c r="M163">
        <v>3.883147761605469</v>
      </c>
      <c r="N163" s="1">
        <v>43242</v>
      </c>
      <c r="O163">
        <f t="shared" si="14"/>
        <v>322.86629557089395</v>
      </c>
      <c r="P163">
        <f t="shared" si="15"/>
        <v>307.33370452447207</v>
      </c>
      <c r="Q163">
        <f t="shared" si="16"/>
        <v>315.10000004768301</v>
      </c>
      <c r="R163">
        <f t="shared" si="17"/>
        <v>304.26483982086182</v>
      </c>
      <c r="S163">
        <f t="shared" si="18"/>
        <v>0</v>
      </c>
      <c r="T163" t="str">
        <f t="shared" si="19"/>
        <v/>
      </c>
      <c r="U163">
        <f t="shared" si="20"/>
        <v>-3.10000004768369</v>
      </c>
    </row>
    <row r="164" spans="1:21" x14ac:dyDescent="0.3">
      <c r="A164" s="1">
        <v>43152</v>
      </c>
      <c r="B164">
        <v>314.05</v>
      </c>
      <c r="C164">
        <v>317.14999992060598</v>
      </c>
      <c r="D164">
        <v>-3.09999992060659</v>
      </c>
      <c r="E164" s="1">
        <v>43243</v>
      </c>
      <c r="F164">
        <v>-1.8052341938018699</v>
      </c>
      <c r="G164">
        <v>0.98710393905639604</v>
      </c>
      <c r="M164">
        <v>3.8845196341969426</v>
      </c>
      <c r="N164" s="1">
        <v>43243</v>
      </c>
      <c r="O164">
        <f t="shared" si="14"/>
        <v>324.91903918899988</v>
      </c>
      <c r="P164">
        <f t="shared" si="15"/>
        <v>309.38096065221208</v>
      </c>
      <c r="Q164">
        <f t="shared" si="16"/>
        <v>317.14999992060598</v>
      </c>
      <c r="R164">
        <f t="shared" si="17"/>
        <v>308.38066201436521</v>
      </c>
      <c r="S164">
        <f t="shared" si="18"/>
        <v>0</v>
      </c>
      <c r="T164" t="str">
        <f t="shared" si="19"/>
        <v/>
      </c>
      <c r="U164">
        <f t="shared" si="20"/>
        <v>-3.09999992060659</v>
      </c>
    </row>
    <row r="165" spans="1:21" x14ac:dyDescent="0.3">
      <c r="A165" s="1">
        <v>43153</v>
      </c>
      <c r="B165">
        <v>311.85000000000002</v>
      </c>
      <c r="C165">
        <v>316.54999985879601</v>
      </c>
      <c r="D165">
        <v>-4.6999998587966099</v>
      </c>
      <c r="E165" s="1">
        <v>43244</v>
      </c>
      <c r="F165">
        <v>-1.09512686729431</v>
      </c>
      <c r="G165">
        <v>1.5071347951889</v>
      </c>
      <c r="M165">
        <v>3.8589132587376911</v>
      </c>
      <c r="N165" s="1">
        <v>43244</v>
      </c>
      <c r="O165">
        <f t="shared" si="14"/>
        <v>324.26782637627139</v>
      </c>
      <c r="P165">
        <f t="shared" si="15"/>
        <v>308.83217334132064</v>
      </c>
      <c r="Q165">
        <f t="shared" si="16"/>
        <v>316.54999985879601</v>
      </c>
      <c r="R165">
        <f t="shared" si="17"/>
        <v>308.43484686434272</v>
      </c>
      <c r="S165">
        <f t="shared" si="18"/>
        <v>0</v>
      </c>
      <c r="T165" t="str">
        <f t="shared" si="19"/>
        <v/>
      </c>
      <c r="U165">
        <f t="shared" si="20"/>
        <v>-4.6999998587966099</v>
      </c>
    </row>
    <row r="166" spans="1:21" x14ac:dyDescent="0.3">
      <c r="A166" s="1">
        <v>43154</v>
      </c>
      <c r="B166">
        <v>316.95</v>
      </c>
      <c r="C166">
        <v>317.30000000473098</v>
      </c>
      <c r="D166">
        <v>0.35000000473109999</v>
      </c>
      <c r="E166" s="1">
        <v>43245</v>
      </c>
      <c r="F166">
        <v>1.3489360809326101</v>
      </c>
      <c r="G166">
        <v>0.110427513718605</v>
      </c>
      <c r="M166">
        <v>3.8610896416884519</v>
      </c>
      <c r="N166" s="1">
        <v>43245</v>
      </c>
      <c r="O166">
        <f t="shared" si="14"/>
        <v>325.02217928810791</v>
      </c>
      <c r="P166">
        <f t="shared" si="15"/>
        <v>309.57782072135404</v>
      </c>
      <c r="Q166">
        <f t="shared" si="16"/>
        <v>317.30000000473098</v>
      </c>
      <c r="R166">
        <f t="shared" si="17"/>
        <v>321.22545290851588</v>
      </c>
      <c r="S166">
        <f t="shared" si="18"/>
        <v>1</v>
      </c>
      <c r="T166">
        <f t="shared" si="19"/>
        <v>0.35000000473109999</v>
      </c>
      <c r="U166" t="str">
        <f t="shared" si="20"/>
        <v/>
      </c>
    </row>
    <row r="167" spans="1:21" x14ac:dyDescent="0.3">
      <c r="A167" s="1">
        <v>43157</v>
      </c>
      <c r="B167">
        <v>317.10000000000002</v>
      </c>
      <c r="C167">
        <v>318.09999997544202</v>
      </c>
      <c r="D167">
        <v>0.99999997544290398</v>
      </c>
      <c r="E167" s="1">
        <v>43248</v>
      </c>
      <c r="F167">
        <v>2.0278534889221098</v>
      </c>
      <c r="G167">
        <v>0.31535792350768999</v>
      </c>
      <c r="M167">
        <v>3.8691778531899259</v>
      </c>
      <c r="N167" s="1">
        <v>43248</v>
      </c>
      <c r="O167">
        <f t="shared" si="14"/>
        <v>325.83835568182189</v>
      </c>
      <c r="P167">
        <f t="shared" si="15"/>
        <v>310.36164426906214</v>
      </c>
      <c r="Q167">
        <f t="shared" si="16"/>
        <v>318.09999997544202</v>
      </c>
      <c r="R167">
        <f t="shared" si="17"/>
        <v>323.53032341337206</v>
      </c>
      <c r="S167">
        <f t="shared" si="18"/>
        <v>1</v>
      </c>
      <c r="T167">
        <f t="shared" si="19"/>
        <v>0.99999997544290398</v>
      </c>
      <c r="U167" t="str">
        <f t="shared" si="20"/>
        <v/>
      </c>
    </row>
    <row r="168" spans="1:21" x14ac:dyDescent="0.3">
      <c r="A168" s="1">
        <v>43158</v>
      </c>
      <c r="B168">
        <v>315.75</v>
      </c>
      <c r="C168">
        <v>314.89999997377299</v>
      </c>
      <c r="D168">
        <v>-0.85000002622604098</v>
      </c>
      <c r="E168" s="1">
        <v>43249</v>
      </c>
      <c r="F168">
        <v>1.1859225034713701</v>
      </c>
      <c r="G168">
        <v>-0.26920032501220698</v>
      </c>
      <c r="M168">
        <v>3.8701230165799076</v>
      </c>
      <c r="N168" s="1">
        <v>43249</v>
      </c>
      <c r="O168">
        <f t="shared" si="14"/>
        <v>322.64024600693278</v>
      </c>
      <c r="P168">
        <f t="shared" si="15"/>
        <v>307.1597539406132</v>
      </c>
      <c r="Q168">
        <f t="shared" si="16"/>
        <v>314.89999997377299</v>
      </c>
      <c r="R168">
        <f t="shared" si="17"/>
        <v>319.49455030471086</v>
      </c>
      <c r="S168">
        <f t="shared" si="18"/>
        <v>0</v>
      </c>
      <c r="T168" t="str">
        <f t="shared" si="19"/>
        <v/>
      </c>
      <c r="U168">
        <f t="shared" si="20"/>
        <v>-0.85000002622604098</v>
      </c>
    </row>
    <row r="169" spans="1:21" x14ac:dyDescent="0.3">
      <c r="A169" s="1">
        <v>43159</v>
      </c>
      <c r="B169">
        <v>312.45</v>
      </c>
      <c r="C169">
        <v>307.55000007998899</v>
      </c>
      <c r="D169">
        <v>4.89999992001054</v>
      </c>
      <c r="E169" s="1">
        <v>43250</v>
      </c>
      <c r="F169">
        <v>-3.1654455661773602</v>
      </c>
      <c r="G169">
        <v>-1.5682508945464999</v>
      </c>
      <c r="M169">
        <v>3.9785221152023111</v>
      </c>
      <c r="N169" s="1">
        <v>43250</v>
      </c>
      <c r="O169">
        <f t="shared" si="14"/>
        <v>315.50704431039361</v>
      </c>
      <c r="P169">
        <f t="shared" si="15"/>
        <v>299.59295584958437</v>
      </c>
      <c r="Q169">
        <f t="shared" si="16"/>
        <v>307.55000007998899</v>
      </c>
      <c r="R169">
        <f t="shared" si="17"/>
        <v>302.55956532847881</v>
      </c>
      <c r="S169">
        <f t="shared" si="18"/>
        <v>1</v>
      </c>
      <c r="T169">
        <f t="shared" si="19"/>
        <v>4.89999992001054</v>
      </c>
      <c r="U169" t="str">
        <f t="shared" si="20"/>
        <v/>
      </c>
    </row>
    <row r="170" spans="1:21" x14ac:dyDescent="0.3">
      <c r="A170" s="1">
        <v>43160</v>
      </c>
      <c r="B170">
        <v>312.45</v>
      </c>
      <c r="C170">
        <v>309.14999985623302</v>
      </c>
      <c r="D170">
        <v>3.3000001437663902</v>
      </c>
      <c r="E170" s="1">
        <v>43251</v>
      </c>
      <c r="F170">
        <v>-4.87340831756591</v>
      </c>
      <c r="G170">
        <v>-1.05616903305053</v>
      </c>
      <c r="M170">
        <v>4.0388874432009345</v>
      </c>
      <c r="N170" s="1">
        <v>43251</v>
      </c>
      <c r="O170">
        <f t="shared" si="14"/>
        <v>317.22777474263489</v>
      </c>
      <c r="P170">
        <f t="shared" si="15"/>
        <v>301.07222496983115</v>
      </c>
      <c r="Q170">
        <f t="shared" si="16"/>
        <v>309.14999985623302</v>
      </c>
      <c r="R170">
        <f t="shared" si="17"/>
        <v>297.22303571176531</v>
      </c>
      <c r="S170">
        <f t="shared" si="18"/>
        <v>0</v>
      </c>
      <c r="T170" t="str">
        <f t="shared" si="19"/>
        <v/>
      </c>
      <c r="U170">
        <f t="shared" si="20"/>
        <v>3.3000001437663902</v>
      </c>
    </row>
    <row r="171" spans="1:21" x14ac:dyDescent="0.3">
      <c r="A171" s="1">
        <v>43161</v>
      </c>
      <c r="B171">
        <v>308.14999999999998</v>
      </c>
      <c r="C171">
        <v>311.40000006204798</v>
      </c>
      <c r="D171">
        <v>-3.2500000620484499</v>
      </c>
      <c r="E171" s="1">
        <v>43252</v>
      </c>
      <c r="F171">
        <v>-1.80826544761657</v>
      </c>
      <c r="G171">
        <v>1.05468118190765</v>
      </c>
      <c r="M171">
        <v>3.9663470163169254</v>
      </c>
      <c r="N171" s="1">
        <v>43252</v>
      </c>
      <c r="O171">
        <f t="shared" si="14"/>
        <v>319.33269409468181</v>
      </c>
      <c r="P171">
        <f t="shared" si="15"/>
        <v>303.46730602941415</v>
      </c>
      <c r="Q171">
        <f t="shared" si="16"/>
        <v>311.40000006204798</v>
      </c>
      <c r="R171">
        <f t="shared" si="17"/>
        <v>302.5778300231695</v>
      </c>
      <c r="S171">
        <f t="shared" si="18"/>
        <v>0</v>
      </c>
      <c r="T171" t="str">
        <f t="shared" si="19"/>
        <v/>
      </c>
      <c r="U171">
        <f t="shared" si="20"/>
        <v>-3.2500000620484499</v>
      </c>
    </row>
    <row r="172" spans="1:21" x14ac:dyDescent="0.3">
      <c r="A172" s="1">
        <v>43164</v>
      </c>
      <c r="B172">
        <v>303.85000000000002</v>
      </c>
      <c r="C172">
        <v>313.14999979269498</v>
      </c>
      <c r="D172">
        <v>-9.2999997926950098</v>
      </c>
      <c r="E172" s="1">
        <v>43255</v>
      </c>
      <c r="F172">
        <v>-0.70860928297042802</v>
      </c>
      <c r="G172">
        <v>3.0607206821441602</v>
      </c>
      <c r="M172">
        <v>3.6975128074880943</v>
      </c>
      <c r="N172" s="1">
        <v>43255</v>
      </c>
      <c r="O172">
        <f t="shared" si="14"/>
        <v>320.54502540767118</v>
      </c>
      <c r="P172">
        <f t="shared" si="15"/>
        <v>305.75497417771879</v>
      </c>
      <c r="Q172">
        <f t="shared" si="16"/>
        <v>313.14999979269498</v>
      </c>
      <c r="R172">
        <f t="shared" si="17"/>
        <v>301.6968906936944</v>
      </c>
      <c r="S172">
        <f t="shared" si="18"/>
        <v>0</v>
      </c>
      <c r="T172" t="str">
        <f t="shared" si="19"/>
        <v/>
      </c>
      <c r="U172">
        <f t="shared" si="20"/>
        <v>-9.2999997926950098</v>
      </c>
    </row>
    <row r="173" spans="1:21" x14ac:dyDescent="0.3">
      <c r="A173" s="1">
        <v>43165</v>
      </c>
      <c r="B173">
        <v>310.3</v>
      </c>
      <c r="C173">
        <v>313.74999997007802</v>
      </c>
      <c r="D173">
        <v>-3.4499999700784598</v>
      </c>
      <c r="E173" s="1">
        <v>43256</v>
      </c>
      <c r="F173">
        <v>-0.55739468336105302</v>
      </c>
      <c r="G173">
        <v>1.11182725429534</v>
      </c>
      <c r="M173">
        <v>3.6437286415787837</v>
      </c>
      <c r="N173" s="1">
        <v>43256</v>
      </c>
      <c r="O173">
        <f t="shared" si="14"/>
        <v>321.03745725323557</v>
      </c>
      <c r="P173">
        <f t="shared" si="15"/>
        <v>306.46254268692047</v>
      </c>
      <c r="Q173">
        <f t="shared" si="16"/>
        <v>313.74999997007802</v>
      </c>
      <c r="R173">
        <f t="shared" si="17"/>
        <v>308.57040429753067</v>
      </c>
      <c r="S173">
        <f t="shared" si="18"/>
        <v>0</v>
      </c>
      <c r="T173" t="str">
        <f t="shared" si="19"/>
        <v/>
      </c>
      <c r="U173">
        <f t="shared" si="20"/>
        <v>-3.4499999700784598</v>
      </c>
    </row>
    <row r="174" spans="1:21" x14ac:dyDescent="0.3">
      <c r="A174" s="1">
        <v>43166</v>
      </c>
      <c r="B174">
        <v>310.45</v>
      </c>
      <c r="C174">
        <v>313.75000011831497</v>
      </c>
      <c r="D174">
        <v>-3.3000001183152099</v>
      </c>
      <c r="E174" s="1">
        <v>43257</v>
      </c>
      <c r="F174">
        <v>-3.5555834770202601</v>
      </c>
      <c r="G174">
        <v>1.0629731416702199</v>
      </c>
      <c r="M174">
        <v>3.5918606237414945</v>
      </c>
      <c r="N174" s="1">
        <v>43257</v>
      </c>
      <c r="O174">
        <f t="shared" si="14"/>
        <v>320.93372136579796</v>
      </c>
      <c r="P174">
        <f t="shared" si="15"/>
        <v>306.56627887083198</v>
      </c>
      <c r="Q174">
        <f t="shared" si="16"/>
        <v>313.75000011831497</v>
      </c>
      <c r="R174">
        <f t="shared" si="17"/>
        <v>299.41169109559058</v>
      </c>
      <c r="S174">
        <f t="shared" si="18"/>
        <v>0</v>
      </c>
      <c r="T174" t="str">
        <f t="shared" si="19"/>
        <v/>
      </c>
      <c r="U174">
        <f t="shared" si="20"/>
        <v>-3.3000001183152099</v>
      </c>
    </row>
    <row r="175" spans="1:21" x14ac:dyDescent="0.3">
      <c r="A175" s="1">
        <v>43167</v>
      </c>
      <c r="B175">
        <v>313.60000000000002</v>
      </c>
      <c r="C175">
        <v>316.84999999236999</v>
      </c>
      <c r="D175">
        <v>-3.24999999237059</v>
      </c>
      <c r="E175" s="1">
        <v>43258</v>
      </c>
      <c r="F175">
        <v>-4.2583093643188397</v>
      </c>
      <c r="G175">
        <v>1.0363520383834799</v>
      </c>
      <c r="M175">
        <v>3.5838692764084801</v>
      </c>
      <c r="N175" s="1">
        <v>43258</v>
      </c>
      <c r="O175">
        <f t="shared" si="14"/>
        <v>324.01773854518694</v>
      </c>
      <c r="P175">
        <f t="shared" si="15"/>
        <v>309.68226143955303</v>
      </c>
      <c r="Q175">
        <f t="shared" si="16"/>
        <v>316.84999999236999</v>
      </c>
      <c r="R175">
        <f t="shared" si="17"/>
        <v>300.24594183349615</v>
      </c>
      <c r="S175">
        <f t="shared" si="18"/>
        <v>0</v>
      </c>
      <c r="T175" t="str">
        <f t="shared" si="19"/>
        <v/>
      </c>
      <c r="U175">
        <f t="shared" si="20"/>
        <v>-3.24999999237059</v>
      </c>
    </row>
    <row r="176" spans="1:21" x14ac:dyDescent="0.3">
      <c r="A176" s="1">
        <v>43168</v>
      </c>
      <c r="B176">
        <v>317.10000000000002</v>
      </c>
      <c r="C176">
        <v>313.30000016891898</v>
      </c>
      <c r="D176">
        <v>-3.79999983108041</v>
      </c>
      <c r="E176" s="1">
        <v>43259</v>
      </c>
      <c r="F176">
        <v>0.122488185763359</v>
      </c>
      <c r="G176">
        <v>-1.1983600854873599</v>
      </c>
      <c r="M176">
        <v>3.5935544261165111</v>
      </c>
      <c r="N176" s="1">
        <v>43259</v>
      </c>
      <c r="O176">
        <f t="shared" si="14"/>
        <v>320.48710902115198</v>
      </c>
      <c r="P176">
        <f t="shared" si="15"/>
        <v>306.11289131668599</v>
      </c>
      <c r="Q176">
        <f t="shared" si="16"/>
        <v>313.30000016891898</v>
      </c>
      <c r="R176">
        <f t="shared" si="17"/>
        <v>317.48841003705564</v>
      </c>
      <c r="S176">
        <f t="shared" si="18"/>
        <v>0</v>
      </c>
      <c r="T176" t="str">
        <f t="shared" si="19"/>
        <v/>
      </c>
      <c r="U176">
        <f t="shared" si="20"/>
        <v>-3.79999983108041</v>
      </c>
    </row>
    <row r="177" spans="1:21" x14ac:dyDescent="0.3">
      <c r="A177" s="1">
        <v>43171</v>
      </c>
      <c r="B177">
        <v>320.10000000000002</v>
      </c>
      <c r="C177">
        <v>316.150000065207</v>
      </c>
      <c r="D177">
        <v>-3.9499999347925101</v>
      </c>
      <c r="E177" s="1">
        <v>43262</v>
      </c>
      <c r="F177">
        <v>2.04807424545288</v>
      </c>
      <c r="G177">
        <v>-1.2339893579482999</v>
      </c>
      <c r="M177">
        <v>3.5521090024638373</v>
      </c>
      <c r="N177" s="1">
        <v>43262</v>
      </c>
      <c r="O177">
        <f t="shared" si="14"/>
        <v>323.2542180701347</v>
      </c>
      <c r="P177">
        <f t="shared" si="15"/>
        <v>309.04578206027929</v>
      </c>
      <c r="Q177">
        <f t="shared" si="16"/>
        <v>316.150000065207</v>
      </c>
      <c r="R177">
        <f t="shared" si="17"/>
        <v>326.65588565969472</v>
      </c>
      <c r="S177">
        <f t="shared" si="18"/>
        <v>0</v>
      </c>
      <c r="T177" t="str">
        <f t="shared" si="19"/>
        <v/>
      </c>
      <c r="U177">
        <f t="shared" si="20"/>
        <v>-3.9499999347925101</v>
      </c>
    </row>
    <row r="178" spans="1:21" x14ac:dyDescent="0.3">
      <c r="A178" s="1">
        <v>43172</v>
      </c>
      <c r="B178">
        <v>321.5</v>
      </c>
      <c r="C178">
        <v>315.64999984204701</v>
      </c>
      <c r="D178">
        <v>-5.8500001579522998</v>
      </c>
      <c r="E178" s="1">
        <v>43263</v>
      </c>
      <c r="F178">
        <v>0.50829482078552202</v>
      </c>
      <c r="G178">
        <v>-1.81959569454193</v>
      </c>
      <c r="M178">
        <v>3.4760354019176276</v>
      </c>
      <c r="N178" s="1">
        <v>43263</v>
      </c>
      <c r="O178">
        <f t="shared" si="14"/>
        <v>322.60207064588224</v>
      </c>
      <c r="P178">
        <f t="shared" si="15"/>
        <v>308.69792903821178</v>
      </c>
      <c r="Q178">
        <f t="shared" si="16"/>
        <v>315.64999984204701</v>
      </c>
      <c r="R178">
        <f t="shared" si="17"/>
        <v>323.13416784882543</v>
      </c>
      <c r="S178">
        <f t="shared" si="18"/>
        <v>0</v>
      </c>
      <c r="T178" t="str">
        <f t="shared" si="19"/>
        <v/>
      </c>
      <c r="U178">
        <f t="shared" si="20"/>
        <v>-5.8500001579522998</v>
      </c>
    </row>
    <row r="179" spans="1:21" x14ac:dyDescent="0.3">
      <c r="A179" s="1">
        <v>43173</v>
      </c>
      <c r="B179">
        <v>321.55</v>
      </c>
      <c r="C179">
        <v>315.65000010901599</v>
      </c>
      <c r="D179">
        <v>5.8999998909831097</v>
      </c>
      <c r="E179" s="1">
        <v>43264</v>
      </c>
      <c r="F179">
        <v>-0.28373807668685902</v>
      </c>
      <c r="G179">
        <v>-1.8348623514175399</v>
      </c>
      <c r="M179">
        <v>3.3944546123618511</v>
      </c>
      <c r="N179" s="1">
        <v>43264</v>
      </c>
      <c r="O179">
        <f t="shared" si="14"/>
        <v>322.43890933373967</v>
      </c>
      <c r="P179">
        <f t="shared" si="15"/>
        <v>308.86109088429231</v>
      </c>
      <c r="Q179">
        <f t="shared" si="16"/>
        <v>315.65000010901599</v>
      </c>
      <c r="R179">
        <f t="shared" si="17"/>
        <v>320.63764021441341</v>
      </c>
      <c r="S179">
        <f t="shared" si="18"/>
        <v>1</v>
      </c>
      <c r="T179">
        <f t="shared" si="19"/>
        <v>5.8999998909831097</v>
      </c>
      <c r="U179" t="str">
        <f t="shared" si="20"/>
        <v/>
      </c>
    </row>
    <row r="180" spans="1:21" x14ac:dyDescent="0.3">
      <c r="A180" s="1">
        <v>43174</v>
      </c>
      <c r="B180">
        <v>322.85000000000002</v>
      </c>
      <c r="C180">
        <v>310.39999973452001</v>
      </c>
      <c r="D180">
        <v>-12.450000265479099</v>
      </c>
      <c r="E180" s="1">
        <v>43265</v>
      </c>
      <c r="F180">
        <v>0.24576523900031999</v>
      </c>
      <c r="G180">
        <v>-3.85628008842468</v>
      </c>
      <c r="M180">
        <v>3.3246131932324716</v>
      </c>
      <c r="N180" s="1">
        <v>43265</v>
      </c>
      <c r="O180">
        <f t="shared" si="14"/>
        <v>317.04922612098494</v>
      </c>
      <c r="P180">
        <f t="shared" si="15"/>
        <v>303.75077334805508</v>
      </c>
      <c r="Q180">
        <f t="shared" si="16"/>
        <v>310.39999973452001</v>
      </c>
      <c r="R180">
        <f t="shared" si="17"/>
        <v>323.64345307411253</v>
      </c>
      <c r="S180">
        <f t="shared" si="18"/>
        <v>0</v>
      </c>
      <c r="T180" t="str">
        <f t="shared" si="19"/>
        <v/>
      </c>
      <c r="U180">
        <f t="shared" si="20"/>
        <v>-12.450000265479099</v>
      </c>
    </row>
    <row r="181" spans="1:21" x14ac:dyDescent="0.3">
      <c r="A181" s="1">
        <v>43175</v>
      </c>
      <c r="B181">
        <v>322</v>
      </c>
      <c r="C181">
        <v>309.19999976158101</v>
      </c>
      <c r="D181">
        <v>12.8000002384185</v>
      </c>
      <c r="E181" s="1">
        <v>43266</v>
      </c>
      <c r="F181">
        <v>-1.8116865307092601E-2</v>
      </c>
      <c r="G181">
        <v>-3.9751553535461399</v>
      </c>
      <c r="M181">
        <v>3.3019538213702435</v>
      </c>
      <c r="N181" s="1">
        <v>43266</v>
      </c>
      <c r="O181">
        <f t="shared" si="14"/>
        <v>315.80390740432148</v>
      </c>
      <c r="P181">
        <f t="shared" si="15"/>
        <v>302.59609211884055</v>
      </c>
      <c r="Q181">
        <f t="shared" si="16"/>
        <v>309.19999976158101</v>
      </c>
      <c r="R181">
        <f t="shared" si="17"/>
        <v>321.94166369371118</v>
      </c>
      <c r="S181">
        <f t="shared" si="18"/>
        <v>0</v>
      </c>
      <c r="T181" t="str">
        <f t="shared" si="19"/>
        <v/>
      </c>
      <c r="U181">
        <f t="shared" si="20"/>
        <v>12.8000002384185</v>
      </c>
    </row>
    <row r="182" spans="1:21" x14ac:dyDescent="0.3">
      <c r="A182" s="1">
        <v>43178</v>
      </c>
      <c r="B182">
        <v>319.85000000000002</v>
      </c>
      <c r="C182">
        <v>305.84999972081101</v>
      </c>
      <c r="D182">
        <v>-14.0000002791881</v>
      </c>
      <c r="E182" s="1">
        <v>43269</v>
      </c>
      <c r="F182">
        <v>9.7145318984985296E-2</v>
      </c>
      <c r="G182">
        <v>-4.3770518302917401</v>
      </c>
      <c r="M182">
        <v>3.4426154245774345</v>
      </c>
      <c r="N182" s="1">
        <v>43269</v>
      </c>
      <c r="O182">
        <f t="shared" si="14"/>
        <v>312.73523056996589</v>
      </c>
      <c r="P182">
        <f t="shared" si="15"/>
        <v>298.96476887165613</v>
      </c>
      <c r="Q182">
        <f t="shared" si="16"/>
        <v>305.84999972081101</v>
      </c>
      <c r="R182">
        <f t="shared" si="17"/>
        <v>320.16071930277349</v>
      </c>
      <c r="S182">
        <f t="shared" si="18"/>
        <v>0</v>
      </c>
      <c r="T182" t="str">
        <f t="shared" si="19"/>
        <v/>
      </c>
      <c r="U182">
        <f t="shared" si="20"/>
        <v>-14.0000002791881</v>
      </c>
    </row>
    <row r="183" spans="1:21" x14ac:dyDescent="0.3">
      <c r="A183" s="1">
        <v>43179</v>
      </c>
      <c r="B183">
        <v>321.3</v>
      </c>
      <c r="C183">
        <v>301.350000040054</v>
      </c>
      <c r="D183">
        <v>-19.9499999599456</v>
      </c>
      <c r="E183" s="1">
        <v>43270</v>
      </c>
      <c r="F183">
        <v>2.9021537303924498</v>
      </c>
      <c r="G183">
        <v>-6.2091503143310502</v>
      </c>
      <c r="M183">
        <v>3.7405120355990746</v>
      </c>
      <c r="N183" s="1">
        <v>43270</v>
      </c>
      <c r="O183">
        <f t="shared" si="14"/>
        <v>308.83102411125213</v>
      </c>
      <c r="P183">
        <f t="shared" si="15"/>
        <v>293.86897596885586</v>
      </c>
      <c r="Q183">
        <f t="shared" si="16"/>
        <v>301.350000040054</v>
      </c>
      <c r="R183">
        <f t="shared" si="17"/>
        <v>330.62461993575096</v>
      </c>
      <c r="S183">
        <f t="shared" si="18"/>
        <v>0</v>
      </c>
      <c r="T183" t="str">
        <f t="shared" si="19"/>
        <v/>
      </c>
      <c r="U183">
        <f t="shared" si="20"/>
        <v>-19.9499999599456</v>
      </c>
    </row>
    <row r="184" spans="1:21" x14ac:dyDescent="0.3">
      <c r="A184" s="1">
        <v>43180</v>
      </c>
      <c r="B184">
        <v>321.60000000000002</v>
      </c>
      <c r="C184">
        <v>304.20000052642803</v>
      </c>
      <c r="D184">
        <v>-17.3999994735717</v>
      </c>
      <c r="E184" s="1">
        <v>43271</v>
      </c>
      <c r="F184">
        <v>0.44062626361846902</v>
      </c>
      <c r="G184">
        <v>-5.4104475975036603</v>
      </c>
      <c r="M184">
        <v>3.8529362554370836</v>
      </c>
      <c r="N184" s="1">
        <v>43271</v>
      </c>
      <c r="O184">
        <f t="shared" si="14"/>
        <v>311.90587303730217</v>
      </c>
      <c r="P184">
        <f t="shared" si="15"/>
        <v>296.49412801555388</v>
      </c>
      <c r="Q184">
        <f t="shared" si="16"/>
        <v>304.20000052642803</v>
      </c>
      <c r="R184">
        <f t="shared" si="17"/>
        <v>323.01705406379699</v>
      </c>
      <c r="S184">
        <f t="shared" si="18"/>
        <v>0</v>
      </c>
      <c r="T184" t="str">
        <f t="shared" si="19"/>
        <v/>
      </c>
      <c r="U184">
        <f t="shared" si="20"/>
        <v>-17.3999994735717</v>
      </c>
    </row>
    <row r="185" spans="1:21" x14ac:dyDescent="0.3">
      <c r="A185" s="1">
        <v>43181</v>
      </c>
      <c r="B185">
        <v>322.10000000000002</v>
      </c>
      <c r="C185">
        <v>300.749999345302</v>
      </c>
      <c r="D185">
        <v>-21.3500006546973</v>
      </c>
      <c r="E185" s="1">
        <v>43272</v>
      </c>
      <c r="F185">
        <v>2.29218077659606</v>
      </c>
      <c r="G185">
        <v>-6.6283764839172301</v>
      </c>
      <c r="M185">
        <v>4.0838499640469337</v>
      </c>
      <c r="N185" s="1">
        <v>43272</v>
      </c>
      <c r="O185">
        <f t="shared" si="14"/>
        <v>308.9176992733959</v>
      </c>
      <c r="P185">
        <f t="shared" si="15"/>
        <v>292.58229941720811</v>
      </c>
      <c r="Q185">
        <f t="shared" si="16"/>
        <v>300.749999345302</v>
      </c>
      <c r="R185">
        <f t="shared" si="17"/>
        <v>329.48311428141591</v>
      </c>
      <c r="S185">
        <f t="shared" si="18"/>
        <v>0</v>
      </c>
      <c r="T185" t="str">
        <f t="shared" si="19"/>
        <v/>
      </c>
      <c r="U185">
        <f t="shared" si="20"/>
        <v>-21.3500006546973</v>
      </c>
    </row>
    <row r="186" spans="1:21" x14ac:dyDescent="0.3">
      <c r="A186" s="1">
        <v>43182</v>
      </c>
      <c r="B186">
        <v>311.5</v>
      </c>
      <c r="C186">
        <v>303.650000280141</v>
      </c>
      <c r="D186">
        <v>-7.8499997198581397</v>
      </c>
      <c r="E186" s="1">
        <v>43273</v>
      </c>
      <c r="F186">
        <v>8.1007556915283203</v>
      </c>
      <c r="G186">
        <v>-2.5200641155242902</v>
      </c>
      <c r="M186">
        <v>4.2709527344159843</v>
      </c>
      <c r="N186" s="1">
        <v>43273</v>
      </c>
      <c r="O186">
        <f t="shared" si="14"/>
        <v>312.19190574897294</v>
      </c>
      <c r="P186">
        <f t="shared" si="15"/>
        <v>295.10809481130906</v>
      </c>
      <c r="Q186">
        <f t="shared" si="16"/>
        <v>303.650000280141</v>
      </c>
      <c r="R186">
        <f t="shared" si="17"/>
        <v>336.73385397911073</v>
      </c>
      <c r="S186">
        <f t="shared" si="18"/>
        <v>0</v>
      </c>
      <c r="T186" t="str">
        <f t="shared" si="19"/>
        <v/>
      </c>
      <c r="U186">
        <f t="shared" si="20"/>
        <v>-7.8499997198581397</v>
      </c>
    </row>
    <row r="187" spans="1:21" x14ac:dyDescent="0.3">
      <c r="A187" s="1">
        <v>43185</v>
      </c>
      <c r="B187">
        <v>314.5</v>
      </c>
      <c r="C187">
        <v>303.25000013351399</v>
      </c>
      <c r="D187">
        <v>-11.2499998664856</v>
      </c>
      <c r="E187" s="1">
        <v>43276</v>
      </c>
      <c r="F187">
        <v>16.845409393310501</v>
      </c>
      <c r="G187">
        <v>-3.5771064758300701</v>
      </c>
      <c r="M187">
        <v>4.4690734821058298</v>
      </c>
      <c r="N187" s="1">
        <v>43276</v>
      </c>
      <c r="O187">
        <f t="shared" si="14"/>
        <v>312.18814709772568</v>
      </c>
      <c r="P187">
        <f t="shared" si="15"/>
        <v>294.31185316930231</v>
      </c>
      <c r="Q187">
        <f t="shared" si="16"/>
        <v>303.25000013351399</v>
      </c>
      <c r="R187">
        <f t="shared" si="17"/>
        <v>367.47881254196153</v>
      </c>
      <c r="S187">
        <f t="shared" si="18"/>
        <v>0</v>
      </c>
      <c r="T187" t="str">
        <f t="shared" si="19"/>
        <v/>
      </c>
      <c r="U187">
        <f t="shared" si="20"/>
        <v>-11.2499998664856</v>
      </c>
    </row>
    <row r="188" spans="1:21" x14ac:dyDescent="0.3">
      <c r="A188" s="1">
        <v>43186</v>
      </c>
      <c r="B188">
        <v>315.14999999999998</v>
      </c>
      <c r="C188">
        <v>302.400000263214</v>
      </c>
      <c r="D188">
        <v>-12.749999736785799</v>
      </c>
      <c r="E188" s="1">
        <v>43277</v>
      </c>
      <c r="F188">
        <v>9.9446048736572195</v>
      </c>
      <c r="G188">
        <v>-4.04569244384765</v>
      </c>
      <c r="M188">
        <v>4.6798890776220485</v>
      </c>
      <c r="N188" s="1">
        <v>43277</v>
      </c>
      <c r="O188">
        <f t="shared" si="14"/>
        <v>311.7597784184581</v>
      </c>
      <c r="P188">
        <f t="shared" si="15"/>
        <v>293.0402221079699</v>
      </c>
      <c r="Q188">
        <f t="shared" si="16"/>
        <v>302.400000263214</v>
      </c>
      <c r="R188">
        <f t="shared" si="17"/>
        <v>346.49042225933073</v>
      </c>
      <c r="S188">
        <f t="shared" si="18"/>
        <v>0</v>
      </c>
      <c r="T188" t="str">
        <f t="shared" si="19"/>
        <v/>
      </c>
      <c r="U188">
        <f t="shared" si="20"/>
        <v>-12.749999736785799</v>
      </c>
    </row>
    <row r="189" spans="1:21" x14ac:dyDescent="0.3">
      <c r="A189" s="1">
        <v>43187</v>
      </c>
      <c r="B189">
        <v>310.64999999999998</v>
      </c>
      <c r="C189">
        <v>301.54999971985802</v>
      </c>
      <c r="D189">
        <v>-9.10000028014184</v>
      </c>
      <c r="E189" s="1">
        <v>43278</v>
      </c>
      <c r="F189">
        <v>8.2771759033203107</v>
      </c>
      <c r="G189">
        <v>-2.9293417930603001</v>
      </c>
      <c r="M189">
        <v>4.8980467309781917</v>
      </c>
      <c r="N189" s="1">
        <v>43278</v>
      </c>
      <c r="O189">
        <f t="shared" si="14"/>
        <v>311.34609318181441</v>
      </c>
      <c r="P189">
        <f t="shared" si="15"/>
        <v>291.75390625790163</v>
      </c>
      <c r="Q189">
        <f t="shared" si="16"/>
        <v>301.54999971985802</v>
      </c>
      <c r="R189">
        <f t="shared" si="17"/>
        <v>336.36304694366453</v>
      </c>
      <c r="S189">
        <f t="shared" si="18"/>
        <v>0</v>
      </c>
      <c r="T189" t="str">
        <f t="shared" si="19"/>
        <v/>
      </c>
      <c r="U189">
        <f t="shared" si="20"/>
        <v>-9.10000028014184</v>
      </c>
    </row>
    <row r="190" spans="1:21" x14ac:dyDescent="0.3">
      <c r="A190" s="1">
        <v>43188</v>
      </c>
      <c r="B190">
        <v>314.45</v>
      </c>
      <c r="C190">
        <v>299.09999953031502</v>
      </c>
      <c r="D190">
        <v>-15.350000469684501</v>
      </c>
      <c r="E190" s="1">
        <v>43279</v>
      </c>
      <c r="F190">
        <v>2.2007246017456001</v>
      </c>
      <c r="G190">
        <v>-4.8815393447875897</v>
      </c>
      <c r="M190">
        <v>5.2059053699768523</v>
      </c>
      <c r="N190" s="1">
        <v>43279</v>
      </c>
      <c r="O190">
        <f t="shared" si="14"/>
        <v>309.51181027026871</v>
      </c>
      <c r="P190">
        <f t="shared" si="15"/>
        <v>288.68818879036132</v>
      </c>
      <c r="Q190">
        <f t="shared" si="16"/>
        <v>299.09999953031502</v>
      </c>
      <c r="R190">
        <f t="shared" si="17"/>
        <v>321.37017851018902</v>
      </c>
      <c r="S190">
        <f t="shared" si="18"/>
        <v>0</v>
      </c>
      <c r="T190" t="str">
        <f t="shared" si="19"/>
        <v/>
      </c>
      <c r="U190">
        <f t="shared" si="20"/>
        <v>-15.350000469684501</v>
      </c>
    </row>
    <row r="191" spans="1:21" x14ac:dyDescent="0.3">
      <c r="A191" s="1">
        <v>43189</v>
      </c>
      <c r="B191">
        <v>314.55</v>
      </c>
      <c r="C191">
        <v>300.00000014948802</v>
      </c>
      <c r="D191">
        <v>-14.549999850511499</v>
      </c>
      <c r="E191" s="1">
        <v>43280</v>
      </c>
      <c r="F191">
        <v>0.313359975814819</v>
      </c>
      <c r="G191">
        <v>-4.6256556510925204</v>
      </c>
      <c r="M191">
        <v>5.4514220533587503</v>
      </c>
      <c r="N191" s="1">
        <v>43280</v>
      </c>
      <c r="O191">
        <f t="shared" si="14"/>
        <v>310.90284425620553</v>
      </c>
      <c r="P191">
        <f t="shared" si="15"/>
        <v>289.09715604277051</v>
      </c>
      <c r="Q191">
        <f t="shared" si="16"/>
        <v>300.00000014948802</v>
      </c>
      <c r="R191">
        <f t="shared" si="17"/>
        <v>315.53567380392553</v>
      </c>
      <c r="S191">
        <f t="shared" si="18"/>
        <v>0</v>
      </c>
      <c r="T191" t="str">
        <f t="shared" si="19"/>
        <v/>
      </c>
      <c r="U191">
        <f t="shared" si="20"/>
        <v>-14.549999850511499</v>
      </c>
    </row>
    <row r="192" spans="1:21" x14ac:dyDescent="0.3">
      <c r="A192" s="1">
        <v>43192</v>
      </c>
      <c r="B192">
        <v>313.45</v>
      </c>
      <c r="C192">
        <v>292.90000054693201</v>
      </c>
      <c r="D192">
        <v>20.549999453067699</v>
      </c>
      <c r="E192" s="1">
        <v>43283</v>
      </c>
      <c r="F192">
        <v>-3.15555691719055</v>
      </c>
      <c r="G192">
        <v>-6.55606937408447</v>
      </c>
      <c r="M192">
        <v>5.9894175506599829</v>
      </c>
      <c r="N192" s="1">
        <v>43283</v>
      </c>
      <c r="O192">
        <f t="shared" si="14"/>
        <v>304.87883564825199</v>
      </c>
      <c r="P192">
        <f t="shared" si="15"/>
        <v>280.92116544561202</v>
      </c>
      <c r="Q192">
        <f t="shared" si="16"/>
        <v>292.90000054693201</v>
      </c>
      <c r="R192">
        <f t="shared" si="17"/>
        <v>303.55890684306621</v>
      </c>
      <c r="S192">
        <f t="shared" si="18"/>
        <v>1</v>
      </c>
      <c r="T192">
        <f t="shared" si="19"/>
        <v>20.549999453067699</v>
      </c>
      <c r="U192" t="str">
        <f t="shared" si="20"/>
        <v/>
      </c>
    </row>
    <row r="193" spans="1:21" x14ac:dyDescent="0.3">
      <c r="A193" s="1">
        <v>43193</v>
      </c>
      <c r="B193">
        <v>312.8</v>
      </c>
      <c r="C193">
        <v>293.75000073623602</v>
      </c>
      <c r="D193">
        <v>19.0499992637634</v>
      </c>
      <c r="E193" s="1">
        <v>43284</v>
      </c>
      <c r="F193">
        <v>-5.2143664360046298</v>
      </c>
      <c r="G193">
        <v>-6.0901532173156703</v>
      </c>
      <c r="M193">
        <v>6.429470533889539</v>
      </c>
      <c r="N193" s="1">
        <v>43284</v>
      </c>
      <c r="O193">
        <f t="shared" si="14"/>
        <v>306.6089418040151</v>
      </c>
      <c r="P193">
        <f t="shared" si="15"/>
        <v>280.89105966845693</v>
      </c>
      <c r="Q193">
        <f t="shared" si="16"/>
        <v>293.75000073623602</v>
      </c>
      <c r="R193">
        <f t="shared" si="17"/>
        <v>296.48946178817755</v>
      </c>
      <c r="S193">
        <f t="shared" si="18"/>
        <v>1</v>
      </c>
      <c r="T193">
        <f t="shared" si="19"/>
        <v>19.0499992637634</v>
      </c>
      <c r="U193" t="str">
        <f t="shared" si="20"/>
        <v/>
      </c>
    </row>
    <row r="194" spans="1:21" x14ac:dyDescent="0.3">
      <c r="A194" s="1">
        <v>43194</v>
      </c>
      <c r="B194">
        <v>307.55</v>
      </c>
      <c r="C194">
        <v>292.54999942850998</v>
      </c>
      <c r="D194">
        <v>15.0000005714893</v>
      </c>
      <c r="E194" s="1">
        <v>43285</v>
      </c>
      <c r="F194">
        <v>-5.2046241760253897</v>
      </c>
      <c r="G194">
        <v>-4.8772559165954501</v>
      </c>
      <c r="M194">
        <v>6.8578537935600625</v>
      </c>
      <c r="N194" s="1">
        <v>43285</v>
      </c>
      <c r="O194">
        <f t="shared" si="14"/>
        <v>306.26570701563008</v>
      </c>
      <c r="P194">
        <f t="shared" si="15"/>
        <v>278.83429184138987</v>
      </c>
      <c r="Q194">
        <f t="shared" si="16"/>
        <v>292.54999942850998</v>
      </c>
      <c r="R194">
        <f t="shared" si="17"/>
        <v>291.54317834663391</v>
      </c>
      <c r="S194">
        <f t="shared" si="18"/>
        <v>1</v>
      </c>
      <c r="T194">
        <f t="shared" si="19"/>
        <v>15.0000005714893</v>
      </c>
      <c r="U194" t="str">
        <f t="shared" si="20"/>
        <v/>
      </c>
    </row>
    <row r="195" spans="1:21" x14ac:dyDescent="0.3">
      <c r="A195" s="1">
        <v>43195</v>
      </c>
      <c r="B195">
        <v>312.95</v>
      </c>
      <c r="C195">
        <v>291.99999957823701</v>
      </c>
      <c r="D195">
        <v>20.9500004217624</v>
      </c>
      <c r="E195" s="1">
        <v>43286</v>
      </c>
      <c r="F195">
        <v>-5.3628783226013104</v>
      </c>
      <c r="G195">
        <v>-6.6943602561950604</v>
      </c>
      <c r="M195">
        <v>7.2946155392443126</v>
      </c>
      <c r="N195" s="1">
        <v>43286</v>
      </c>
      <c r="O195">
        <f t="shared" ref="O195" si="21">C195+2*M195</f>
        <v>306.58923065672565</v>
      </c>
      <c r="P195">
        <f t="shared" ref="P195" si="22">C195-2*M195</f>
        <v>277.41076849974837</v>
      </c>
      <c r="Q195">
        <f t="shared" ref="Q195" si="23">C195</f>
        <v>291.99999957823701</v>
      </c>
      <c r="R195">
        <f t="shared" ref="R195" si="24">B195*F195/100+B195</f>
        <v>296.16687228941919</v>
      </c>
      <c r="S195">
        <f t="shared" ref="S195" si="25">IF(AND(D195&gt;0, AND(R195&lt;O195, R195&gt;P195)), 1, 0)</f>
        <v>1</v>
      </c>
      <c r="T195">
        <f t="shared" ref="T195" si="26">IF(S195=1, D195, "")</f>
        <v>20.9500004217624</v>
      </c>
      <c r="U195" t="str">
        <f t="shared" ref="U195" si="27">IF(S195=0, D195, "")</f>
        <v/>
      </c>
    </row>
    <row r="196" spans="1:21" x14ac:dyDescent="0.3">
      <c r="S196">
        <f>SUM(S2:S195)/194</f>
        <v>0.59793814432989689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v5.0_65_1_100_0.001_200_100_201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2018-07-14T14:37:02Z</dcterms:created>
  <dcterms:modified xsi:type="dcterms:W3CDTF">2018-07-14T14:37:02Z</dcterms:modified>
</cp:coreProperties>
</file>